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はじめに" sheetId="1" state="visible" r:id="rId3"/>
    <sheet name="01_評価入力" sheetId="2" state="visible" r:id="rId4"/>
    <sheet name="02_施策マスター" sheetId="3" state="visible" r:id="rId5"/>
    <sheet name="03_質問施策マッピング" sheetId="4" state="visible" r:id="rId6"/>
    <sheet name="04_依存関係マスター" sheetId="5" state="visible" r:id="rId7"/>
    <sheet name="05_施策抽出" sheetId="6" state="visible" r:id="rId8"/>
    <sheet name="06_重複排除後" sheetId="7" state="visible" r:id="rId9"/>
    <sheet name="07_短中長Top5" sheetId="8" state="visible" r:id="rId10"/>
    <sheet name="08_ロードマップ" sheetId="9" state="visible" r:id="rId11"/>
    <sheet name="09_ガント元データ" sheetId="10" state="visible" r:id="rId12"/>
    <sheet name="10_ガントチャート" sheetId="11" state="visible" r:id="rId13"/>
    <sheet name="11_ダッシュボード" sheetId="12" state="visible" r:id="rId14"/>
    <sheet name="12_PPT出力データ"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<sst xmlns="http://schemas.openxmlformats.org/spreadsheetml/2006/main" count="6938" uniqueCount="1601">
  <si>
    <r>
      <rPr>
        <b val="true"/>
        <sz val="14"/>
        <color rgb="FF1F4E79"/>
        <rFont val="Yu Gothic"/>
        <family val="0"/>
        <charset val="1"/>
      </rPr>
      <t xml:space="preserve">AI</t>
    </r>
    <r>
      <rPr>
        <b val="true"/>
        <sz val="14"/>
        <color rgb="FF1F4E79"/>
        <rFont val="Noto Sans CJK SC"/>
        <family val="2"/>
      </rPr>
      <t xml:space="preserve">セキュリティロードマップ作成ツール（</t>
    </r>
    <r>
      <rPr>
        <b val="true"/>
        <sz val="14"/>
        <color rgb="FF1F4E79"/>
        <rFont val="Yu Gothic"/>
        <family val="0"/>
        <charset val="1"/>
      </rPr>
      <t xml:space="preserve">AIMF v0.1 β</t>
    </r>
    <r>
      <rPr>
        <b val="true"/>
        <sz val="14"/>
        <color rgb="FF1F4E79"/>
        <rFont val="Noto Sans CJK SC"/>
        <family val="2"/>
      </rPr>
      <t xml:space="preserve">版：</t>
    </r>
    <r>
      <rPr>
        <b val="true"/>
        <sz val="14"/>
        <color rgb="FF1F4E79"/>
        <rFont val="Yu Gothic"/>
        <family val="0"/>
        <charset val="1"/>
      </rPr>
      <t xml:space="preserve">AI</t>
    </r>
    <r>
      <rPr>
        <b val="true"/>
        <sz val="14"/>
        <color rgb="FF1F4E79"/>
        <rFont val="Noto Sans CJK SC"/>
        <family val="2"/>
      </rPr>
      <t xml:space="preserve">セキュリティ＆ガバナンス統合マスターフレームワーク準拠）</t>
    </r>
  </si>
  <si>
    <r>
      <rPr>
        <sz val="10"/>
        <rFont val="Yu Gothic"/>
        <family val="0"/>
        <charset val="1"/>
      </rPr>
      <t xml:space="preserve">207</t>
    </r>
    <r>
      <rPr>
        <sz val="10"/>
        <rFont val="Noto Sans CJK SC"/>
        <family val="2"/>
      </rPr>
      <t xml:space="preserve">問評価（</t>
    </r>
    <r>
      <rPr>
        <sz val="10"/>
        <rFont val="Yu Gothic"/>
        <family val="0"/>
        <charset val="1"/>
      </rPr>
      <t xml:space="preserve">6</t>
    </r>
    <r>
      <rPr>
        <sz val="10"/>
        <rFont val="Noto Sans CJK SC"/>
        <family val="2"/>
      </rPr>
      <t xml:space="preserve">区分</t>
    </r>
    <r>
      <rPr>
        <sz val="10"/>
        <rFont val="Yu Gothic"/>
        <family val="0"/>
        <charset val="1"/>
      </rPr>
      <t xml:space="preserve">×37</t>
    </r>
    <r>
      <rPr>
        <sz val="10"/>
        <rFont val="Noto Sans CJK SC"/>
        <family val="2"/>
      </rPr>
      <t xml:space="preserve">カテゴリ）→ 適用自動判定 → 施策抽出 → 優先順位付け → ロードマップ → ガントチャート → ダッシュボードまでを自動生成します。</t>
    </r>
  </si>
  <si>
    <r>
      <rPr>
        <sz val="10"/>
        <rFont val="Noto Sans CJK SC"/>
        <family val="2"/>
      </rPr>
      <t xml:space="preserve">評価質問と施策は</t>
    </r>
    <r>
      <rPr>
        <sz val="10"/>
        <rFont val="Yu Gothic"/>
        <family val="0"/>
        <charset val="1"/>
      </rPr>
      <t xml:space="preserve">AIMF v0.1</t>
    </r>
    <r>
      <rPr>
        <sz val="10"/>
        <rFont val="Noto Sans CJK SC"/>
        <family val="2"/>
      </rPr>
      <t xml:space="preserve">（</t>
    </r>
    <r>
      <rPr>
        <sz val="10"/>
        <rFont val="Yu Gothic"/>
        <family val="0"/>
        <charset val="1"/>
      </rPr>
      <t xml:space="preserve">β</t>
    </r>
    <r>
      <rPr>
        <sz val="10"/>
        <rFont val="Noto Sans CJK SC"/>
        <family val="2"/>
      </rPr>
      <t xml:space="preserve">版）の</t>
    </r>
    <r>
      <rPr>
        <sz val="10"/>
        <rFont val="Yu Gothic"/>
        <family val="0"/>
        <charset val="1"/>
      </rPr>
      <t xml:space="preserve">207</t>
    </r>
    <r>
      <rPr>
        <sz val="10"/>
        <rFont val="Noto Sans CJK SC"/>
        <family val="2"/>
      </rPr>
      <t xml:space="preserve">コントロール（</t>
    </r>
    <r>
      <rPr>
        <sz val="10"/>
        <rFont val="Yu Gothic"/>
        <family val="0"/>
        <charset val="1"/>
      </rPr>
      <t xml:space="preserve">19</t>
    </r>
    <r>
      <rPr>
        <sz val="10"/>
        <rFont val="Noto Sans CJK SC"/>
        <family val="2"/>
      </rPr>
      <t xml:space="preserve">基準対応：</t>
    </r>
    <r>
      <rPr>
        <sz val="10"/>
        <rFont val="Yu Gothic"/>
        <family val="0"/>
        <charset val="1"/>
      </rPr>
      <t xml:space="preserve">NIST CSF 2.0 / AI RMF / ISO 42001 / OWASP AISVS</t>
    </r>
    <r>
      <rPr>
        <sz val="10"/>
        <rFont val="Noto Sans CJK SC"/>
        <family val="2"/>
      </rPr>
      <t xml:space="preserve">・</t>
    </r>
    <r>
      <rPr>
        <sz val="10"/>
        <rFont val="Yu Gothic"/>
        <family val="0"/>
        <charset val="1"/>
      </rPr>
      <t xml:space="preserve">LLM10</t>
    </r>
    <r>
      <rPr>
        <sz val="10"/>
        <rFont val="Noto Sans CJK SC"/>
        <family val="2"/>
      </rPr>
      <t xml:space="preserve">・</t>
    </r>
    <r>
      <rPr>
        <sz val="10"/>
        <rFont val="Yu Gothic"/>
        <family val="0"/>
        <charset val="1"/>
      </rPr>
      <t xml:space="preserve">ASI10 / EU AI Act / MITRE ATLAS / ASD</t>
    </r>
    <r>
      <rPr>
        <sz val="10"/>
        <rFont val="Noto Sans CJK SC"/>
        <family val="2"/>
      </rPr>
      <t xml:space="preserve">エージェント</t>
    </r>
    <r>
      <rPr>
        <sz val="10"/>
        <rFont val="Yu Gothic"/>
        <family val="0"/>
        <charset val="1"/>
      </rPr>
      <t xml:space="preserve">AI</t>
    </r>
    <r>
      <rPr>
        <sz val="10"/>
        <rFont val="Noto Sans CJK SC"/>
        <family val="2"/>
      </rPr>
      <t xml:space="preserve">ガイダンス </t>
    </r>
    <r>
      <rPr>
        <sz val="10"/>
        <rFont val="Yu Gothic"/>
        <family val="0"/>
        <charset val="1"/>
      </rPr>
      <t xml:space="preserve">/ Five Eyes</t>
    </r>
    <r>
      <rPr>
        <sz val="10"/>
        <rFont val="Noto Sans CJK SC"/>
        <family val="2"/>
      </rPr>
      <t xml:space="preserve">声明 ほか）から生成。</t>
    </r>
  </si>
  <si>
    <t xml:space="preserve">■ 使い方（基本フロー）</t>
  </si>
  <si>
    <t xml:space="preserve">ステップ</t>
  </si>
  <si>
    <t xml:space="preserve">シート</t>
  </si>
  <si>
    <t xml:space="preserve">内容</t>
  </si>
  <si>
    <t xml:space="preserve">Step0</t>
  </si>
  <si>
    <r>
      <rPr>
        <sz val="10"/>
        <rFont val="Yu Gothic"/>
        <family val="0"/>
        <charset val="1"/>
      </rPr>
      <t xml:space="preserve">00_</t>
    </r>
    <r>
      <rPr>
        <sz val="10"/>
        <rFont val="Noto Sans CJK SC"/>
        <family val="2"/>
      </rPr>
      <t xml:space="preserve">はじめに</t>
    </r>
  </si>
  <si>
    <r>
      <rPr>
        <sz val="10"/>
        <rFont val="Yu Gothic"/>
        <family val="0"/>
        <charset val="1"/>
      </rPr>
      <t xml:space="preserve">AI</t>
    </r>
    <r>
      <rPr>
        <sz val="10"/>
        <rFont val="Noto Sans CJK SC"/>
        <family val="2"/>
      </rPr>
      <t xml:space="preserve">利用プロファイル（下表）を設定。利用しない</t>
    </r>
    <r>
      <rPr>
        <sz val="10"/>
        <rFont val="Yu Gothic"/>
        <family val="0"/>
        <charset val="1"/>
      </rPr>
      <t xml:space="preserve">AI</t>
    </r>
    <r>
      <rPr>
        <sz val="10"/>
        <rFont val="Noto Sans CJK SC"/>
        <family val="2"/>
      </rPr>
      <t xml:space="preserve">類型の質問は自動で「対象外」になります。</t>
    </r>
  </si>
  <si>
    <t xml:space="preserve">Step1</t>
  </si>
  <si>
    <r>
      <rPr>
        <sz val="10"/>
        <rFont val="Yu Gothic"/>
        <family val="0"/>
        <charset val="1"/>
      </rPr>
      <t xml:space="preserve">01_</t>
    </r>
    <r>
      <rPr>
        <sz val="10"/>
        <rFont val="Noto Sans CJK SC"/>
        <family val="2"/>
      </rPr>
      <t xml:space="preserve">評価入力</t>
    </r>
  </si>
  <si>
    <t xml:space="preserve">現状評価（黄色セル）を入力。影響度〜導入難易度は初期値入り（青字）で、必要に応じて調整可。</t>
  </si>
  <si>
    <t xml:space="preserve">Step2</t>
  </si>
  <si>
    <t xml:space="preserve">自動計算</t>
  </si>
  <si>
    <t xml:space="preserve">適用判定・ギャップ・優先度スコア・抽出対象が自動判定されます。</t>
  </si>
  <si>
    <t xml:space="preserve">Step3</t>
  </si>
  <si>
    <t xml:space="preserve">05/06</t>
  </si>
  <si>
    <t xml:space="preserve">抽出施策と推奨優先度が自動生成されます（閲覧のみ）。</t>
  </si>
  <si>
    <t xml:space="preserve">Step4</t>
  </si>
  <si>
    <r>
      <rPr>
        <sz val="10"/>
        <rFont val="Yu Gothic"/>
        <family val="0"/>
        <charset val="1"/>
      </rPr>
      <t xml:space="preserve">07_</t>
    </r>
    <r>
      <rPr>
        <sz val="10"/>
        <rFont val="Noto Sans CJK SC"/>
        <family val="2"/>
      </rPr>
      <t xml:space="preserve">短中長</t>
    </r>
    <r>
      <rPr>
        <sz val="10"/>
        <rFont val="Yu Gothic"/>
        <family val="0"/>
        <charset val="1"/>
      </rPr>
      <t xml:space="preserve">Top5</t>
    </r>
  </si>
  <si>
    <r>
      <rPr>
        <sz val="10"/>
        <rFont val="Noto Sans CJK SC"/>
        <family val="2"/>
      </rPr>
      <t xml:space="preserve">短期・中期・長期それぞれの優先施策</t>
    </r>
    <r>
      <rPr>
        <sz val="10"/>
        <rFont val="Yu Gothic"/>
        <family val="0"/>
        <charset val="1"/>
      </rPr>
      <t xml:space="preserve">Top5</t>
    </r>
    <r>
      <rPr>
        <sz val="10"/>
        <rFont val="Noto Sans CJK SC"/>
        <family val="2"/>
      </rPr>
      <t xml:space="preserve">を自動表示。</t>
    </r>
  </si>
  <si>
    <t xml:space="preserve">Step5</t>
  </si>
  <si>
    <r>
      <rPr>
        <sz val="10"/>
        <rFont val="Yu Gothic"/>
        <family val="0"/>
        <charset val="1"/>
      </rPr>
      <t xml:space="preserve">08_</t>
    </r>
    <r>
      <rPr>
        <sz val="10"/>
        <rFont val="Noto Sans CJK SC"/>
        <family val="2"/>
      </rPr>
      <t xml:space="preserve">ロードマップ</t>
    </r>
  </si>
  <si>
    <t xml:space="preserve">区分別の実行計画一覧を自動生成。</t>
  </si>
  <si>
    <t xml:space="preserve">Step6</t>
  </si>
  <si>
    <r>
      <rPr>
        <sz val="10"/>
        <rFont val="Yu Gothic"/>
        <family val="0"/>
        <charset val="1"/>
      </rPr>
      <t xml:space="preserve">09/10_</t>
    </r>
    <r>
      <rPr>
        <sz val="10"/>
        <rFont val="Noto Sans CJK SC"/>
        <family val="2"/>
      </rPr>
      <t xml:space="preserve">ガント</t>
    </r>
  </si>
  <si>
    <r>
      <rPr>
        <sz val="10"/>
        <rFont val="Noto Sans CJK SC"/>
        <family val="2"/>
      </rPr>
      <t xml:space="preserve">依存関係を考慮した開始・終了月とガントチャート（</t>
    </r>
    <r>
      <rPr>
        <sz val="10"/>
        <rFont val="Yu Gothic"/>
        <family val="0"/>
        <charset val="1"/>
      </rPr>
      <t xml:space="preserve">36</t>
    </r>
    <r>
      <rPr>
        <sz val="10"/>
        <rFont val="Noto Sans CJK SC"/>
        <family val="2"/>
      </rPr>
      <t xml:space="preserve">か月）を自動描画。</t>
    </r>
  </si>
  <si>
    <t xml:space="preserve">Step7</t>
  </si>
  <si>
    <r>
      <rPr>
        <sz val="10"/>
        <rFont val="Yu Gothic"/>
        <family val="0"/>
        <charset val="1"/>
      </rPr>
      <t xml:space="preserve">11_</t>
    </r>
    <r>
      <rPr>
        <sz val="10"/>
        <rFont val="Noto Sans CJK SC"/>
        <family val="2"/>
      </rPr>
      <t xml:space="preserve">ダッシュボード</t>
    </r>
  </si>
  <si>
    <r>
      <rPr>
        <sz val="10"/>
        <rFont val="Noto Sans CJK SC"/>
        <family val="2"/>
      </rPr>
      <t xml:space="preserve">区分別レーダー・</t>
    </r>
    <r>
      <rPr>
        <sz val="10"/>
        <rFont val="Yu Gothic"/>
        <family val="0"/>
        <charset val="1"/>
      </rPr>
      <t xml:space="preserve">control-type</t>
    </r>
    <r>
      <rPr>
        <sz val="10"/>
        <rFont val="Noto Sans CJK SC"/>
        <family val="2"/>
      </rPr>
      <t xml:space="preserve">別・</t>
    </r>
    <r>
      <rPr>
        <sz val="10"/>
        <rFont val="Yu Gothic"/>
        <family val="0"/>
        <charset val="1"/>
      </rPr>
      <t xml:space="preserve">AI</t>
    </r>
    <r>
      <rPr>
        <sz val="10"/>
        <rFont val="Noto Sans CJK SC"/>
        <family val="2"/>
      </rPr>
      <t xml:space="preserve">類型別レディネスを確認し、</t>
    </r>
    <r>
      <rPr>
        <sz val="10"/>
        <rFont val="Yu Gothic"/>
        <family val="0"/>
        <charset val="1"/>
      </rPr>
      <t xml:space="preserve">12_PPT</t>
    </r>
    <r>
      <rPr>
        <sz val="10"/>
        <rFont val="Noto Sans CJK SC"/>
        <family val="2"/>
      </rPr>
      <t xml:space="preserve">出力データを報告書へ転記。</t>
    </r>
  </si>
  <si>
    <t xml:space="preserve">■ 設定（必要に応じて変更可・黄色セル）</t>
  </si>
  <si>
    <t xml:space="preserve">設定項目</t>
  </si>
  <si>
    <t xml:space="preserve">値</t>
  </si>
  <si>
    <t xml:space="preserve">説明</t>
  </si>
  <si>
    <t xml:space="preserve">優先度スコア閾値</t>
  </si>
  <si>
    <r>
      <rPr>
        <sz val="10"/>
        <rFont val="Noto Sans CJK SC"/>
        <family val="2"/>
      </rPr>
      <t xml:space="preserve">現状</t>
    </r>
    <r>
      <rPr>
        <sz val="10"/>
        <rFont val="Yu Gothic"/>
        <family val="0"/>
        <charset val="1"/>
      </rPr>
      <t xml:space="preserve">&lt;</t>
    </r>
    <r>
      <rPr>
        <sz val="10"/>
        <rFont val="Noto Sans CJK SC"/>
        <family val="2"/>
      </rPr>
      <t xml:space="preserve">目標でなくてもスコアがこの値以上なら施策を抽出</t>
    </r>
  </si>
  <si>
    <t xml:space="preserve">短期 開始月</t>
  </si>
  <si>
    <t xml:space="preserve">短期施策の標準開始月（プロジェクト開始からの月数）</t>
  </si>
  <si>
    <t xml:space="preserve">中期 開始月</t>
  </si>
  <si>
    <t xml:space="preserve">中期施策の標準開始月</t>
  </si>
  <si>
    <t xml:space="preserve">長期 開始月</t>
  </si>
  <si>
    <t xml:space="preserve">長期施策の標準開始月</t>
  </si>
  <si>
    <r>
      <rPr>
        <b val="true"/>
        <sz val="11"/>
        <color rgb="FF1F4E79"/>
        <rFont val="Yu Gothic"/>
        <family val="0"/>
        <charset val="1"/>
      </rPr>
      <t xml:space="preserve">■ AI</t>
    </r>
    <r>
      <rPr>
        <b val="true"/>
        <sz val="11"/>
        <color rgb="FF1F4E79"/>
        <rFont val="Noto Sans CJK SC"/>
        <family val="2"/>
      </rPr>
      <t xml:space="preserve">利用プロファイル（</t>
    </r>
    <r>
      <rPr>
        <b val="true"/>
        <sz val="11"/>
        <color rgb="FF1F4E79"/>
        <rFont val="Yu Gothic"/>
        <family val="0"/>
        <charset val="1"/>
      </rPr>
      <t xml:space="preserve">Y/N</t>
    </r>
    <r>
      <rPr>
        <b val="true"/>
        <sz val="11"/>
        <color rgb="FF1F4E79"/>
        <rFont val="Noto Sans CJK SC"/>
        <family val="2"/>
      </rPr>
      <t xml:space="preserve">・黄色セル）</t>
    </r>
  </si>
  <si>
    <t xml:space="preserve">利用しない類型に固有の質問は自動で「対象外」となり、集計の分母から除外されます。</t>
  </si>
  <si>
    <r>
      <rPr>
        <sz val="10"/>
        <rFont val="Noto Sans CJK SC"/>
        <family val="2"/>
      </rPr>
      <t xml:space="preserve">従来型</t>
    </r>
    <r>
      <rPr>
        <sz val="10"/>
        <rFont val="Yu Gothic"/>
        <family val="0"/>
        <charset val="1"/>
      </rPr>
      <t xml:space="preserve">AI</t>
    </r>
    <r>
      <rPr>
        <sz val="10"/>
        <rFont val="Noto Sans CJK SC"/>
        <family val="2"/>
      </rPr>
      <t xml:space="preserve">（判別・分類モデル等）の利用</t>
    </r>
  </si>
  <si>
    <t xml:space="preserve">Y</t>
  </si>
  <si>
    <r>
      <rPr>
        <sz val="10"/>
        <rFont val="Yu Gothic"/>
        <family val="0"/>
        <charset val="1"/>
      </rPr>
      <t xml:space="preserve">ai-scope</t>
    </r>
    <r>
      <rPr>
        <sz val="10"/>
        <rFont val="Noto Sans CJK SC"/>
        <family val="2"/>
      </rPr>
      <t xml:space="preserve">に</t>
    </r>
    <r>
      <rPr>
        <sz val="10"/>
        <rFont val="Yu Gothic"/>
        <family val="0"/>
        <charset val="1"/>
      </rPr>
      <t xml:space="preserve">traditional-ai</t>
    </r>
    <r>
      <rPr>
        <sz val="10"/>
        <rFont val="Noto Sans CJK SC"/>
        <family val="2"/>
      </rPr>
      <t xml:space="preserve">を含む質問の適用判定に使用</t>
    </r>
  </si>
  <si>
    <r>
      <rPr>
        <sz val="10"/>
        <rFont val="Noto Sans CJK SC"/>
        <family val="2"/>
      </rPr>
      <t xml:space="preserve">生成</t>
    </r>
    <r>
      <rPr>
        <sz val="10"/>
        <rFont val="Yu Gothic"/>
        <family val="0"/>
        <charset val="1"/>
      </rPr>
      <t xml:space="preserve">AI</t>
    </r>
    <r>
      <rPr>
        <sz val="10"/>
        <rFont val="Noto Sans CJK SC"/>
        <family val="2"/>
      </rPr>
      <t xml:space="preserve">（</t>
    </r>
    <r>
      <rPr>
        <sz val="10"/>
        <rFont val="Yu Gothic"/>
        <family val="0"/>
        <charset val="1"/>
      </rPr>
      <t xml:space="preserve">LLM</t>
    </r>
    <r>
      <rPr>
        <sz val="10"/>
        <rFont val="Noto Sans CJK SC"/>
        <family val="2"/>
      </rPr>
      <t xml:space="preserve">・</t>
    </r>
    <r>
      <rPr>
        <sz val="10"/>
        <rFont val="Yu Gothic"/>
        <family val="0"/>
        <charset val="1"/>
      </rPr>
      <t xml:space="preserve">RAG</t>
    </r>
    <r>
      <rPr>
        <sz val="10"/>
        <rFont val="Noto Sans CJK SC"/>
        <family val="2"/>
      </rPr>
      <t xml:space="preserve">）の利用</t>
    </r>
  </si>
  <si>
    <r>
      <rPr>
        <sz val="10"/>
        <rFont val="Yu Gothic"/>
        <family val="0"/>
        <charset val="1"/>
      </rPr>
      <t xml:space="preserve">ai-scope</t>
    </r>
    <r>
      <rPr>
        <sz val="10"/>
        <rFont val="Noto Sans CJK SC"/>
        <family val="2"/>
      </rPr>
      <t xml:space="preserve">に</t>
    </r>
    <r>
      <rPr>
        <sz val="10"/>
        <rFont val="Yu Gothic"/>
        <family val="0"/>
        <charset val="1"/>
      </rPr>
      <t xml:space="preserve">generative-ai</t>
    </r>
    <r>
      <rPr>
        <sz val="10"/>
        <rFont val="Noto Sans CJK SC"/>
        <family val="2"/>
      </rPr>
      <t xml:space="preserve">を含む質問の適用判定に使用</t>
    </r>
  </si>
  <si>
    <r>
      <rPr>
        <sz val="10"/>
        <rFont val="Yu Gothic"/>
        <family val="0"/>
        <charset val="1"/>
      </rPr>
      <t xml:space="preserve">AI</t>
    </r>
    <r>
      <rPr>
        <sz val="10"/>
        <rFont val="Noto Sans CJK SC"/>
        <family val="2"/>
      </rPr>
      <t xml:space="preserve">エージェント（単体）の利用</t>
    </r>
  </si>
  <si>
    <r>
      <rPr>
        <sz val="10"/>
        <rFont val="Yu Gothic"/>
        <family val="0"/>
        <charset val="1"/>
      </rPr>
      <t xml:space="preserve">ai-scope</t>
    </r>
    <r>
      <rPr>
        <sz val="10"/>
        <rFont val="Noto Sans CJK SC"/>
        <family val="2"/>
      </rPr>
      <t xml:space="preserve">に</t>
    </r>
    <r>
      <rPr>
        <sz val="10"/>
        <rFont val="Yu Gothic"/>
        <family val="0"/>
        <charset val="1"/>
      </rPr>
      <t xml:space="preserve">ai-agent</t>
    </r>
    <r>
      <rPr>
        <sz val="10"/>
        <rFont val="Noto Sans CJK SC"/>
        <family val="2"/>
      </rPr>
      <t xml:space="preserve">を含む質問の適用判定に使用</t>
    </r>
  </si>
  <si>
    <t xml:space="preserve">マルチエージェントの利用</t>
  </si>
  <si>
    <r>
      <rPr>
        <sz val="10"/>
        <rFont val="Yu Gothic"/>
        <family val="0"/>
        <charset val="1"/>
      </rPr>
      <t xml:space="preserve">ai-scope</t>
    </r>
    <r>
      <rPr>
        <sz val="10"/>
        <rFont val="Noto Sans CJK SC"/>
        <family val="2"/>
      </rPr>
      <t xml:space="preserve">に</t>
    </r>
    <r>
      <rPr>
        <sz val="10"/>
        <rFont val="Yu Gothic"/>
        <family val="0"/>
        <charset val="1"/>
      </rPr>
      <t xml:space="preserve">multi-agent</t>
    </r>
    <r>
      <rPr>
        <sz val="10"/>
        <rFont val="Noto Sans CJK SC"/>
        <family val="2"/>
      </rPr>
      <t xml:space="preserve">を含む質問の適用判定に使用</t>
    </r>
  </si>
  <si>
    <t xml:space="preserve">■ 評価基準・凡例</t>
  </si>
  <si>
    <r>
      <rPr>
        <sz val="10"/>
        <rFont val="Noto Sans CJK SC"/>
        <family val="2"/>
      </rPr>
      <t xml:space="preserve">現状評価</t>
    </r>
    <r>
      <rPr>
        <sz val="10"/>
        <rFont val="Yu Gothic"/>
        <family val="0"/>
        <charset val="1"/>
      </rPr>
      <t xml:space="preserve">/</t>
    </r>
    <r>
      <rPr>
        <sz val="10"/>
        <rFont val="Noto Sans CJK SC"/>
        <family val="2"/>
      </rPr>
      <t xml:space="preserve">目標評価 </t>
    </r>
    <r>
      <rPr>
        <sz val="10"/>
        <rFont val="Yu Gothic"/>
        <family val="0"/>
        <charset val="1"/>
      </rPr>
      <t xml:space="preserve">(0-4)</t>
    </r>
  </si>
  <si>
    <r>
      <rPr>
        <sz val="10"/>
        <rFont val="Yu Gothic"/>
        <family val="0"/>
        <charset val="1"/>
      </rPr>
      <t xml:space="preserve">0=</t>
    </r>
    <r>
      <rPr>
        <sz val="10"/>
        <rFont val="Noto Sans CJK SC"/>
        <family val="2"/>
      </rPr>
      <t xml:space="preserve">未実施 </t>
    </r>
    <r>
      <rPr>
        <sz val="10"/>
        <rFont val="Yu Gothic"/>
        <family val="0"/>
        <charset val="1"/>
      </rPr>
      <t xml:space="preserve">/ 1=</t>
    </r>
    <r>
      <rPr>
        <sz val="10"/>
        <rFont val="Noto Sans CJK SC"/>
        <family val="2"/>
      </rPr>
      <t xml:space="preserve">一部実施 </t>
    </r>
    <r>
      <rPr>
        <sz val="10"/>
        <rFont val="Yu Gothic"/>
        <family val="0"/>
        <charset val="1"/>
      </rPr>
      <t xml:space="preserve">/ 2=</t>
    </r>
    <r>
      <rPr>
        <sz val="10"/>
        <rFont val="Noto Sans CJK SC"/>
        <family val="2"/>
      </rPr>
      <t xml:space="preserve">限定運用 </t>
    </r>
    <r>
      <rPr>
        <sz val="10"/>
        <rFont val="Yu Gothic"/>
        <family val="0"/>
        <charset val="1"/>
      </rPr>
      <t xml:space="preserve">/ 3=</t>
    </r>
    <r>
      <rPr>
        <sz val="10"/>
        <rFont val="Noto Sans CJK SC"/>
        <family val="2"/>
      </rPr>
      <t xml:space="preserve">標準運用 </t>
    </r>
    <r>
      <rPr>
        <sz val="10"/>
        <rFont val="Yu Gothic"/>
        <family val="0"/>
        <charset val="1"/>
      </rPr>
      <t xml:space="preserve">/ 4=</t>
    </r>
    <r>
      <rPr>
        <sz val="10"/>
        <rFont val="Noto Sans CJK SC"/>
        <family val="2"/>
      </rPr>
      <t xml:space="preserve">高度運用・最適化</t>
    </r>
  </si>
  <si>
    <r>
      <rPr>
        <sz val="10"/>
        <rFont val="Noto Sans CJK SC"/>
        <family val="2"/>
      </rPr>
      <t xml:space="preserve">入力例</t>
    </r>
    <r>
      <rPr>
        <sz val="10"/>
        <rFont val="Yu Gothic"/>
        <family val="0"/>
        <charset val="1"/>
      </rPr>
      <t xml:space="preserve">: </t>
    </r>
    <r>
      <rPr>
        <sz val="10"/>
        <rFont val="Noto Sans CJK SC"/>
        <family val="2"/>
      </rPr>
      <t xml:space="preserve">現状</t>
    </r>
    <r>
      <rPr>
        <sz val="10"/>
        <rFont val="Yu Gothic"/>
        <family val="0"/>
        <charset val="1"/>
      </rPr>
      <t xml:space="preserve">=2</t>
    </r>
    <r>
      <rPr>
        <sz val="10"/>
        <rFont val="Noto Sans CJK SC"/>
        <family val="2"/>
      </rPr>
      <t xml:space="preserve">（限定運用）</t>
    </r>
  </si>
  <si>
    <t xml:space="preserve">優先度スコア</t>
  </si>
  <si>
    <r>
      <rPr>
        <sz val="10"/>
        <rFont val="Noto Sans CJK SC"/>
        <family val="2"/>
      </rPr>
      <t xml:space="preserve">ギャップ</t>
    </r>
    <r>
      <rPr>
        <sz val="10"/>
        <rFont val="Yu Gothic"/>
        <family val="0"/>
        <charset val="1"/>
      </rPr>
      <t xml:space="preserve">×</t>
    </r>
    <r>
      <rPr>
        <sz val="10"/>
        <rFont val="Noto Sans CJK SC"/>
        <family val="2"/>
      </rPr>
      <t xml:space="preserve">影響度</t>
    </r>
    <r>
      <rPr>
        <sz val="10"/>
        <rFont val="Yu Gothic"/>
        <family val="0"/>
        <charset val="1"/>
      </rPr>
      <t xml:space="preserve">×</t>
    </r>
    <r>
      <rPr>
        <sz val="10"/>
        <rFont val="Noto Sans CJK SC"/>
        <family val="2"/>
      </rPr>
      <t xml:space="preserve">発生可能性</t>
    </r>
    <r>
      <rPr>
        <sz val="10"/>
        <rFont val="Yu Gothic"/>
        <family val="0"/>
        <charset val="1"/>
      </rPr>
      <t xml:space="preserve">×</t>
    </r>
    <r>
      <rPr>
        <sz val="10"/>
        <rFont val="Noto Sans CJK SC"/>
        <family val="2"/>
      </rPr>
      <t xml:space="preserve">ビジネス重要度</t>
    </r>
    <r>
      <rPr>
        <sz val="10"/>
        <rFont val="Yu Gothic"/>
        <family val="0"/>
        <charset val="1"/>
      </rPr>
      <t xml:space="preserve">×QuickWin×</t>
    </r>
    <r>
      <rPr>
        <sz val="10"/>
        <rFont val="Noto Sans CJK SC"/>
        <family val="2"/>
      </rPr>
      <t xml:space="preserve">依存係数 </t>
    </r>
    <r>
      <rPr>
        <sz val="10"/>
        <rFont val="Yu Gothic"/>
        <family val="0"/>
        <charset val="1"/>
      </rPr>
      <t xml:space="preserve">÷ </t>
    </r>
    <r>
      <rPr>
        <sz val="10"/>
        <rFont val="Noto Sans CJK SC"/>
        <family val="2"/>
      </rPr>
      <t xml:space="preserve">導入難易度</t>
    </r>
  </si>
  <si>
    <r>
      <rPr>
        <sz val="10"/>
        <rFont val="Noto Sans CJK SC"/>
        <family val="2"/>
      </rPr>
      <t xml:space="preserve">影響度〜導入難易度</t>
    </r>
    <r>
      <rPr>
        <sz val="10"/>
        <rFont val="Yu Gothic"/>
        <family val="0"/>
        <charset val="1"/>
      </rPr>
      <t xml:space="preserve">(1-5)</t>
    </r>
    <r>
      <rPr>
        <sz val="10"/>
        <rFont val="Noto Sans CJK SC"/>
        <family val="2"/>
      </rPr>
      <t xml:space="preserve">は施策属性から導出した初期値入り（青字）。ヒアリング結果に応じて調整可</t>
    </r>
  </si>
  <si>
    <t xml:space="preserve">control-type</t>
  </si>
  <si>
    <r>
      <rPr>
        <sz val="10"/>
        <rFont val="Yu Gothic"/>
        <family val="0"/>
        <charset val="1"/>
      </rPr>
      <t xml:space="preserve">AI-Expansion=AI</t>
    </r>
    <r>
      <rPr>
        <sz val="10"/>
        <rFont val="Noto Sans CJK SC"/>
        <family val="2"/>
      </rPr>
      <t xml:space="preserve">特有の新設管理策 </t>
    </r>
    <r>
      <rPr>
        <sz val="10"/>
        <rFont val="Yu Gothic"/>
        <family val="0"/>
        <charset val="1"/>
      </rPr>
      <t xml:space="preserve">/ AI-Enhancement=</t>
    </r>
    <r>
      <rPr>
        <sz val="10"/>
        <rFont val="Noto Sans CJK SC"/>
        <family val="2"/>
      </rPr>
      <t xml:space="preserve">既存セキュリティ管理策の</t>
    </r>
    <r>
      <rPr>
        <sz val="10"/>
        <rFont val="Yu Gothic"/>
        <family val="0"/>
        <charset val="1"/>
      </rPr>
      <t xml:space="preserve">AI</t>
    </r>
    <r>
      <rPr>
        <sz val="10"/>
        <rFont val="Noto Sans CJK SC"/>
        <family val="2"/>
      </rPr>
      <t xml:space="preserve">拡張</t>
    </r>
  </si>
  <si>
    <r>
      <rPr>
        <sz val="10"/>
        <rFont val="Noto Sans CJK SC"/>
        <family val="2"/>
      </rPr>
      <t xml:space="preserve">ダッシュボードで「</t>
    </r>
    <r>
      <rPr>
        <sz val="10"/>
        <rFont val="Yu Gothic"/>
        <family val="0"/>
        <charset val="1"/>
      </rPr>
      <t xml:space="preserve">AI</t>
    </r>
    <r>
      <rPr>
        <sz val="10"/>
        <rFont val="Noto Sans CJK SC"/>
        <family val="2"/>
      </rPr>
      <t xml:space="preserve">固有統制の未整備」と「既存運用の適用漏れ」を分けて把握</t>
    </r>
  </si>
  <si>
    <t xml:space="preserve">目標評価の初期値</t>
  </si>
  <si>
    <r>
      <rPr>
        <sz val="10"/>
        <rFont val="Noto Sans CJK SC"/>
        <family val="2"/>
      </rPr>
      <t xml:space="preserve">ベースライン</t>
    </r>
    <r>
      <rPr>
        <sz val="10"/>
        <rFont val="Yu Gothic"/>
        <family val="0"/>
        <charset val="1"/>
      </rPr>
      <t xml:space="preserve">(baseline)=4 / </t>
    </r>
    <r>
      <rPr>
        <sz val="10"/>
        <rFont val="Noto Sans CJK SC"/>
        <family val="2"/>
      </rPr>
      <t xml:space="preserve">拡張</t>
    </r>
    <r>
      <rPr>
        <sz val="10"/>
        <rFont val="Yu Gothic"/>
        <family val="0"/>
        <charset val="1"/>
      </rPr>
      <t xml:space="preserve">(extended)=3</t>
    </r>
  </si>
  <si>
    <t xml:space="preserve">段階適用の考え方に基づく初期値。組織の方針に応じて調整可</t>
  </si>
  <si>
    <t xml:space="preserve">セルの色</t>
  </si>
  <si>
    <r>
      <rPr>
        <sz val="10"/>
        <rFont val="Noto Sans CJK SC"/>
        <family val="2"/>
      </rPr>
      <t xml:space="preserve">黄色</t>
    </r>
    <r>
      <rPr>
        <sz val="10"/>
        <rFont val="Yu Gothic"/>
        <family val="0"/>
        <charset val="1"/>
      </rPr>
      <t xml:space="preserve">=</t>
    </r>
    <r>
      <rPr>
        <sz val="10"/>
        <rFont val="Noto Sans CJK SC"/>
        <family val="2"/>
      </rPr>
      <t xml:space="preserve">入力セル </t>
    </r>
    <r>
      <rPr>
        <sz val="10"/>
        <rFont val="Yu Gothic"/>
        <family val="0"/>
        <charset val="1"/>
      </rPr>
      <t xml:space="preserve">/ </t>
    </r>
    <r>
      <rPr>
        <sz val="10"/>
        <rFont val="Noto Sans CJK SC"/>
        <family val="2"/>
      </rPr>
      <t xml:space="preserve">青字</t>
    </r>
    <r>
      <rPr>
        <sz val="10"/>
        <rFont val="Yu Gothic"/>
        <family val="0"/>
        <charset val="1"/>
      </rPr>
      <t xml:space="preserve">=</t>
    </r>
    <r>
      <rPr>
        <sz val="10"/>
        <rFont val="Noto Sans CJK SC"/>
        <family val="2"/>
      </rPr>
      <t xml:space="preserve">調整可能な初期値 </t>
    </r>
    <r>
      <rPr>
        <sz val="10"/>
        <rFont val="Yu Gothic"/>
        <family val="0"/>
        <charset val="1"/>
      </rPr>
      <t xml:space="preserve">/ </t>
    </r>
    <r>
      <rPr>
        <sz val="10"/>
        <rFont val="Noto Sans CJK SC"/>
        <family val="2"/>
      </rPr>
      <t xml:space="preserve">白</t>
    </r>
    <r>
      <rPr>
        <sz val="10"/>
        <rFont val="Yu Gothic"/>
        <family val="0"/>
        <charset val="1"/>
      </rPr>
      <t xml:space="preserve">=</t>
    </r>
    <r>
      <rPr>
        <sz val="10"/>
        <rFont val="Noto Sans CJK SC"/>
        <family val="2"/>
      </rPr>
      <t xml:space="preserve">自動計算（編集不可）</t>
    </r>
  </si>
  <si>
    <r>
      <rPr>
        <b val="true"/>
        <sz val="10"/>
        <color rgb="FFFFFFFF"/>
        <rFont val="Noto Sans CJK SC"/>
        <family val="2"/>
      </rPr>
      <t xml:space="preserve">質問</t>
    </r>
    <r>
      <rPr>
        <b val="true"/>
        <sz val="10"/>
        <color rgb="FFFFFFFF"/>
        <rFont val="Yu Gothic"/>
        <family val="0"/>
        <charset val="1"/>
      </rPr>
      <t xml:space="preserve">ID</t>
    </r>
  </si>
  <si>
    <t xml:space="preserve">区分</t>
  </si>
  <si>
    <t xml:space="preserve">カテゴリ</t>
  </si>
  <si>
    <t xml:space="preserve">コントロール名</t>
  </si>
  <si>
    <t xml:space="preserve">質問</t>
  </si>
  <si>
    <t xml:space="preserve">Type</t>
  </si>
  <si>
    <t xml:space="preserve">ai-scope</t>
  </si>
  <si>
    <t xml:space="preserve">適用</t>
  </si>
  <si>
    <r>
      <rPr>
        <b val="true"/>
        <sz val="10"/>
        <color rgb="FFFFFFFF"/>
        <rFont val="Noto Sans CJK SC"/>
        <family val="2"/>
      </rPr>
      <t xml:space="preserve">現状評価
</t>
    </r>
    <r>
      <rPr>
        <b val="true"/>
        <sz val="10"/>
        <color rgb="FFFFFFFF"/>
        <rFont val="Yu Gothic"/>
        <family val="0"/>
        <charset val="1"/>
      </rPr>
      <t xml:space="preserve">(0-4)</t>
    </r>
  </si>
  <si>
    <r>
      <rPr>
        <b val="true"/>
        <sz val="10"/>
        <color rgb="FFFFFFFF"/>
        <rFont val="Noto Sans CJK SC"/>
        <family val="2"/>
      </rPr>
      <t xml:space="preserve">目標評価
</t>
    </r>
    <r>
      <rPr>
        <b val="true"/>
        <sz val="10"/>
        <color rgb="FFFFFFFF"/>
        <rFont val="Yu Gothic"/>
        <family val="0"/>
        <charset val="1"/>
      </rPr>
      <t xml:space="preserve">(0-4)</t>
    </r>
  </si>
  <si>
    <t xml:space="preserve">ギャップ</t>
  </si>
  <si>
    <r>
      <rPr>
        <b val="true"/>
        <sz val="10"/>
        <color rgb="FFFFFFFF"/>
        <rFont val="Noto Sans CJK SC"/>
        <family val="2"/>
      </rPr>
      <t xml:space="preserve">影響度
</t>
    </r>
    <r>
      <rPr>
        <b val="true"/>
        <sz val="10"/>
        <color rgb="FFFFFFFF"/>
        <rFont val="Yu Gothic"/>
        <family val="0"/>
        <charset val="1"/>
      </rPr>
      <t xml:space="preserve">(1-5)</t>
    </r>
  </si>
  <si>
    <r>
      <rPr>
        <b val="true"/>
        <sz val="10"/>
        <color rgb="FFFFFFFF"/>
        <rFont val="Noto Sans CJK SC"/>
        <family val="2"/>
      </rPr>
      <t xml:space="preserve">発生可能性
</t>
    </r>
    <r>
      <rPr>
        <b val="true"/>
        <sz val="10"/>
        <color rgb="FFFFFFFF"/>
        <rFont val="Yu Gothic"/>
        <family val="0"/>
        <charset val="1"/>
      </rPr>
      <t xml:space="preserve">(1-5)</t>
    </r>
  </si>
  <si>
    <r>
      <rPr>
        <b val="true"/>
        <sz val="10"/>
        <color rgb="FFFFFFFF"/>
        <rFont val="Noto Sans CJK SC"/>
        <family val="2"/>
      </rPr>
      <t xml:space="preserve">ビジネス
重要度</t>
    </r>
    <r>
      <rPr>
        <b val="true"/>
        <sz val="10"/>
        <color rgb="FFFFFFFF"/>
        <rFont val="Yu Gothic"/>
        <family val="0"/>
        <charset val="1"/>
      </rPr>
      <t xml:space="preserve">(1-5)</t>
    </r>
  </si>
  <si>
    <t xml:space="preserve">QuickWin
(1-5)</t>
  </si>
  <si>
    <r>
      <rPr>
        <b val="true"/>
        <sz val="10"/>
        <color rgb="FFFFFFFF"/>
        <rFont val="Noto Sans CJK SC"/>
        <family val="2"/>
      </rPr>
      <t xml:space="preserve">依存係数
</t>
    </r>
    <r>
      <rPr>
        <b val="true"/>
        <sz val="10"/>
        <color rgb="FFFFFFFF"/>
        <rFont val="Yu Gothic"/>
        <family val="0"/>
        <charset val="1"/>
      </rPr>
      <t xml:space="preserve">(1-5)</t>
    </r>
  </si>
  <si>
    <r>
      <rPr>
        <b val="true"/>
        <sz val="10"/>
        <color rgb="FFFFFFFF"/>
        <rFont val="Noto Sans CJK SC"/>
        <family val="2"/>
      </rPr>
      <t xml:space="preserve">導入難易度
</t>
    </r>
    <r>
      <rPr>
        <b val="true"/>
        <sz val="10"/>
        <color rgb="FFFFFFFF"/>
        <rFont val="Yu Gothic"/>
        <family val="0"/>
        <charset val="1"/>
      </rPr>
      <t xml:space="preserve">(1-5)</t>
    </r>
  </si>
  <si>
    <t xml:space="preserve">優先度
スコア</t>
  </si>
  <si>
    <t xml:space="preserve">抽出対象</t>
  </si>
  <si>
    <r>
      <rPr>
        <b val="true"/>
        <sz val="10"/>
        <color rgb="FFFFFFFF"/>
        <rFont val="Noto Sans CJK SC"/>
        <family val="2"/>
      </rPr>
      <t xml:space="preserve">推奨施策</t>
    </r>
    <r>
      <rPr>
        <b val="true"/>
        <sz val="10"/>
        <color rgb="FFFFFFFF"/>
        <rFont val="Yu Gothic"/>
        <family val="0"/>
        <charset val="1"/>
      </rPr>
      <t xml:space="preserve">ID</t>
    </r>
  </si>
  <si>
    <t xml:space="preserve">推奨施策名</t>
  </si>
  <si>
    <r>
      <rPr>
        <b val="true"/>
        <sz val="10"/>
        <color rgb="FFFFFFFF"/>
        <rFont val="Noto Sans CJK SC"/>
        <family val="2"/>
      </rPr>
      <t xml:space="preserve">調整スコア
</t>
    </r>
    <r>
      <rPr>
        <b val="true"/>
        <sz val="10"/>
        <color rgb="FFFFFFFF"/>
        <rFont val="Yu Gothic"/>
        <family val="0"/>
        <charset val="1"/>
      </rPr>
      <t xml:space="preserve">(</t>
    </r>
    <r>
      <rPr>
        <b val="true"/>
        <sz val="10"/>
        <color rgb="FFFFFFFF"/>
        <rFont val="Noto Sans CJK SC"/>
        <family val="2"/>
      </rPr>
      <t xml:space="preserve">内部</t>
    </r>
    <r>
      <rPr>
        <b val="true"/>
        <sz val="10"/>
        <color rgb="FFFFFFFF"/>
        <rFont val="Yu Gothic"/>
        <family val="0"/>
        <charset val="1"/>
      </rPr>
      <t xml:space="preserve">)</t>
    </r>
  </si>
  <si>
    <r>
      <rPr>
        <b val="true"/>
        <sz val="10"/>
        <color rgb="FFFFFFFF"/>
        <rFont val="Noto Sans CJK SC"/>
        <family val="2"/>
      </rPr>
      <t xml:space="preserve">スコア順位
</t>
    </r>
    <r>
      <rPr>
        <b val="true"/>
        <sz val="10"/>
        <color rgb="FFFFFFFF"/>
        <rFont val="Yu Gothic"/>
        <family val="0"/>
        <charset val="1"/>
      </rPr>
      <t xml:space="preserve">(</t>
    </r>
    <r>
      <rPr>
        <b val="true"/>
        <sz val="10"/>
        <color rgb="FFFFFFFF"/>
        <rFont val="Noto Sans CJK SC"/>
        <family val="2"/>
      </rPr>
      <t xml:space="preserve">内部</t>
    </r>
    <r>
      <rPr>
        <b val="true"/>
        <sz val="10"/>
        <color rgb="FFFFFFFF"/>
        <rFont val="Yu Gothic"/>
        <family val="0"/>
        <charset val="1"/>
      </rPr>
      <t xml:space="preserve">)</t>
    </r>
  </si>
  <si>
    <r>
      <rPr>
        <b val="true"/>
        <sz val="10"/>
        <color rgb="FFFFFFFF"/>
        <rFont val="Yu Gothic"/>
        <family val="0"/>
        <charset val="1"/>
      </rPr>
      <t xml:space="preserve">lineage
(</t>
    </r>
    <r>
      <rPr>
        <b val="true"/>
        <sz val="10"/>
        <color rgb="FFFFFFFF"/>
        <rFont val="Noto Sans CJK SC"/>
        <family val="2"/>
      </rPr>
      <t xml:space="preserve">内部</t>
    </r>
    <r>
      <rPr>
        <b val="true"/>
        <sz val="10"/>
        <color rgb="FFFFFFFF"/>
        <rFont val="Yu Gothic"/>
        <family val="0"/>
        <charset val="1"/>
      </rPr>
      <t xml:space="preserve">)</t>
    </r>
  </si>
  <si>
    <t xml:space="preserve">AIMF-GV-ORG-001</t>
  </si>
  <si>
    <t xml:space="preserve">GV</t>
  </si>
  <si>
    <t xml:space="preserve">ORG</t>
  </si>
  <si>
    <r>
      <rPr>
        <sz val="9"/>
        <rFont val="Yu Gothic"/>
        <family val="0"/>
        <charset val="1"/>
      </rPr>
      <t xml:space="preserve">AI</t>
    </r>
    <r>
      <rPr>
        <sz val="9"/>
        <rFont val="Noto Sans CJK SC"/>
        <family val="2"/>
      </rPr>
      <t xml:space="preserve">ガバナンス委員会の設置</t>
    </r>
  </si>
  <si>
    <r>
      <rPr>
        <sz val="9"/>
        <rFont val="Noto Sans CJK SC"/>
        <family val="2"/>
      </rPr>
      <t xml:space="preserve">経営層、</t>
    </r>
    <r>
      <rPr>
        <sz val="9"/>
        <rFont val="Yu Gothic"/>
        <family val="0"/>
        <charset val="1"/>
      </rPr>
      <t xml:space="preserve">CISO</t>
    </r>
    <r>
      <rPr>
        <sz val="9"/>
        <rFont val="Noto Sans CJK SC"/>
        <family val="2"/>
      </rPr>
      <t xml:space="preserve">、法務、</t>
    </r>
    <r>
      <rPr>
        <sz val="9"/>
        <rFont val="Yu Gothic"/>
        <family val="0"/>
        <charset val="1"/>
      </rPr>
      <t xml:space="preserve">IT</t>
    </r>
    <r>
      <rPr>
        <sz val="9"/>
        <rFont val="Noto Sans CJK SC"/>
        <family val="2"/>
      </rPr>
      <t xml:space="preserve">部門、事業部門の代表からなるクロスファンクショナルな統治組織を組成し、責任の所在を明確にしていますか。</t>
    </r>
  </si>
  <si>
    <t xml:space="preserve">AI-Enhancement</t>
  </si>
  <si>
    <t xml:space="preserve">all</t>
  </si>
  <si>
    <t xml:space="preserve">baseline</t>
  </si>
  <si>
    <t xml:space="preserve">AIMF-GV-ORG-002</t>
  </si>
  <si>
    <r>
      <rPr>
        <sz val="9"/>
        <rFont val="Yu Gothic"/>
        <family val="0"/>
        <charset val="1"/>
      </rPr>
      <t xml:space="preserve">AI</t>
    </r>
    <r>
      <rPr>
        <sz val="9"/>
        <rFont val="Noto Sans CJK SC"/>
        <family val="2"/>
      </rPr>
      <t xml:space="preserve">活用基本方針・ガイドラインの策定</t>
    </r>
  </si>
  <si>
    <r>
      <rPr>
        <sz val="9"/>
        <rFont val="Noto Sans CJK SC"/>
        <family val="2"/>
      </rPr>
      <t xml:space="preserve">全社的な</t>
    </r>
    <r>
      <rPr>
        <sz val="9"/>
        <rFont val="Yu Gothic"/>
        <family val="0"/>
        <charset val="1"/>
      </rPr>
      <t xml:space="preserve">AI</t>
    </r>
    <r>
      <rPr>
        <sz val="9"/>
        <rFont val="Noto Sans CJK SC"/>
        <family val="2"/>
      </rPr>
      <t xml:space="preserve">利用の目的、許容リスクレベル、禁止事項（機密情報の公衆</t>
    </r>
    <r>
      <rPr>
        <sz val="9"/>
        <rFont val="Yu Gothic"/>
        <family val="0"/>
        <charset val="1"/>
      </rPr>
      <t xml:space="preserve">AI</t>
    </r>
    <r>
      <rPr>
        <sz val="9"/>
        <rFont val="Noto Sans CJK SC"/>
        <family val="2"/>
      </rPr>
      <t xml:space="preserve">への入力禁止等）を定義・規程化していますか。</t>
    </r>
  </si>
  <si>
    <t xml:space="preserve">AIMF-GV-ORG-003</t>
  </si>
  <si>
    <r>
      <rPr>
        <sz val="9"/>
        <rFont val="Yu Gothic"/>
        <family val="0"/>
        <charset val="1"/>
      </rPr>
      <t xml:space="preserve">AI</t>
    </r>
    <r>
      <rPr>
        <sz val="9"/>
        <rFont val="Noto Sans CJK SC"/>
        <family val="2"/>
      </rPr>
      <t xml:space="preserve">リスクアセスメント・プロジェクト承認プロセスの構築</t>
    </r>
  </si>
  <si>
    <r>
      <rPr>
        <sz val="9"/>
        <rFont val="Noto Sans CJK SC"/>
        <family val="2"/>
      </rPr>
      <t xml:space="preserve">新規</t>
    </r>
    <r>
      <rPr>
        <sz val="9"/>
        <rFont val="Yu Gothic"/>
        <family val="0"/>
        <charset val="1"/>
      </rPr>
      <t xml:space="preserve">AI</t>
    </r>
    <r>
      <rPr>
        <sz val="9"/>
        <rFont val="Noto Sans CJK SC"/>
        <family val="2"/>
      </rPr>
      <t xml:space="preserve">プロジェクト開始前に機密性・影響度に応じたセキュリティ審査を義務付け、継続的アセスメント体制へシフトしていますか。</t>
    </r>
  </si>
  <si>
    <t xml:space="preserve">AIMF-GV-ORG-004</t>
  </si>
  <si>
    <r>
      <rPr>
        <sz val="9"/>
        <rFont val="Yu Gothic"/>
        <family val="0"/>
        <charset val="1"/>
      </rPr>
      <t xml:space="preserve">AI</t>
    </r>
    <r>
      <rPr>
        <sz val="9"/>
        <rFont val="Noto Sans CJK SC"/>
        <family val="2"/>
      </rPr>
      <t xml:space="preserve">セキュリティ文化の醸成</t>
    </r>
  </si>
  <si>
    <t xml:space="preserve">定期的な教育・啓発活動を通じ、全従業員がセキュリティを意識した行動をとれる文化を醸成していますか。</t>
  </si>
  <si>
    <t xml:space="preserve">AIMF-GV-ORG-005</t>
  </si>
  <si>
    <r>
      <rPr>
        <sz val="9"/>
        <rFont val="Yu Gothic"/>
        <family val="0"/>
        <charset val="1"/>
      </rPr>
      <t xml:space="preserve">AI</t>
    </r>
    <r>
      <rPr>
        <sz val="9"/>
        <rFont val="Noto Sans CJK SC"/>
        <family val="2"/>
      </rPr>
      <t xml:space="preserve">セキュリティの社内コミュニケーション強化</t>
    </r>
  </si>
  <si>
    <r>
      <rPr>
        <sz val="9"/>
        <rFont val="Yu Gothic"/>
        <family val="0"/>
        <charset val="1"/>
      </rPr>
      <t xml:space="preserve">AI</t>
    </r>
    <r>
      <rPr>
        <sz val="9"/>
        <rFont val="Noto Sans CJK SC"/>
        <family val="2"/>
      </rPr>
      <t xml:space="preserve">セキュリティ情報・インシデントを迅速かつ透明に共有するコミュニケーションチャネルを確立していますか。</t>
    </r>
  </si>
  <si>
    <t xml:space="preserve">AIMF-GV-ORG-006</t>
  </si>
  <si>
    <r>
      <rPr>
        <sz val="9"/>
        <rFont val="Yu Gothic"/>
        <family val="0"/>
        <charset val="1"/>
      </rPr>
      <t xml:space="preserve">AI</t>
    </r>
    <r>
      <rPr>
        <sz val="9"/>
        <rFont val="Noto Sans CJK SC"/>
        <family val="2"/>
      </rPr>
      <t xml:space="preserve">統括責任者（</t>
    </r>
    <r>
      <rPr>
        <sz val="9"/>
        <rFont val="Yu Gothic"/>
        <family val="0"/>
        <charset val="1"/>
      </rPr>
      <t xml:space="preserve">CAIO/AI</t>
    </r>
    <r>
      <rPr>
        <sz val="9"/>
        <rFont val="Noto Sans CJK SC"/>
        <family val="2"/>
      </rPr>
      <t xml:space="preserve">セキュリティ責任者）の任命</t>
    </r>
  </si>
  <si>
    <r>
      <rPr>
        <sz val="9"/>
        <rFont val="Yu Gothic"/>
        <family val="0"/>
        <charset val="1"/>
      </rPr>
      <t xml:space="preserve">AI</t>
    </r>
    <r>
      <rPr>
        <sz val="9"/>
        <rFont val="Noto Sans CJK SC"/>
        <family val="2"/>
      </rPr>
      <t xml:space="preserve">のリスクとセキュリティに関する説明責任を負う役員級の責任者を任命し、取締役会への定期報告ラインを確立していますか。</t>
    </r>
  </si>
  <si>
    <t xml:space="preserve">extended</t>
  </si>
  <si>
    <t xml:space="preserve">AIMF-GV-ORG-007</t>
  </si>
  <si>
    <r>
      <rPr>
        <sz val="9"/>
        <rFont val="Yu Gothic"/>
        <family val="0"/>
        <charset val="1"/>
      </rPr>
      <t xml:space="preserve">AI</t>
    </r>
    <r>
      <rPr>
        <sz val="9"/>
        <rFont val="Noto Sans CJK SC"/>
        <family val="2"/>
      </rPr>
      <t xml:space="preserve">セキュリティ予算・リソースの確保</t>
    </r>
  </si>
  <si>
    <r>
      <rPr>
        <sz val="9"/>
        <rFont val="Yu Gothic"/>
        <family val="0"/>
        <charset val="1"/>
      </rPr>
      <t xml:space="preserve">AI</t>
    </r>
    <r>
      <rPr>
        <sz val="9"/>
        <rFont val="Noto Sans CJK SC"/>
        <family val="2"/>
      </rPr>
      <t xml:space="preserve">脅威の進展速度に見合うセキュリティ投資（人員・ツール・訓練）を経営レベルで確保し、毎年見直していますか。</t>
    </r>
  </si>
  <si>
    <t xml:space="preserve">AIMF-GV-ORG-008</t>
  </si>
  <si>
    <r>
      <rPr>
        <sz val="9"/>
        <rFont val="Yu Gothic"/>
        <family val="0"/>
        <charset val="1"/>
      </rPr>
      <t xml:space="preserve">AI</t>
    </r>
    <r>
      <rPr>
        <sz val="9"/>
        <rFont val="Noto Sans CJK SC"/>
        <family val="2"/>
      </rPr>
      <t xml:space="preserve">ライフサイクル全体の</t>
    </r>
    <r>
      <rPr>
        <sz val="9"/>
        <rFont val="Yu Gothic"/>
        <family val="0"/>
        <charset val="1"/>
      </rPr>
      <t xml:space="preserve">RACI</t>
    </r>
    <r>
      <rPr>
        <sz val="9"/>
        <rFont val="Noto Sans CJK SC"/>
        <family val="2"/>
      </rPr>
      <t xml:space="preserve">定義</t>
    </r>
  </si>
  <si>
    <r>
      <rPr>
        <sz val="9"/>
        <rFont val="Noto Sans CJK SC"/>
        <family val="2"/>
      </rPr>
      <t xml:space="preserve">企画・開発・評価・運用・廃棄の各フェーズにおける実行責任・説明責任・協業・報告先を</t>
    </r>
    <r>
      <rPr>
        <sz val="9"/>
        <rFont val="Yu Gothic"/>
        <family val="0"/>
        <charset val="1"/>
      </rPr>
      <t xml:space="preserve">RACI</t>
    </r>
    <r>
      <rPr>
        <sz val="9"/>
        <rFont val="Noto Sans CJK SC"/>
        <family val="2"/>
      </rPr>
      <t xml:space="preserve">として文書化していますか。</t>
    </r>
  </si>
  <si>
    <t xml:space="preserve">AIMF-GV-ORG-009</t>
  </si>
  <si>
    <r>
      <rPr>
        <sz val="9"/>
        <rFont val="Yu Gothic"/>
        <family val="0"/>
        <charset val="1"/>
      </rPr>
      <t xml:space="preserve">AI</t>
    </r>
    <r>
      <rPr>
        <sz val="9"/>
        <rFont val="Noto Sans CJK SC"/>
        <family val="2"/>
      </rPr>
      <t xml:space="preserve">倫理審査との連携プロセス</t>
    </r>
  </si>
  <si>
    <r>
      <rPr>
        <sz val="9"/>
        <rFont val="Noto Sans CJK SC"/>
        <family val="2"/>
      </rPr>
      <t xml:space="preserve">セキュリティ審査と</t>
    </r>
    <r>
      <rPr>
        <sz val="9"/>
        <rFont val="Yu Gothic"/>
        <family val="0"/>
        <charset val="1"/>
      </rPr>
      <t xml:space="preserve">AI</t>
    </r>
    <r>
      <rPr>
        <sz val="9"/>
        <rFont val="Noto Sans CJK SC"/>
        <family val="2"/>
      </rPr>
      <t xml:space="preserve">倫理・責任ある</t>
    </r>
    <r>
      <rPr>
        <sz val="9"/>
        <rFont val="Yu Gothic"/>
        <family val="0"/>
        <charset val="1"/>
      </rPr>
      <t xml:space="preserve">AI</t>
    </r>
    <r>
      <rPr>
        <sz val="9"/>
        <rFont val="Noto Sans CJK SC"/>
        <family val="2"/>
      </rPr>
      <t xml:space="preserve">審査の役割分担と連携手順を定義し、二重審査の漏れと重複を防いでいますか。</t>
    </r>
  </si>
  <si>
    <t xml:space="preserve">AIMF-GV-POL-001</t>
  </si>
  <si>
    <t xml:space="preserve">POL</t>
  </si>
  <si>
    <r>
      <rPr>
        <sz val="9"/>
        <rFont val="Yu Gothic"/>
        <family val="0"/>
        <charset val="1"/>
      </rPr>
      <t xml:space="preserve">AI</t>
    </r>
    <r>
      <rPr>
        <sz val="9"/>
        <rFont val="Noto Sans CJK SC"/>
        <family val="2"/>
      </rPr>
      <t xml:space="preserve">ポリシースイートの体系化</t>
    </r>
  </si>
  <si>
    <r>
      <rPr>
        <sz val="9"/>
        <rFont val="Yu Gothic"/>
        <family val="0"/>
        <charset val="1"/>
      </rPr>
      <t xml:space="preserve">AI</t>
    </r>
    <r>
      <rPr>
        <sz val="9"/>
        <rFont val="Noto Sans CJK SC"/>
        <family val="2"/>
      </rPr>
      <t xml:space="preserve">利用方針・開発方針・調達方針・データ利用方針を階層的な規程体系として整備し、相互参照と版管理を行っていますか。</t>
    </r>
  </si>
  <si>
    <t xml:space="preserve">AIMF-GV-POL-002</t>
  </si>
  <si>
    <r>
      <rPr>
        <sz val="9"/>
        <rFont val="Noto Sans CJK SC"/>
        <family val="2"/>
      </rPr>
      <t xml:space="preserve">生成</t>
    </r>
    <r>
      <rPr>
        <sz val="9"/>
        <rFont val="Yu Gothic"/>
        <family val="0"/>
        <charset val="1"/>
      </rPr>
      <t xml:space="preserve">AI</t>
    </r>
    <r>
      <rPr>
        <sz val="9"/>
        <rFont val="Noto Sans CJK SC"/>
        <family val="2"/>
      </rPr>
      <t xml:space="preserve">利用細則（入力禁止情報・プロンプト取扱規程）</t>
    </r>
  </si>
  <si>
    <t xml:space="preserve">機密情報・個人情報の入力制限、プロンプトの取扱い、出力の業務利用条件を利用者向け細則として定めていますか。</t>
  </si>
  <si>
    <t xml:space="preserve">AI-Expansion</t>
  </si>
  <si>
    <t xml:space="preserve">generative-ai</t>
  </si>
  <si>
    <t xml:space="preserve">AIMF-GV-POL-003</t>
  </si>
  <si>
    <r>
      <rPr>
        <sz val="9"/>
        <rFont val="Noto Sans CJK SC"/>
        <family val="2"/>
      </rPr>
      <t xml:space="preserve">承認済み</t>
    </r>
    <r>
      <rPr>
        <sz val="9"/>
        <rFont val="Yu Gothic"/>
        <family val="0"/>
        <charset val="1"/>
      </rPr>
      <t xml:space="preserve">AI</t>
    </r>
    <r>
      <rPr>
        <sz val="9"/>
        <rFont val="Noto Sans CJK SC"/>
        <family val="2"/>
      </rPr>
      <t xml:space="preserve">サービスカタログと例外管理</t>
    </r>
  </si>
  <si>
    <r>
      <rPr>
        <sz val="9"/>
        <rFont val="Noto Sans CJK SC"/>
        <family val="2"/>
      </rPr>
      <t xml:space="preserve">利用を許可する</t>
    </r>
    <r>
      <rPr>
        <sz val="9"/>
        <rFont val="Yu Gothic"/>
        <family val="0"/>
        <charset val="1"/>
      </rPr>
      <t xml:space="preserve">AI</t>
    </r>
    <r>
      <rPr>
        <sz val="9"/>
        <rFont val="Noto Sans CJK SC"/>
        <family val="2"/>
      </rPr>
      <t xml:space="preserve">サービス・モデルのカタログを維持し、カタログ外利用の例外承認・期限付き許可プロセスを運用していますか。</t>
    </r>
  </si>
  <si>
    <t xml:space="preserve">AIMF-GV-POL-004</t>
  </si>
  <si>
    <r>
      <rPr>
        <sz val="9"/>
        <rFont val="Yu Gothic"/>
        <family val="0"/>
        <charset val="1"/>
      </rPr>
      <t xml:space="preserve">AI</t>
    </r>
    <r>
      <rPr>
        <sz val="9"/>
        <rFont val="Noto Sans CJK SC"/>
        <family val="2"/>
      </rPr>
      <t xml:space="preserve">サービス利用規約・提供条件の遵守管理</t>
    </r>
  </si>
  <si>
    <r>
      <rPr>
        <sz val="9"/>
        <rFont val="Noto Sans CJK SC"/>
        <family val="2"/>
      </rPr>
      <t xml:space="preserve">外部</t>
    </r>
    <r>
      <rPr>
        <sz val="9"/>
        <rFont val="Yu Gothic"/>
        <family val="0"/>
        <charset val="1"/>
      </rPr>
      <t xml:space="preserve">AI</t>
    </r>
    <r>
      <rPr>
        <sz val="9"/>
        <rFont val="Noto Sans CJK SC"/>
        <family val="2"/>
      </rPr>
      <t xml:space="preserve">サービスの利用規約（商用利用条件・出力の権利・レート制限）の遵守状況を管理し、規約変更を追跡していますか。</t>
    </r>
  </si>
  <si>
    <t xml:space="preserve">AIMF-GV-POL-005</t>
  </si>
  <si>
    <t xml:space="preserve">ポリシーの技術進化への追随レビュー</t>
  </si>
  <si>
    <r>
      <rPr>
        <sz val="9"/>
        <rFont val="Noto Sans CJK SC"/>
        <family val="2"/>
      </rPr>
      <t xml:space="preserve">エージェント・マルチエージェント等の技術進化を踏まえ、</t>
    </r>
    <r>
      <rPr>
        <sz val="9"/>
        <rFont val="Yu Gothic"/>
        <family val="0"/>
        <charset val="1"/>
      </rPr>
      <t xml:space="preserve">AI</t>
    </r>
    <r>
      <rPr>
        <sz val="9"/>
        <rFont val="Noto Sans CJK SC"/>
        <family val="2"/>
      </rPr>
      <t xml:space="preserve">ポリシー群を少なくとも年次および重大変化時に見直していますか。</t>
    </r>
  </si>
  <si>
    <t xml:space="preserve">AIMF-GV-RSM-001</t>
  </si>
  <si>
    <t xml:space="preserve">RSM</t>
  </si>
  <si>
    <r>
      <rPr>
        <sz val="9"/>
        <rFont val="Yu Gothic"/>
        <family val="0"/>
        <charset val="1"/>
      </rPr>
      <t xml:space="preserve">AI</t>
    </r>
    <r>
      <rPr>
        <sz val="9"/>
        <rFont val="Noto Sans CJK SC"/>
        <family val="2"/>
      </rPr>
      <t xml:space="preserve">リスクマネジメントプロセスの体系化</t>
    </r>
  </si>
  <si>
    <r>
      <rPr>
        <sz val="9"/>
        <rFont val="Noto Sans CJK SC"/>
        <family val="2"/>
      </rPr>
      <t xml:space="preserve">リスク基準（受容可能なリスクレベル）、</t>
    </r>
    <r>
      <rPr>
        <sz val="9"/>
        <rFont val="Yu Gothic"/>
        <family val="0"/>
        <charset val="1"/>
      </rPr>
      <t xml:space="preserve">AI</t>
    </r>
    <r>
      <rPr>
        <sz val="9"/>
        <rFont val="Noto Sans CJK SC"/>
        <family val="2"/>
      </rPr>
      <t xml:space="preserve">リスク登録簿、リスク対応（回避・低減・移転・受容）の判断プロセスを文書化し、</t>
    </r>
    <r>
      <rPr>
        <sz val="9"/>
        <rFont val="Yu Gothic"/>
        <family val="0"/>
        <charset val="1"/>
      </rPr>
      <t xml:space="preserve">AI</t>
    </r>
    <r>
      <rPr>
        <sz val="9"/>
        <rFont val="Noto Sans CJK SC"/>
        <family val="2"/>
      </rPr>
      <t xml:space="preserve">ライフサイクル全体で反復的に運用していますか。</t>
    </r>
  </si>
  <si>
    <t xml:space="preserve">AIMF-GV-RSM-002</t>
  </si>
  <si>
    <r>
      <rPr>
        <sz val="9"/>
        <rFont val="Yu Gothic"/>
        <family val="0"/>
        <charset val="1"/>
      </rPr>
      <t xml:space="preserve">AI</t>
    </r>
    <r>
      <rPr>
        <sz val="9"/>
        <rFont val="Noto Sans CJK SC"/>
        <family val="2"/>
      </rPr>
      <t xml:space="preserve">システム影響評価（</t>
    </r>
    <r>
      <rPr>
        <sz val="9"/>
        <rFont val="Yu Gothic"/>
        <family val="0"/>
        <charset val="1"/>
      </rPr>
      <t xml:space="preserve">AIIA</t>
    </r>
    <r>
      <rPr>
        <sz val="9"/>
        <rFont val="Noto Sans CJK SC"/>
        <family val="2"/>
      </rPr>
      <t xml:space="preserve">）の実施</t>
    </r>
  </si>
  <si>
    <r>
      <rPr>
        <sz val="9"/>
        <rFont val="Noto Sans CJK SC"/>
        <family val="2"/>
      </rPr>
      <t xml:space="preserve">個人・社会への影響（安全性、基本的権利、プライバシー）を評価する</t>
    </r>
    <r>
      <rPr>
        <sz val="9"/>
        <rFont val="Yu Gothic"/>
        <family val="0"/>
        <charset val="1"/>
      </rPr>
      <t xml:space="preserve">AI</t>
    </r>
    <r>
      <rPr>
        <sz val="9"/>
        <rFont val="Noto Sans CJK SC"/>
        <family val="2"/>
      </rPr>
      <t xml:space="preserve">システム影響評価を、高影響ユースケースの企画段階で実施し文書化していますか。</t>
    </r>
  </si>
  <si>
    <t xml:space="preserve">AIMF-GV-RSM-003</t>
  </si>
  <si>
    <r>
      <rPr>
        <sz val="9"/>
        <rFont val="Yu Gothic"/>
        <family val="0"/>
        <charset val="1"/>
      </rPr>
      <t xml:space="preserve">AI</t>
    </r>
    <r>
      <rPr>
        <sz val="9"/>
        <rFont val="Noto Sans CJK SC"/>
        <family val="2"/>
      </rPr>
      <t xml:space="preserve">システムのリスク分類・階層化</t>
    </r>
  </si>
  <si>
    <r>
      <rPr>
        <sz val="9"/>
        <rFont val="Noto Sans CJK SC"/>
        <family val="2"/>
      </rPr>
      <t xml:space="preserve">ユースケースごとにリスク区分（</t>
    </r>
    <r>
      <rPr>
        <sz val="9"/>
        <rFont val="Yu Gothic"/>
        <family val="0"/>
        <charset val="1"/>
      </rPr>
      <t xml:space="preserve">EU AI Act</t>
    </r>
    <r>
      <rPr>
        <sz val="9"/>
        <rFont val="Noto Sans CJK SC"/>
        <family val="2"/>
      </rPr>
      <t xml:space="preserve">の禁止・高リスク・限定リスク・最小リスク等）を判定し、区分に応じた管理策の適用レベルを決定していますか。</t>
    </r>
  </si>
  <si>
    <t xml:space="preserve">AIMF-GV-RSM-004</t>
  </si>
  <si>
    <r>
      <rPr>
        <sz val="9"/>
        <rFont val="Yu Gothic"/>
        <family val="0"/>
        <charset val="1"/>
      </rPr>
      <t xml:space="preserve">AI</t>
    </r>
    <r>
      <rPr>
        <sz val="9"/>
        <rFont val="Noto Sans CJK SC"/>
        <family val="2"/>
      </rPr>
      <t xml:space="preserve">リスク登録簿の整備・維持</t>
    </r>
  </si>
  <si>
    <r>
      <rPr>
        <sz val="9"/>
        <rFont val="Noto Sans CJK SC"/>
        <family val="2"/>
      </rPr>
      <t xml:space="preserve">特定した</t>
    </r>
    <r>
      <rPr>
        <sz val="9"/>
        <rFont val="Yu Gothic"/>
        <family val="0"/>
        <charset val="1"/>
      </rPr>
      <t xml:space="preserve">AI</t>
    </r>
    <r>
      <rPr>
        <sz val="9"/>
        <rFont val="Noto Sans CJK SC"/>
        <family val="2"/>
      </rPr>
      <t xml:space="preserve">リスクを登録簿として一元管理し、リスクオーナー・対応状況・再評価期限を追跡していますか。</t>
    </r>
  </si>
  <si>
    <t xml:space="preserve">AIMF-GV-RSM-005</t>
  </si>
  <si>
    <t xml:space="preserve">リスク受容基準と残存リスクの承認</t>
  </si>
  <si>
    <t xml:space="preserve">リスク受容基準を定義し、残存リスクの受容判断を権限者による文書化された承認として運用していますか。</t>
  </si>
  <si>
    <t xml:space="preserve">AIMF-GV-RSM-006</t>
  </si>
  <si>
    <r>
      <rPr>
        <sz val="9"/>
        <rFont val="Noto Sans CJK SC"/>
        <family val="2"/>
      </rPr>
      <t xml:space="preserve">脅威情報に基づく</t>
    </r>
    <r>
      <rPr>
        <sz val="9"/>
        <rFont val="Yu Gothic"/>
        <family val="0"/>
        <charset val="1"/>
      </rPr>
      <t xml:space="preserve">AI</t>
    </r>
    <r>
      <rPr>
        <sz val="9"/>
        <rFont val="Noto Sans CJK SC"/>
        <family val="2"/>
      </rPr>
      <t xml:space="preserve">リスク評価</t>
    </r>
  </si>
  <si>
    <r>
      <rPr>
        <sz val="9"/>
        <rFont val="Yu Gothic"/>
        <family val="0"/>
        <charset val="1"/>
      </rPr>
      <t xml:space="preserve">MITRE ATLAS</t>
    </r>
    <r>
      <rPr>
        <sz val="9"/>
        <rFont val="Noto Sans CJK SC"/>
        <family val="2"/>
      </rPr>
      <t xml:space="preserve">の</t>
    </r>
    <r>
      <rPr>
        <sz val="9"/>
        <rFont val="Yu Gothic"/>
        <family val="0"/>
        <charset val="1"/>
      </rPr>
      <t xml:space="preserve">TTP</t>
    </r>
    <r>
      <rPr>
        <sz val="9"/>
        <rFont val="Noto Sans CJK SC"/>
        <family val="2"/>
      </rPr>
      <t xml:space="preserve">と</t>
    </r>
    <r>
      <rPr>
        <sz val="9"/>
        <rFont val="Yu Gothic"/>
        <family val="0"/>
        <charset val="1"/>
      </rPr>
      <t xml:space="preserve">ENISA</t>
    </r>
    <r>
      <rPr>
        <sz val="9"/>
        <rFont val="Noto Sans CJK SC"/>
        <family val="2"/>
      </rPr>
      <t xml:space="preserve">脅威ランドスケープを用いて、脅威主導（</t>
    </r>
    <r>
      <rPr>
        <sz val="9"/>
        <rFont val="Yu Gothic"/>
        <family val="0"/>
        <charset val="1"/>
      </rPr>
      <t xml:space="preserve">threat-informed</t>
    </r>
    <r>
      <rPr>
        <sz val="9"/>
        <rFont val="Noto Sans CJK SC"/>
        <family val="2"/>
      </rPr>
      <t xml:space="preserve">）のリスク評価を実施していますか。</t>
    </r>
  </si>
  <si>
    <t xml:space="preserve">AIMF-GV-RSM-007</t>
  </si>
  <si>
    <r>
      <rPr>
        <sz val="9"/>
        <rFont val="Noto Sans CJK SC"/>
        <family val="2"/>
      </rPr>
      <t xml:space="preserve">エージェント</t>
    </r>
    <r>
      <rPr>
        <sz val="9"/>
        <rFont val="Yu Gothic"/>
        <family val="0"/>
        <charset val="1"/>
      </rPr>
      <t xml:space="preserve">AI</t>
    </r>
    <r>
      <rPr>
        <sz val="9"/>
        <rFont val="Noto Sans CJK SC"/>
        <family val="2"/>
      </rPr>
      <t xml:space="preserve">導入前の限定リスク評価</t>
    </r>
  </si>
  <si>
    <r>
      <rPr>
        <sz val="9"/>
        <rFont val="Noto Sans CJK SC"/>
        <family val="2"/>
      </rPr>
      <t xml:space="preserve">エージェント</t>
    </r>
    <r>
      <rPr>
        <sz val="9"/>
        <rFont val="Yu Gothic"/>
        <family val="0"/>
        <charset val="1"/>
      </rPr>
      <t xml:space="preserve">AI</t>
    </r>
    <r>
      <rPr>
        <sz val="9"/>
        <rFont val="Noto Sans CJK SC"/>
        <family val="2"/>
      </rPr>
      <t xml:space="preserve">は低リスク・非機微業務から段階的に導入する原則を定め、広範・無制限なアクセス付与を導入判断の段階で禁止していますか。</t>
    </r>
  </si>
  <si>
    <t xml:space="preserve">ai-agent,multi-agent</t>
  </si>
  <si>
    <t xml:space="preserve">AIMF-GV-RSM-008</t>
  </si>
  <si>
    <r>
      <rPr>
        <sz val="9"/>
        <rFont val="Yu Gothic"/>
        <family val="0"/>
        <charset val="1"/>
      </rPr>
      <t xml:space="preserve">AI</t>
    </r>
    <r>
      <rPr>
        <sz val="9"/>
        <rFont val="Noto Sans CJK SC"/>
        <family val="2"/>
      </rPr>
      <t xml:space="preserve">リスク</t>
    </r>
    <r>
      <rPr>
        <sz val="9"/>
        <rFont val="Yu Gothic"/>
        <family val="0"/>
        <charset val="1"/>
      </rPr>
      <t xml:space="preserve">KRI</t>
    </r>
    <r>
      <rPr>
        <sz val="9"/>
        <rFont val="Noto Sans CJK SC"/>
        <family val="2"/>
      </rPr>
      <t xml:space="preserve">とエスカレーション閾値</t>
    </r>
  </si>
  <si>
    <r>
      <rPr>
        <sz val="9"/>
        <rFont val="Yu Gothic"/>
        <family val="0"/>
        <charset val="1"/>
      </rPr>
      <t xml:space="preserve">AI</t>
    </r>
    <r>
      <rPr>
        <sz val="9"/>
        <rFont val="Noto Sans CJK SC"/>
        <family val="2"/>
      </rPr>
      <t xml:space="preserve">リスクの主要リスク指標（</t>
    </r>
    <r>
      <rPr>
        <sz val="9"/>
        <rFont val="Yu Gothic"/>
        <family val="0"/>
        <charset val="1"/>
      </rPr>
      <t xml:space="preserve">KRI</t>
    </r>
    <r>
      <rPr>
        <sz val="9"/>
        <rFont val="Noto Sans CJK SC"/>
        <family val="2"/>
      </rPr>
      <t xml:space="preserve">）と閾値超過時のエスカレーション先・期限を定義し、経営報告に組み込んでいますか。</t>
    </r>
  </si>
  <si>
    <t xml:space="preserve">AIMF-GV-LGL-001</t>
  </si>
  <si>
    <t xml:space="preserve">LGL</t>
  </si>
  <si>
    <r>
      <rPr>
        <sz val="9"/>
        <rFont val="Yu Gothic"/>
        <family val="0"/>
        <charset val="1"/>
      </rPr>
      <t xml:space="preserve">AI</t>
    </r>
    <r>
      <rPr>
        <sz val="9"/>
        <rFont val="Noto Sans CJK SC"/>
        <family val="2"/>
      </rPr>
      <t xml:space="preserve">法規制遵守の継続的確認</t>
    </r>
  </si>
  <si>
    <r>
      <rPr>
        <sz val="9"/>
        <rFont val="Yu Gothic"/>
        <family val="0"/>
        <charset val="1"/>
      </rPr>
      <t xml:space="preserve">EU AI Act</t>
    </r>
    <r>
      <rPr>
        <sz val="9"/>
        <rFont val="Noto Sans CJK SC"/>
        <family val="2"/>
      </rPr>
      <t xml:space="preserve">等の</t>
    </r>
    <r>
      <rPr>
        <sz val="9"/>
        <rFont val="Yu Gothic"/>
        <family val="0"/>
        <charset val="1"/>
      </rPr>
      <t xml:space="preserve">AI</t>
    </r>
    <r>
      <rPr>
        <sz val="9"/>
        <rFont val="Noto Sans CJK SC"/>
        <family val="2"/>
      </rPr>
      <t xml:space="preserve">関連法規制、業界標準、個人情報保護法・</t>
    </r>
    <r>
      <rPr>
        <sz val="9"/>
        <rFont val="Yu Gothic"/>
        <family val="0"/>
        <charset val="1"/>
      </rPr>
      <t xml:space="preserve">PIA</t>
    </r>
    <r>
      <rPr>
        <sz val="9"/>
        <rFont val="Noto Sans CJK SC"/>
        <family val="2"/>
      </rPr>
      <t xml:space="preserve">への遵守状況を定期確認し、体制と対策をアップデートしていますか。</t>
    </r>
  </si>
  <si>
    <t xml:space="preserve">AIMF-GV-LGL-002</t>
  </si>
  <si>
    <t xml:space="preserve">知的財産（著作権・特許）リスク評価</t>
  </si>
  <si>
    <r>
      <rPr>
        <sz val="9"/>
        <rFont val="Yu Gothic"/>
        <family val="0"/>
        <charset val="1"/>
      </rPr>
      <t xml:space="preserve">AI</t>
    </r>
    <r>
      <rPr>
        <sz val="9"/>
        <rFont val="Noto Sans CJK SC"/>
        <family val="2"/>
      </rPr>
      <t xml:space="preserve">生成物の商用利用における著作権侵害リスクを検証し、ベンダー契約でデータ非学習（</t>
    </r>
    <r>
      <rPr>
        <sz val="9"/>
        <rFont val="Yu Gothic"/>
        <family val="0"/>
        <charset val="1"/>
      </rPr>
      <t xml:space="preserve">Opt-out</t>
    </r>
    <r>
      <rPr>
        <sz val="9"/>
        <rFont val="Noto Sans CJK SC"/>
        <family val="2"/>
      </rPr>
      <t xml:space="preserve">）の法的確証を得ていますか。</t>
    </r>
  </si>
  <si>
    <t xml:space="preserve">AIMF-GV-LGL-003</t>
  </si>
  <si>
    <t xml:space="preserve">シャドーデータの徹底的なクレンジング</t>
  </si>
  <si>
    <r>
      <rPr>
        <sz val="9"/>
        <rFont val="Noto Sans CJK SC"/>
        <family val="2"/>
      </rPr>
      <t xml:space="preserve">放置ファイルが</t>
    </r>
    <r>
      <rPr>
        <sz val="9"/>
        <rFont val="Yu Gothic"/>
        <family val="0"/>
        <charset val="1"/>
      </rPr>
      <t xml:space="preserve">RAG</t>
    </r>
    <r>
      <rPr>
        <sz val="9"/>
        <rFont val="Noto Sans CJK SC"/>
        <family val="2"/>
      </rPr>
      <t xml:space="preserve">経由で発見・要約・漏洩するリスクを防ぐため、ストレージ内の不要資産の自動削除・データ最小化を厳格化していますか。</t>
    </r>
  </si>
  <si>
    <t xml:space="preserve">AIMF-GV-LGL-004</t>
  </si>
  <si>
    <r>
      <rPr>
        <sz val="9"/>
        <rFont val="Yu Gothic"/>
        <family val="0"/>
        <charset val="1"/>
      </rPr>
      <t xml:space="preserve">EU AI Act</t>
    </r>
    <r>
      <rPr>
        <sz val="9"/>
        <rFont val="Noto Sans CJK SC"/>
        <family val="2"/>
      </rPr>
      <t xml:space="preserve">遵守プログラム</t>
    </r>
  </si>
  <si>
    <r>
      <rPr>
        <sz val="9"/>
        <rFont val="Noto Sans CJK SC"/>
        <family val="2"/>
      </rPr>
      <t xml:space="preserve">自社</t>
    </r>
    <r>
      <rPr>
        <sz val="9"/>
        <rFont val="Yu Gothic"/>
        <family val="0"/>
        <charset val="1"/>
      </rPr>
      <t xml:space="preserve">AI</t>
    </r>
    <r>
      <rPr>
        <sz val="9"/>
        <rFont val="Noto Sans CJK SC"/>
        <family val="2"/>
      </rPr>
      <t xml:space="preserve">システムの役割（提供者</t>
    </r>
    <r>
      <rPr>
        <sz val="9"/>
        <rFont val="Yu Gothic"/>
        <family val="0"/>
        <charset val="1"/>
      </rPr>
      <t xml:space="preserve">/</t>
    </r>
    <r>
      <rPr>
        <sz val="9"/>
        <rFont val="Noto Sans CJK SC"/>
        <family val="2"/>
      </rPr>
      <t xml:space="preserve">利用者）とリスク区分を判定し、</t>
    </r>
    <r>
      <rPr>
        <sz val="9"/>
        <rFont val="Yu Gothic"/>
        <family val="0"/>
        <charset val="1"/>
      </rPr>
      <t xml:space="preserve">2026</t>
    </r>
    <r>
      <rPr>
        <sz val="9"/>
        <rFont val="Noto Sans CJK SC"/>
        <family val="2"/>
      </rPr>
      <t xml:space="preserve">年</t>
    </r>
    <r>
      <rPr>
        <sz val="9"/>
        <rFont val="Yu Gothic"/>
        <family val="0"/>
        <charset val="1"/>
      </rPr>
      <t xml:space="preserve">8</t>
    </r>
    <r>
      <rPr>
        <sz val="9"/>
        <rFont val="Noto Sans CJK SC"/>
        <family val="2"/>
      </rPr>
      <t xml:space="preserve">月からの高リスク</t>
    </r>
    <r>
      <rPr>
        <sz val="9"/>
        <rFont val="Yu Gothic"/>
        <family val="0"/>
        <charset val="1"/>
      </rPr>
      <t xml:space="preserve">AI</t>
    </r>
    <r>
      <rPr>
        <sz val="9"/>
        <rFont val="Noto Sans CJK SC"/>
        <family val="2"/>
      </rPr>
      <t xml:space="preserve">義務・第</t>
    </r>
    <r>
      <rPr>
        <sz val="9"/>
        <rFont val="Yu Gothic"/>
        <family val="0"/>
        <charset val="1"/>
      </rPr>
      <t xml:space="preserve">50</t>
    </r>
    <r>
      <rPr>
        <sz val="9"/>
        <rFont val="Noto Sans CJK SC"/>
        <family val="2"/>
      </rPr>
      <t xml:space="preserve">条透明性義務への対応計画を運用していますか。</t>
    </r>
  </si>
  <si>
    <t xml:space="preserve">AIMF-GV-LGL-005</t>
  </si>
  <si>
    <t xml:space="preserve">越境データ移転・域外適用の評価</t>
  </si>
  <si>
    <r>
      <rPr>
        <sz val="9"/>
        <rFont val="Yu Gothic"/>
        <family val="0"/>
        <charset val="1"/>
      </rPr>
      <t xml:space="preserve">AI</t>
    </r>
    <r>
      <rPr>
        <sz val="9"/>
        <rFont val="Noto Sans CJK SC"/>
        <family val="2"/>
      </rPr>
      <t xml:space="preserve">サービス利用に伴う個人データの越境移転と各国</t>
    </r>
    <r>
      <rPr>
        <sz val="9"/>
        <rFont val="Yu Gothic"/>
        <family val="0"/>
        <charset val="1"/>
      </rPr>
      <t xml:space="preserve">AI</t>
    </r>
    <r>
      <rPr>
        <sz val="9"/>
        <rFont val="Noto Sans CJK SC"/>
        <family val="2"/>
      </rPr>
      <t xml:space="preserve">規制の域外適用を評価し、契約・技術的措置を講じていますか。</t>
    </r>
  </si>
  <si>
    <t xml:space="preserve">AIMF-GV-AUD-001</t>
  </si>
  <si>
    <t xml:space="preserve">AUD</t>
  </si>
  <si>
    <t xml:space="preserve">内部監査・マネジメントレビュー</t>
  </si>
  <si>
    <r>
      <rPr>
        <sz val="9"/>
        <rFont val="Yu Gothic"/>
        <family val="0"/>
        <charset val="1"/>
      </rPr>
      <t xml:space="preserve">AI</t>
    </r>
    <r>
      <rPr>
        <sz val="9"/>
        <rFont val="Noto Sans CJK SC"/>
        <family val="2"/>
      </rPr>
      <t xml:space="preserve">マネジメントシステム（</t>
    </r>
    <r>
      <rPr>
        <sz val="9"/>
        <rFont val="Yu Gothic"/>
        <family val="0"/>
        <charset val="1"/>
      </rPr>
      <t xml:space="preserve">AIMS</t>
    </r>
    <r>
      <rPr>
        <sz val="9"/>
        <rFont val="Noto Sans CJK SC"/>
        <family val="2"/>
      </rPr>
      <t xml:space="preserve">）の適合性・有効性を内部監査で定期検証し、経営層によるマネジメントレビューへ報告していますか。</t>
    </r>
  </si>
  <si>
    <t xml:space="preserve">AIMF-GV-AUD-002</t>
  </si>
  <si>
    <r>
      <rPr>
        <sz val="9"/>
        <rFont val="Yu Gothic"/>
        <family val="0"/>
        <charset val="1"/>
      </rPr>
      <t xml:space="preserve">AI</t>
    </r>
    <r>
      <rPr>
        <sz val="9"/>
        <rFont val="Noto Sans CJK SC"/>
        <family val="2"/>
      </rPr>
      <t xml:space="preserve">固有の内部監査手続の整備</t>
    </r>
  </si>
  <si>
    <r>
      <rPr>
        <sz val="9"/>
        <rFont val="Noto Sans CJK SC"/>
        <family val="2"/>
      </rPr>
      <t xml:space="preserve">モデル管理・ガードレール・エージェント統制を対象とする</t>
    </r>
    <r>
      <rPr>
        <sz val="9"/>
        <rFont val="Yu Gothic"/>
        <family val="0"/>
        <charset val="1"/>
      </rPr>
      <t xml:space="preserve">AI</t>
    </r>
    <r>
      <rPr>
        <sz val="9"/>
        <rFont val="Noto Sans CJK SC"/>
        <family val="2"/>
      </rPr>
      <t xml:space="preserve">固有の監査手続とチェックリストを整備し、監査計画に組み込んでいますか。</t>
    </r>
  </si>
  <si>
    <t xml:space="preserve">AIMF-GV-AUD-003</t>
  </si>
  <si>
    <t xml:space="preserve">第三者認証・外部評価の取得</t>
  </si>
  <si>
    <r>
      <rPr>
        <sz val="9"/>
        <rFont val="Yu Gothic"/>
        <family val="0"/>
        <charset val="1"/>
      </rPr>
      <t xml:space="preserve">ISO/IEC 42001</t>
    </r>
    <r>
      <rPr>
        <sz val="9"/>
        <rFont val="Noto Sans CJK SC"/>
        <family val="2"/>
      </rPr>
      <t xml:space="preserve">認証や</t>
    </r>
    <r>
      <rPr>
        <sz val="9"/>
        <rFont val="Yu Gothic"/>
        <family val="0"/>
        <charset val="1"/>
      </rPr>
      <t xml:space="preserve">AI</t>
    </r>
    <r>
      <rPr>
        <sz val="9"/>
        <rFont val="Noto Sans CJK SC"/>
        <family val="2"/>
      </rPr>
      <t xml:space="preserve">セキュリティ第三者評価の取得を通じ、統制の有効性を外部視点で検証していますか。</t>
    </r>
  </si>
  <si>
    <t xml:space="preserve">AIMF-GV-AUD-004</t>
  </si>
  <si>
    <r>
      <rPr>
        <sz val="9"/>
        <rFont val="Yu Gothic"/>
        <family val="0"/>
        <charset val="1"/>
      </rPr>
      <t xml:space="preserve">AI</t>
    </r>
    <r>
      <rPr>
        <sz val="9"/>
        <rFont val="Noto Sans CJK SC"/>
        <family val="2"/>
      </rPr>
      <t xml:space="preserve">セキュリティ成熟度の定期評価</t>
    </r>
  </si>
  <si>
    <r>
      <rPr>
        <sz val="9"/>
        <rFont val="Yu Gothic"/>
        <family val="0"/>
        <charset val="1"/>
      </rPr>
      <t xml:space="preserve">SANS AI Maturity Model</t>
    </r>
    <r>
      <rPr>
        <sz val="9"/>
        <rFont val="Noto Sans CJK SC"/>
        <family val="2"/>
      </rPr>
      <t xml:space="preserve">等を用いてガバナンス・データ・モデル開発・運用の成熟度を定期評価し、改善ロードマップへ反映していますか。</t>
    </r>
  </si>
  <si>
    <t xml:space="preserve">AIMF-GV-TRA-001</t>
  </si>
  <si>
    <t xml:space="preserve">TRA</t>
  </si>
  <si>
    <t xml:space="preserve">透明性・利用者への情報提供</t>
  </si>
  <si>
    <r>
      <rPr>
        <sz val="9"/>
        <rFont val="Yu Gothic"/>
        <family val="0"/>
        <charset val="1"/>
      </rPr>
      <t xml:space="preserve">AI</t>
    </r>
    <r>
      <rPr>
        <sz val="9"/>
        <rFont val="Noto Sans CJK SC"/>
        <family val="2"/>
      </rPr>
      <t xml:space="preserve">との対話であることの開示、</t>
    </r>
    <r>
      <rPr>
        <sz val="9"/>
        <rFont val="Yu Gothic"/>
        <family val="0"/>
        <charset val="1"/>
      </rPr>
      <t xml:space="preserve">AI</t>
    </r>
    <r>
      <rPr>
        <sz val="9"/>
        <rFont val="Noto Sans CJK SC"/>
        <family val="2"/>
      </rPr>
      <t xml:space="preserve">生成コンテンツの表示（ラベリング）、システムの能力・限界に関する利用者向け情報提供を制度化していますか。</t>
    </r>
  </si>
  <si>
    <t xml:space="preserve">generative-ai,ai-agent</t>
  </si>
  <si>
    <t xml:space="preserve">AIMF-GV-TRA-002</t>
  </si>
  <si>
    <t xml:space="preserve">技術文書・モデルカードの整備</t>
  </si>
  <si>
    <r>
      <rPr>
        <sz val="9"/>
        <rFont val="Yu Gothic"/>
        <family val="0"/>
        <charset val="1"/>
      </rPr>
      <t xml:space="preserve">AI</t>
    </r>
    <r>
      <rPr>
        <sz val="9"/>
        <rFont val="Noto Sans CJK SC"/>
        <family val="2"/>
      </rPr>
      <t xml:space="preserve">システムごとに設計意図、学習データ概要、性能・限界、評価結果を記載した技術文書（モデルカード／システムカード）を整備・維持していますか。</t>
    </r>
  </si>
  <si>
    <t xml:space="preserve">AIMF-GV-TRA-003</t>
  </si>
  <si>
    <r>
      <rPr>
        <sz val="9"/>
        <rFont val="Yu Gothic"/>
        <family val="0"/>
        <charset val="1"/>
      </rPr>
      <t xml:space="preserve">AI</t>
    </r>
    <r>
      <rPr>
        <sz val="9"/>
        <rFont val="Noto Sans CJK SC"/>
        <family val="2"/>
      </rPr>
      <t xml:space="preserve">生成コンテンツの来歴表示（</t>
    </r>
    <r>
      <rPr>
        <sz val="9"/>
        <rFont val="Yu Gothic"/>
        <family val="0"/>
        <charset val="1"/>
      </rPr>
      <t xml:space="preserve">C2PA</t>
    </r>
    <r>
      <rPr>
        <sz val="9"/>
        <rFont val="Noto Sans CJK SC"/>
        <family val="2"/>
      </rPr>
      <t xml:space="preserve">等）</t>
    </r>
  </si>
  <si>
    <r>
      <rPr>
        <sz val="9"/>
        <rFont val="Yu Gothic"/>
        <family val="0"/>
        <charset val="1"/>
      </rPr>
      <t xml:space="preserve">AI</t>
    </r>
    <r>
      <rPr>
        <sz val="9"/>
        <rFont val="Noto Sans CJK SC"/>
        <family val="2"/>
      </rPr>
      <t xml:space="preserve">生成・加工コンテンツに機械可読な来歴情報（</t>
    </r>
    <r>
      <rPr>
        <sz val="9"/>
        <rFont val="Yu Gothic"/>
        <family val="0"/>
        <charset val="1"/>
      </rPr>
      <t xml:space="preserve">C2PA</t>
    </r>
    <r>
      <rPr>
        <sz val="9"/>
        <rFont val="Noto Sans CJK SC"/>
        <family val="2"/>
      </rPr>
      <t xml:space="preserve">等）と可視表示を付与する方針と実装標準を定めていますか。</t>
    </r>
  </si>
  <si>
    <t xml:space="preserve">AIMF-GV-TRA-004</t>
  </si>
  <si>
    <t xml:space="preserve">利用者からの苦情・異議申立て窓口</t>
  </si>
  <si>
    <r>
      <rPr>
        <sz val="9"/>
        <rFont val="Yu Gothic"/>
        <family val="0"/>
        <charset val="1"/>
      </rPr>
      <t xml:space="preserve">AI</t>
    </r>
    <r>
      <rPr>
        <sz val="9"/>
        <rFont val="Noto Sans CJK SC"/>
        <family val="2"/>
      </rPr>
      <t xml:space="preserve">の判断・出力に対する苦情・異議申立ての受付窓口と対応</t>
    </r>
    <r>
      <rPr>
        <sz val="9"/>
        <rFont val="Yu Gothic"/>
        <family val="0"/>
        <charset val="1"/>
      </rPr>
      <t xml:space="preserve">SLA</t>
    </r>
    <r>
      <rPr>
        <sz val="9"/>
        <rFont val="Noto Sans CJK SC"/>
        <family val="2"/>
      </rPr>
      <t xml:space="preserve">、記録・分析のプロセスを整備していますか。</t>
    </r>
  </si>
  <si>
    <t xml:space="preserve">AIMF-GV-TRA-005</t>
  </si>
  <si>
    <r>
      <rPr>
        <sz val="9"/>
        <rFont val="Noto Sans CJK SC"/>
        <family val="2"/>
      </rPr>
      <t xml:space="preserve">対外的な</t>
    </r>
    <r>
      <rPr>
        <sz val="9"/>
        <rFont val="Yu Gothic"/>
        <family val="0"/>
        <charset val="1"/>
      </rPr>
      <t xml:space="preserve">AI</t>
    </r>
    <r>
      <rPr>
        <sz val="9"/>
        <rFont val="Noto Sans CJK SC"/>
        <family val="2"/>
      </rPr>
      <t xml:space="preserve">ガバナンス開示</t>
    </r>
  </si>
  <si>
    <r>
      <rPr>
        <sz val="9"/>
        <rFont val="Yu Gothic"/>
        <family val="0"/>
        <charset val="1"/>
      </rPr>
      <t xml:space="preserve">AI</t>
    </r>
    <r>
      <rPr>
        <sz val="9"/>
        <rFont val="Noto Sans CJK SC"/>
        <family val="2"/>
      </rPr>
      <t xml:space="preserve">ガバナンス体制・リスク管理の取組みを統合報告書・透明性レポート等で開示し、ステークホルダーの信頼を醸成していますか。</t>
    </r>
  </si>
  <si>
    <t xml:space="preserve">AIMF-ID-AST-001</t>
  </si>
  <si>
    <t xml:space="preserve">ID</t>
  </si>
  <si>
    <t xml:space="preserve">AST</t>
  </si>
  <si>
    <r>
      <rPr>
        <sz val="9"/>
        <rFont val="Yu Gothic"/>
        <family val="0"/>
        <charset val="1"/>
      </rPr>
      <t xml:space="preserve">AI</t>
    </r>
    <r>
      <rPr>
        <sz val="9"/>
        <rFont val="Noto Sans CJK SC"/>
        <family val="2"/>
      </rPr>
      <t xml:space="preserve">モデル・サービス管理台帳の整備</t>
    </r>
  </si>
  <si>
    <r>
      <rPr>
        <sz val="9"/>
        <rFont val="Noto Sans CJK SC"/>
        <family val="2"/>
      </rPr>
      <t xml:space="preserve">社内で利用・開発される</t>
    </r>
    <r>
      <rPr>
        <sz val="9"/>
        <rFont val="Yu Gothic"/>
        <family val="0"/>
        <charset val="1"/>
      </rPr>
      <t xml:space="preserve">LLM</t>
    </r>
    <r>
      <rPr>
        <sz val="9"/>
        <rFont val="Noto Sans CJK SC"/>
        <family val="2"/>
      </rPr>
      <t xml:space="preserve">、プラットフォーム、外部ツールを可視化・管理し、シャドー</t>
    </r>
    <r>
      <rPr>
        <sz val="9"/>
        <rFont val="Yu Gothic"/>
        <family val="0"/>
        <charset val="1"/>
      </rPr>
      <t xml:space="preserve">AI</t>
    </r>
    <r>
      <rPr>
        <sz val="9"/>
        <rFont val="Noto Sans CJK SC"/>
        <family val="2"/>
      </rPr>
      <t xml:space="preserve">を排除していますか。</t>
    </r>
  </si>
  <si>
    <t xml:space="preserve">AIMF-ID-AST-002</t>
  </si>
  <si>
    <r>
      <rPr>
        <sz val="9"/>
        <rFont val="Yu Gothic"/>
        <family val="0"/>
        <charset val="1"/>
      </rPr>
      <t xml:space="preserve">RAG</t>
    </r>
    <r>
      <rPr>
        <sz val="9"/>
        <rFont val="Noto Sans CJK SC"/>
        <family val="2"/>
      </rPr>
      <t xml:space="preserve">知識ベース・データソースの棚卸し</t>
    </r>
  </si>
  <si>
    <r>
      <rPr>
        <sz val="9"/>
        <rFont val="Yu Gothic"/>
        <family val="0"/>
        <charset val="1"/>
      </rPr>
      <t xml:space="preserve">RAG</t>
    </r>
    <r>
      <rPr>
        <sz val="9"/>
        <rFont val="Noto Sans CJK SC"/>
        <family val="2"/>
      </rPr>
      <t xml:space="preserve">が参照する社内ドキュメント、ファイルサーバー、</t>
    </r>
    <r>
      <rPr>
        <sz val="9"/>
        <rFont val="Yu Gothic"/>
        <family val="0"/>
        <charset val="1"/>
      </rPr>
      <t xml:space="preserve">DB</t>
    </r>
    <r>
      <rPr>
        <sz val="9"/>
        <rFont val="Noto Sans CJK SC"/>
        <family val="2"/>
      </rPr>
      <t xml:space="preserve">の所在と機密区分を明確にしていますか。</t>
    </r>
  </si>
  <si>
    <t xml:space="preserve">AIMF-ID-AST-003</t>
  </si>
  <si>
    <r>
      <rPr>
        <sz val="9"/>
        <rFont val="Yu Gothic"/>
        <family val="0"/>
        <charset val="1"/>
      </rPr>
      <t xml:space="preserve">AI</t>
    </r>
    <r>
      <rPr>
        <sz val="9"/>
        <rFont val="Noto Sans CJK SC"/>
        <family val="2"/>
      </rPr>
      <t xml:space="preserve">エージェントの権限・ツールトポロジー管理</t>
    </r>
  </si>
  <si>
    <r>
      <rPr>
        <sz val="9"/>
        <rFont val="Noto Sans CJK SC"/>
        <family val="2"/>
      </rPr>
      <t xml:space="preserve">自律エージェントがアクセス可能な</t>
    </r>
    <r>
      <rPr>
        <sz val="9"/>
        <rFont val="Yu Gothic"/>
        <family val="0"/>
        <charset val="1"/>
      </rPr>
      <t xml:space="preserve">API</t>
    </r>
    <r>
      <rPr>
        <sz val="9"/>
        <rFont val="Noto Sans CJK SC"/>
        <family val="2"/>
      </rPr>
      <t xml:space="preserve">・</t>
    </r>
    <r>
      <rPr>
        <sz val="9"/>
        <rFont val="Yu Gothic"/>
        <family val="0"/>
        <charset val="1"/>
      </rPr>
      <t xml:space="preserve">DB</t>
    </r>
    <r>
      <rPr>
        <sz val="9"/>
        <rFont val="Noto Sans CJK SC"/>
        <family val="2"/>
      </rPr>
      <t xml:space="preserve">・システム操作権限とコンポーネント間の論理接続関係をマッピングしていますか。</t>
    </r>
  </si>
  <si>
    <t xml:space="preserve">AIMF-ID-AST-004</t>
  </si>
  <si>
    <r>
      <rPr>
        <sz val="9"/>
        <rFont val="Yu Gothic"/>
        <family val="0"/>
        <charset val="1"/>
      </rPr>
      <t xml:space="preserve">AI</t>
    </r>
    <r>
      <rPr>
        <sz val="9"/>
        <rFont val="Noto Sans CJK SC"/>
        <family val="2"/>
      </rPr>
      <t xml:space="preserve">インフラ資産（</t>
    </r>
    <r>
      <rPr>
        <sz val="9"/>
        <rFont val="Yu Gothic"/>
        <family val="0"/>
        <charset val="1"/>
      </rPr>
      <t xml:space="preserve">GPU</t>
    </r>
    <r>
      <rPr>
        <sz val="9"/>
        <rFont val="Noto Sans CJK SC"/>
        <family val="2"/>
      </rPr>
      <t xml:space="preserve">・計算リソース・ストレージ）の棚卸し</t>
    </r>
  </si>
  <si>
    <r>
      <rPr>
        <sz val="9"/>
        <rFont val="Noto Sans CJK SC"/>
        <family val="2"/>
      </rPr>
      <t xml:space="preserve">学習・推論に利用される</t>
    </r>
    <r>
      <rPr>
        <sz val="9"/>
        <rFont val="Yu Gothic"/>
        <family val="0"/>
        <charset val="1"/>
      </rPr>
      <t xml:space="preserve">GPU</t>
    </r>
    <r>
      <rPr>
        <sz val="9"/>
        <rFont val="Noto Sans CJK SC"/>
        <family val="2"/>
      </rPr>
      <t xml:space="preserve">インスタンス、ベクトル</t>
    </r>
    <r>
      <rPr>
        <sz val="9"/>
        <rFont val="Yu Gothic"/>
        <family val="0"/>
        <charset val="1"/>
      </rPr>
      <t xml:space="preserve">DB</t>
    </r>
    <r>
      <rPr>
        <sz val="9"/>
        <rFont val="Noto Sans CJK SC"/>
        <family val="2"/>
      </rPr>
      <t xml:space="preserve">、オブジェクトストレージ等のインフラ資産を一元管理していますか。</t>
    </r>
  </si>
  <si>
    <t xml:space="preserve">AIMF-ID-AST-005</t>
  </si>
  <si>
    <t xml:space="preserve">プロンプト・システムプロンプト資産の台帳管理</t>
  </si>
  <si>
    <t xml:space="preserve">システムプロンプト・プロンプトテンプレート・エージェント指示書を版管理された資産として台帳化し、オーナーを定めていますか。</t>
  </si>
  <si>
    <t xml:space="preserve">generative-ai,ai-agent,multi-agent</t>
  </si>
  <si>
    <t xml:space="preserve">AIMF-ID-AST-006</t>
  </si>
  <si>
    <r>
      <rPr>
        <sz val="9"/>
        <rFont val="Yu Gothic"/>
        <family val="0"/>
        <charset val="1"/>
      </rPr>
      <t xml:space="preserve">AI</t>
    </r>
    <r>
      <rPr>
        <sz val="9"/>
        <rFont val="Noto Sans CJK SC"/>
        <family val="2"/>
      </rPr>
      <t xml:space="preserve">データフローマッピング</t>
    </r>
  </si>
  <si>
    <r>
      <rPr>
        <sz val="9"/>
        <rFont val="Noto Sans CJK SC"/>
        <family val="2"/>
      </rPr>
      <t xml:space="preserve">入力から出力・第三者送信までのデータフロー（プロンプト・</t>
    </r>
    <r>
      <rPr>
        <sz val="9"/>
        <rFont val="Yu Gothic"/>
        <family val="0"/>
        <charset val="1"/>
      </rPr>
      <t xml:space="preserve">RAG</t>
    </r>
    <r>
      <rPr>
        <sz val="9"/>
        <rFont val="Noto Sans CJK SC"/>
        <family val="2"/>
      </rPr>
      <t xml:space="preserve">・ログ・学習フィードバック）を可視化し、機微データの通過点を特定していますか。</t>
    </r>
  </si>
  <si>
    <t xml:space="preserve">AIMF-ID-AST-007</t>
  </si>
  <si>
    <r>
      <rPr>
        <sz val="9"/>
        <rFont val="Noto Sans CJK SC"/>
        <family val="2"/>
      </rPr>
      <t xml:space="preserve">シャドー</t>
    </r>
    <r>
      <rPr>
        <sz val="9"/>
        <rFont val="Yu Gothic"/>
        <family val="0"/>
        <charset val="1"/>
      </rPr>
      <t xml:space="preserve">AI</t>
    </r>
    <r>
      <rPr>
        <sz val="9"/>
        <rFont val="Noto Sans CJK SC"/>
        <family val="2"/>
      </rPr>
      <t xml:space="preserve">・未承認利用の継続的検出</t>
    </r>
  </si>
  <si>
    <r>
      <rPr>
        <sz val="9"/>
        <rFont val="Noto Sans CJK SC"/>
        <family val="2"/>
      </rPr>
      <t xml:space="preserve">ネットワーク・</t>
    </r>
    <r>
      <rPr>
        <sz val="9"/>
        <rFont val="Yu Gothic"/>
        <family val="0"/>
        <charset val="1"/>
      </rPr>
      <t xml:space="preserve">SaaS</t>
    </r>
    <r>
      <rPr>
        <sz val="9"/>
        <rFont val="Noto Sans CJK SC"/>
        <family val="2"/>
      </rPr>
      <t xml:space="preserve">利用ログ・端末から未承認</t>
    </r>
    <r>
      <rPr>
        <sz val="9"/>
        <rFont val="Yu Gothic"/>
        <family val="0"/>
        <charset val="1"/>
      </rPr>
      <t xml:space="preserve">AI</t>
    </r>
    <r>
      <rPr>
        <sz val="9"/>
        <rFont val="Noto Sans CJK SC"/>
        <family val="2"/>
      </rPr>
      <t xml:space="preserve">サービスの利用を継続的に検出し、カタログ登録または遮断につなげていますか。</t>
    </r>
  </si>
  <si>
    <t xml:space="preserve">AIMF-ID-AST-008</t>
  </si>
  <si>
    <r>
      <rPr>
        <sz val="9"/>
        <rFont val="Noto Sans CJK SC"/>
        <family val="2"/>
      </rPr>
      <t xml:space="preserve">エンドポイント</t>
    </r>
    <r>
      <rPr>
        <sz val="9"/>
        <rFont val="Yu Gothic"/>
        <family val="0"/>
        <charset val="1"/>
      </rPr>
      <t xml:space="preserve">AI</t>
    </r>
    <r>
      <rPr>
        <sz val="9"/>
        <rFont val="Noto Sans CJK SC"/>
        <family val="2"/>
      </rPr>
      <t xml:space="preserve">機能・ブラウザ拡張の把握</t>
    </r>
  </si>
  <si>
    <r>
      <rPr>
        <sz val="9"/>
        <rFont val="Noto Sans CJK SC"/>
        <family val="2"/>
      </rPr>
      <t xml:space="preserve">端末常駐</t>
    </r>
    <r>
      <rPr>
        <sz val="9"/>
        <rFont val="Yu Gothic"/>
        <family val="0"/>
        <charset val="1"/>
      </rPr>
      <t xml:space="preserve">AI</t>
    </r>
    <r>
      <rPr>
        <sz val="9"/>
        <rFont val="Noto Sans CJK SC"/>
        <family val="2"/>
      </rPr>
      <t xml:space="preserve">アシスタント・ブラウザ拡張・</t>
    </r>
    <r>
      <rPr>
        <sz val="9"/>
        <rFont val="Yu Gothic"/>
        <family val="0"/>
        <charset val="1"/>
      </rPr>
      <t xml:space="preserve">IDE</t>
    </r>
    <r>
      <rPr>
        <sz val="9"/>
        <rFont val="Noto Sans CJK SC"/>
        <family val="2"/>
      </rPr>
      <t xml:space="preserve">組込</t>
    </r>
    <r>
      <rPr>
        <sz val="9"/>
        <rFont val="Yu Gothic"/>
        <family val="0"/>
        <charset val="1"/>
      </rPr>
      <t xml:space="preserve">AI</t>
    </r>
    <r>
      <rPr>
        <sz val="9"/>
        <rFont val="Noto Sans CJK SC"/>
        <family val="2"/>
      </rPr>
      <t xml:space="preserve">の利用実態を把握し、データ送信先を含めて管理対象化していますか。</t>
    </r>
  </si>
  <si>
    <t xml:space="preserve">AIMF-ID-CTX-001</t>
  </si>
  <si>
    <t xml:space="preserve">CTX</t>
  </si>
  <si>
    <r>
      <rPr>
        <sz val="9"/>
        <rFont val="Yu Gothic"/>
        <family val="0"/>
        <charset val="1"/>
      </rPr>
      <t xml:space="preserve">AI</t>
    </r>
    <r>
      <rPr>
        <sz val="9"/>
        <rFont val="Noto Sans CJK SC"/>
        <family val="2"/>
      </rPr>
      <t xml:space="preserve">ユースケース登録と事業オーナーの明確化</t>
    </r>
  </si>
  <si>
    <r>
      <rPr>
        <sz val="9"/>
        <rFont val="Noto Sans CJK SC"/>
        <family val="2"/>
      </rPr>
      <t xml:space="preserve">全</t>
    </r>
    <r>
      <rPr>
        <sz val="9"/>
        <rFont val="Yu Gothic"/>
        <family val="0"/>
        <charset val="1"/>
      </rPr>
      <t xml:space="preserve">AI</t>
    </r>
    <r>
      <rPr>
        <sz val="9"/>
        <rFont val="Noto Sans CJK SC"/>
        <family val="2"/>
      </rPr>
      <t xml:space="preserve">ユースケースを目的・対象データ・利用部門とともに登録し、事業側オーナー（リスクオーナー）を明確化していますか。</t>
    </r>
  </si>
  <si>
    <t xml:space="preserve">AIMF-ID-CTX-002</t>
  </si>
  <si>
    <t xml:space="preserve">ユースケースのクリティカリティ判定</t>
  </si>
  <si>
    <t xml:space="preserve">業務依存度・影響度・自律性の程度からユースケースのクリティカリティを判定し、統制の適用レベルを差別化していますか。</t>
  </si>
  <si>
    <t xml:space="preserve">AIMF-ID-CTX-003</t>
  </si>
  <si>
    <r>
      <rPr>
        <sz val="9"/>
        <rFont val="Yu Gothic"/>
        <family val="0"/>
        <charset val="1"/>
      </rPr>
      <t xml:space="preserve">AI</t>
    </r>
    <r>
      <rPr>
        <sz val="9"/>
        <rFont val="Noto Sans CJK SC"/>
        <family val="2"/>
      </rPr>
      <t xml:space="preserve">障害時の業務影響分析（</t>
    </r>
    <r>
      <rPr>
        <sz val="9"/>
        <rFont val="Yu Gothic"/>
        <family val="0"/>
        <charset val="1"/>
      </rPr>
      <t xml:space="preserve">BIA</t>
    </r>
    <r>
      <rPr>
        <sz val="9"/>
        <rFont val="Noto Sans CJK SC"/>
        <family val="2"/>
      </rPr>
      <t xml:space="preserve">）</t>
    </r>
  </si>
  <si>
    <r>
      <rPr>
        <sz val="9"/>
        <rFont val="Yu Gothic"/>
        <family val="0"/>
        <charset val="1"/>
      </rPr>
      <t xml:space="preserve">AI</t>
    </r>
    <r>
      <rPr>
        <sz val="9"/>
        <rFont val="Noto Sans CJK SC"/>
        <family val="2"/>
      </rPr>
      <t xml:space="preserve">システム停止・品質劣化時の業務影響と許容停止時間（</t>
    </r>
    <r>
      <rPr>
        <sz val="9"/>
        <rFont val="Yu Gothic"/>
        <family val="0"/>
        <charset val="1"/>
      </rPr>
      <t xml:space="preserve">RTO</t>
    </r>
    <r>
      <rPr>
        <sz val="9"/>
        <rFont val="Noto Sans CJK SC"/>
        <family val="2"/>
      </rPr>
      <t xml:space="preserve">相当）を分析し、復旧優先度を定めていますか。</t>
    </r>
  </si>
  <si>
    <t xml:space="preserve">AIMF-ID-CTX-004</t>
  </si>
  <si>
    <r>
      <rPr>
        <sz val="9"/>
        <rFont val="Noto Sans CJK SC"/>
        <family val="2"/>
      </rPr>
      <t xml:space="preserve">非</t>
    </r>
    <r>
      <rPr>
        <sz val="9"/>
        <rFont val="Yu Gothic"/>
        <family val="0"/>
        <charset val="1"/>
      </rPr>
      <t xml:space="preserve">AI</t>
    </r>
    <r>
      <rPr>
        <sz val="9"/>
        <rFont val="Noto Sans CJK SC"/>
        <family val="2"/>
      </rPr>
      <t xml:space="preserve">代替手段の維持判断</t>
    </r>
  </si>
  <si>
    <r>
      <rPr>
        <sz val="9"/>
        <rFont val="Yu Gothic"/>
        <family val="0"/>
        <charset val="1"/>
      </rPr>
      <t xml:space="preserve">AI</t>
    </r>
    <r>
      <rPr>
        <sz val="9"/>
        <rFont val="Noto Sans CJK SC"/>
        <family val="2"/>
      </rPr>
      <t xml:space="preserve">依存業務について、非</t>
    </r>
    <r>
      <rPr>
        <sz val="9"/>
        <rFont val="Yu Gothic"/>
        <family val="0"/>
        <charset val="1"/>
      </rPr>
      <t xml:space="preserve">AI</t>
    </r>
    <r>
      <rPr>
        <sz val="9"/>
        <rFont val="Noto Sans CJK SC"/>
        <family val="2"/>
      </rPr>
      <t xml:space="preserve">の代替プロセス維持の要否と、低価値プロセスの削減・非</t>
    </r>
    <r>
      <rPr>
        <sz val="9"/>
        <rFont val="Yu Gothic"/>
        <family val="0"/>
        <charset val="1"/>
      </rPr>
      <t xml:space="preserve">AI</t>
    </r>
    <r>
      <rPr>
        <sz val="9"/>
        <rFont val="Noto Sans CJK SC"/>
        <family val="2"/>
      </rPr>
      <t xml:space="preserve">化がより低リスクとなる場合の選択肢を評価していますか。</t>
    </r>
  </si>
  <si>
    <t xml:space="preserve">AIMF-ID-SCM-001</t>
  </si>
  <si>
    <t xml:space="preserve">SCM</t>
  </si>
  <si>
    <r>
      <rPr>
        <sz val="9"/>
        <rFont val="Yu Gothic"/>
        <family val="0"/>
        <charset val="1"/>
      </rPr>
      <t xml:space="preserve">AI</t>
    </r>
    <r>
      <rPr>
        <sz val="9"/>
        <rFont val="Noto Sans CJK SC"/>
        <family val="2"/>
      </rPr>
      <t xml:space="preserve">セキュリティのベンダー評価と管理</t>
    </r>
  </si>
  <si>
    <r>
      <rPr>
        <sz val="9"/>
        <rFont val="Noto Sans CJK SC"/>
        <family val="2"/>
      </rPr>
      <t xml:space="preserve">外部</t>
    </r>
    <r>
      <rPr>
        <sz val="9"/>
        <rFont val="Yu Gothic"/>
        <family val="0"/>
        <charset val="1"/>
      </rPr>
      <t xml:space="preserve">AI</t>
    </r>
    <r>
      <rPr>
        <sz val="9"/>
        <rFont val="Noto Sans CJK SC"/>
        <family val="2"/>
      </rPr>
      <t xml:space="preserve">サービスプロバイダーのデータ保持ポリシー（学習への再利用有無）、信頼性、セキュリティレベルを定期評価していますか。</t>
    </r>
  </si>
  <si>
    <t xml:space="preserve">AIMF-ID-SCM-002</t>
  </si>
  <si>
    <r>
      <rPr>
        <sz val="9"/>
        <rFont val="Yu Gothic"/>
        <family val="0"/>
        <charset val="1"/>
      </rPr>
      <t xml:space="preserve">SBOM</t>
    </r>
    <r>
      <rPr>
        <sz val="9"/>
        <rFont val="Noto Sans CJK SC"/>
        <family val="2"/>
      </rPr>
      <t xml:space="preserve">の自動生成・継続的管理</t>
    </r>
  </si>
  <si>
    <r>
      <rPr>
        <sz val="9"/>
        <rFont val="Yu Gothic"/>
        <family val="0"/>
        <charset val="1"/>
      </rPr>
      <t xml:space="preserve">AI</t>
    </r>
    <r>
      <rPr>
        <sz val="9"/>
        <rFont val="Noto Sans CJK SC"/>
        <family val="2"/>
      </rPr>
      <t xml:space="preserve">システムを構成する</t>
    </r>
    <r>
      <rPr>
        <sz val="9"/>
        <rFont val="Yu Gothic"/>
        <family val="0"/>
        <charset val="1"/>
      </rPr>
      <t xml:space="preserve">OSS</t>
    </r>
    <r>
      <rPr>
        <sz val="9"/>
        <rFont val="Noto Sans CJK SC"/>
        <family val="2"/>
      </rPr>
      <t xml:space="preserve">ライブラリ・パッケージの依存関係を</t>
    </r>
    <r>
      <rPr>
        <sz val="9"/>
        <rFont val="Yu Gothic"/>
        <family val="0"/>
        <charset val="1"/>
      </rPr>
      <t xml:space="preserve">SBOM</t>
    </r>
    <r>
      <rPr>
        <sz val="9"/>
        <rFont val="Noto Sans CJK SC"/>
        <family val="2"/>
      </rPr>
      <t xml:space="preserve">として</t>
    </r>
    <r>
      <rPr>
        <sz val="9"/>
        <rFont val="Yu Gothic"/>
        <family val="0"/>
        <charset val="1"/>
      </rPr>
      <t xml:space="preserve">CI/CD</t>
    </r>
    <r>
      <rPr>
        <sz val="9"/>
        <rFont val="Noto Sans CJK SC"/>
        <family val="2"/>
      </rPr>
      <t xml:space="preserve">上で自動生成・管理していますか。</t>
    </r>
  </si>
  <si>
    <t xml:space="preserve">AIMF-ID-SCM-003</t>
  </si>
  <si>
    <r>
      <rPr>
        <sz val="9"/>
        <rFont val="Yu Gothic"/>
        <family val="0"/>
        <charset val="1"/>
      </rPr>
      <t xml:space="preserve">AI-BOM</t>
    </r>
    <r>
      <rPr>
        <sz val="9"/>
        <rFont val="Noto Sans CJK SC"/>
        <family val="2"/>
      </rPr>
      <t xml:space="preserve">による</t>
    </r>
    <r>
      <rPr>
        <sz val="9"/>
        <rFont val="Yu Gothic"/>
        <family val="0"/>
        <charset val="1"/>
      </rPr>
      <t xml:space="preserve">AI</t>
    </r>
    <r>
      <rPr>
        <sz val="9"/>
        <rFont val="Noto Sans CJK SC"/>
        <family val="2"/>
      </rPr>
      <t xml:space="preserve">特有資産の管理</t>
    </r>
  </si>
  <si>
    <r>
      <rPr>
        <sz val="9"/>
        <rFont val="Noto Sans CJK SC"/>
        <family val="2"/>
      </rPr>
      <t xml:space="preserve">モデルのバージョン・重み、ファインチューニング／</t>
    </r>
    <r>
      <rPr>
        <sz val="9"/>
        <rFont val="Yu Gothic"/>
        <family val="0"/>
        <charset val="1"/>
      </rPr>
      <t xml:space="preserve">RAG</t>
    </r>
    <r>
      <rPr>
        <sz val="9"/>
        <rFont val="Noto Sans CJK SC"/>
        <family val="2"/>
      </rPr>
      <t xml:space="preserve">のベースデータセット、システムプロンプト構成を</t>
    </r>
    <r>
      <rPr>
        <sz val="9"/>
        <rFont val="Yu Gothic"/>
        <family val="0"/>
        <charset val="1"/>
      </rPr>
      <t xml:space="preserve">AI-BOM</t>
    </r>
    <r>
      <rPr>
        <sz val="9"/>
        <rFont val="Noto Sans CJK SC"/>
        <family val="2"/>
      </rPr>
      <t xml:space="preserve">としてカタログ化し、出自とデータ汚染リスクを追跡可能にしていますか。</t>
    </r>
  </si>
  <si>
    <t xml:space="preserve">AIMF-ID-SCM-004</t>
  </si>
  <si>
    <t xml:space="preserve">モデル・データセット供給元の来歴検証</t>
  </si>
  <si>
    <t xml:space="preserve">取得するモデル・データセットの供給元・改変履歴・署名を検証し、来歴不明な資産の本番利用を禁止していますか。</t>
  </si>
  <si>
    <t xml:space="preserve">AIMF-ID-SCM-005</t>
  </si>
  <si>
    <r>
      <rPr>
        <sz val="9"/>
        <rFont val="Yu Gothic"/>
        <family val="0"/>
        <charset val="1"/>
      </rPr>
      <t xml:space="preserve">MCP</t>
    </r>
    <r>
      <rPr>
        <sz val="9"/>
        <rFont val="Noto Sans CJK SC"/>
        <family val="2"/>
      </rPr>
      <t xml:space="preserve">サーバー・プラグイン・エージェントツールの事前審査</t>
    </r>
  </si>
  <si>
    <r>
      <rPr>
        <sz val="9"/>
        <rFont val="Noto Sans CJK SC"/>
        <family val="2"/>
      </rPr>
      <t xml:space="preserve">エージェントが接続する</t>
    </r>
    <r>
      <rPr>
        <sz val="9"/>
        <rFont val="Yu Gothic"/>
        <family val="0"/>
        <charset val="1"/>
      </rPr>
      <t xml:space="preserve">MCP</t>
    </r>
    <r>
      <rPr>
        <sz val="9"/>
        <rFont val="Noto Sans CJK SC"/>
        <family val="2"/>
      </rPr>
      <t xml:space="preserve">サーバー・プラグイン・外部ツールを供給元・権限要求・挙動の観点で審査し、承認リストで管理していますか。</t>
    </r>
  </si>
  <si>
    <t xml:space="preserve">AIMF-ID-SCM-006</t>
  </si>
  <si>
    <r>
      <rPr>
        <sz val="9"/>
        <rFont val="Yu Gothic"/>
        <family val="0"/>
        <charset val="1"/>
      </rPr>
      <t xml:space="preserve">AI</t>
    </r>
    <r>
      <rPr>
        <sz val="9"/>
        <rFont val="Noto Sans CJK SC"/>
        <family val="2"/>
      </rPr>
      <t xml:space="preserve">サービスの集中リスク評価</t>
    </r>
  </si>
  <si>
    <t xml:space="preserve">単一モデルプロバイダー・単一リージョンへの依存度を評価し、重要ユースケースの代替可能性を確保していますか。</t>
  </si>
  <si>
    <t xml:space="preserve">AIMF-ID-SCM-007</t>
  </si>
  <si>
    <r>
      <rPr>
        <sz val="9"/>
        <rFont val="Yu Gothic"/>
        <family val="0"/>
        <charset val="1"/>
      </rPr>
      <t xml:space="preserve">AI</t>
    </r>
    <r>
      <rPr>
        <sz val="9"/>
        <rFont val="Noto Sans CJK SC"/>
        <family val="2"/>
      </rPr>
      <t xml:space="preserve">調達契約のセキュリティ・責任分界条項</t>
    </r>
  </si>
  <si>
    <t xml:space="preserve">データ非学習（オプトアウト）、インシデント通知義務、監査権、責任分界を含む契約条項の標準を整備していますか。</t>
  </si>
  <si>
    <t xml:space="preserve">AIMF-ID-SCM-008</t>
  </si>
  <si>
    <t xml:space="preserve">オープンウェイトモデル利用時の評価基準</t>
  </si>
  <si>
    <t xml:space="preserve">オープンウェイトモデル採用時の評価基準（既知脆弱性・混入リスク・ライセンス・サポート体制）を定め、審査記録を残していますか。</t>
  </si>
  <si>
    <t xml:space="preserve">AIMF-ID-DGV-001</t>
  </si>
  <si>
    <t xml:space="preserve">DGV</t>
  </si>
  <si>
    <t xml:space="preserve">学習・チューニングデータのガバナンス</t>
  </si>
  <si>
    <t xml:space="preserve">学習・ファインチューニングに用いるデータの品質基準、ラベリング／アノテーションのセキュリティ、バイアス評価、来歴管理のプロセスを確立していますか。</t>
  </si>
  <si>
    <t xml:space="preserve">traditional-ai,generative-ai</t>
  </si>
  <si>
    <t xml:space="preserve">AIMF-ID-DGV-002</t>
  </si>
  <si>
    <r>
      <rPr>
        <sz val="9"/>
        <rFont val="Noto Sans CJK SC"/>
        <family val="2"/>
      </rPr>
      <t xml:space="preserve">データ分類と</t>
    </r>
    <r>
      <rPr>
        <sz val="9"/>
        <rFont val="Yu Gothic"/>
        <family val="0"/>
        <charset val="1"/>
      </rPr>
      <t xml:space="preserve">AI</t>
    </r>
    <r>
      <rPr>
        <sz val="9"/>
        <rFont val="Noto Sans CJK SC"/>
        <family val="2"/>
      </rPr>
      <t xml:space="preserve">利用可否ラベル</t>
    </r>
  </si>
  <si>
    <r>
      <rPr>
        <sz val="9"/>
        <rFont val="Noto Sans CJK SC"/>
        <family val="2"/>
      </rPr>
      <t xml:space="preserve">データ分類基準に</t>
    </r>
    <r>
      <rPr>
        <sz val="9"/>
        <rFont val="Yu Gothic"/>
        <family val="0"/>
        <charset val="1"/>
      </rPr>
      <t xml:space="preserve">AI</t>
    </r>
    <r>
      <rPr>
        <sz val="9"/>
        <rFont val="Noto Sans CJK SC"/>
        <family val="2"/>
      </rPr>
      <t xml:space="preserve">利用可否（学習可・</t>
    </r>
    <r>
      <rPr>
        <sz val="9"/>
        <rFont val="Yu Gothic"/>
        <family val="0"/>
        <charset val="1"/>
      </rPr>
      <t xml:space="preserve">RAG</t>
    </r>
    <r>
      <rPr>
        <sz val="9"/>
        <rFont val="Noto Sans CJK SC"/>
        <family val="2"/>
      </rPr>
      <t xml:space="preserve">可・入力禁止等）のラベルを追加し、全データストアに適用していますか。</t>
    </r>
  </si>
  <si>
    <t xml:space="preserve">AIMF-ID-DGV-003</t>
  </si>
  <si>
    <r>
      <rPr>
        <sz val="9"/>
        <rFont val="Noto Sans CJK SC"/>
        <family val="2"/>
      </rPr>
      <t xml:space="preserve">学習・</t>
    </r>
    <r>
      <rPr>
        <sz val="9"/>
        <rFont val="Yu Gothic"/>
        <family val="0"/>
        <charset val="1"/>
      </rPr>
      <t xml:space="preserve">RAG</t>
    </r>
    <r>
      <rPr>
        <sz val="9"/>
        <rFont val="Noto Sans CJK SC"/>
        <family val="2"/>
      </rPr>
      <t xml:space="preserve">データの来歴（プロビナンス）記録</t>
    </r>
  </si>
  <si>
    <r>
      <rPr>
        <sz val="9"/>
        <rFont val="Noto Sans CJK SC"/>
        <family val="2"/>
      </rPr>
      <t xml:space="preserve">学習・</t>
    </r>
    <r>
      <rPr>
        <sz val="9"/>
        <rFont val="Yu Gothic"/>
        <family val="0"/>
        <charset val="1"/>
      </rPr>
      <t xml:space="preserve">RAG</t>
    </r>
    <r>
      <rPr>
        <sz val="9"/>
        <rFont val="Noto Sans CJK SC"/>
        <family val="2"/>
      </rPr>
      <t xml:space="preserve">に投入するデータの取得元・加工履歴・同意状況を記録し、汚染発覚時の影響範囲特定を可能にしていますか。</t>
    </r>
  </si>
  <si>
    <t xml:space="preserve">AIMF-ID-DGV-004</t>
  </si>
  <si>
    <t xml:space="preserve">合成データの生成・利用統制</t>
  </si>
  <si>
    <t xml:space="preserve">合成データの生成方法・品質基準・元データのプライバシー漏えいリスク評価を定め、利用範囲を管理していますか。</t>
  </si>
  <si>
    <t xml:space="preserve">AIMF-ID-DGV-005</t>
  </si>
  <si>
    <r>
      <rPr>
        <sz val="9"/>
        <rFont val="Noto Sans CJK SC"/>
        <family val="2"/>
      </rPr>
      <t xml:space="preserve">データ保持・削除ポリシーの</t>
    </r>
    <r>
      <rPr>
        <sz val="9"/>
        <rFont val="Yu Gothic"/>
        <family val="0"/>
        <charset val="1"/>
      </rPr>
      <t xml:space="preserve">AI</t>
    </r>
    <r>
      <rPr>
        <sz val="9"/>
        <rFont val="Noto Sans CJK SC"/>
        <family val="2"/>
      </rPr>
      <t xml:space="preserve">パイプライン適用</t>
    </r>
  </si>
  <si>
    <r>
      <rPr>
        <sz val="9"/>
        <rFont val="Noto Sans CJK SC"/>
        <family val="2"/>
      </rPr>
      <t xml:space="preserve">保持期限超過データ・削除要求対象データが学習セット・ベクトル</t>
    </r>
    <r>
      <rPr>
        <sz val="9"/>
        <rFont val="Yu Gothic"/>
        <family val="0"/>
        <charset val="1"/>
      </rPr>
      <t xml:space="preserve">DB</t>
    </r>
    <r>
      <rPr>
        <sz val="9"/>
        <rFont val="Noto Sans CJK SC"/>
        <family val="2"/>
      </rPr>
      <t xml:space="preserve">・ログに残存しない削除フローを整備していますか。</t>
    </r>
  </si>
  <si>
    <t xml:space="preserve">AIMF-ID-THR-001</t>
  </si>
  <si>
    <t xml:space="preserve">THR</t>
  </si>
  <si>
    <r>
      <rPr>
        <sz val="9"/>
        <rFont val="Yu Gothic"/>
        <family val="0"/>
        <charset val="1"/>
      </rPr>
      <t xml:space="preserve">MITRE ATLAS</t>
    </r>
    <r>
      <rPr>
        <sz val="9"/>
        <rFont val="Noto Sans CJK SC"/>
        <family val="2"/>
      </rPr>
      <t xml:space="preserve">に基づく</t>
    </r>
    <r>
      <rPr>
        <sz val="9"/>
        <rFont val="Yu Gothic"/>
        <family val="0"/>
        <charset val="1"/>
      </rPr>
      <t xml:space="preserve">AI</t>
    </r>
    <r>
      <rPr>
        <sz val="9"/>
        <rFont val="Noto Sans CJK SC"/>
        <family val="2"/>
      </rPr>
      <t xml:space="preserve">脅威モデリング</t>
    </r>
  </si>
  <si>
    <r>
      <rPr>
        <sz val="9"/>
        <rFont val="Noto Sans CJK SC"/>
        <family val="2"/>
      </rPr>
      <t xml:space="preserve">設計段階で</t>
    </r>
    <r>
      <rPr>
        <sz val="9"/>
        <rFont val="Yu Gothic"/>
        <family val="0"/>
        <charset val="1"/>
      </rPr>
      <t xml:space="preserve">ATLAS</t>
    </r>
    <r>
      <rPr>
        <sz val="9"/>
        <rFont val="Noto Sans CJK SC"/>
        <family val="2"/>
      </rPr>
      <t xml:space="preserve">の戦術・技術を用いた脅威モデリングを実施し、想定</t>
    </r>
    <r>
      <rPr>
        <sz val="9"/>
        <rFont val="Yu Gothic"/>
        <family val="0"/>
        <charset val="1"/>
      </rPr>
      <t xml:space="preserve">TTP</t>
    </r>
    <r>
      <rPr>
        <sz val="9"/>
        <rFont val="Noto Sans CJK SC"/>
        <family val="2"/>
      </rPr>
      <t xml:space="preserve">ごとの対策と検知の対応表を作成していますか。</t>
    </r>
  </si>
  <si>
    <t xml:space="preserve">AIMF-ID-THR-002</t>
  </si>
  <si>
    <t xml:space="preserve">エージェントシステムのアタックサーフェス分析</t>
  </si>
  <si>
    <t xml:space="preserve">ツール・メモリ・エージェント間通信・外部統合を含むエージェント固有の攻撃面を列挙し、設計・構成リスクを評価していますか。</t>
  </si>
  <si>
    <t xml:space="preserve">AIMF-ID-THR-003</t>
  </si>
  <si>
    <r>
      <rPr>
        <sz val="9"/>
        <rFont val="Yu Gothic"/>
        <family val="0"/>
        <charset val="1"/>
      </rPr>
      <t xml:space="preserve">AI</t>
    </r>
    <r>
      <rPr>
        <sz val="9"/>
        <rFont val="Noto Sans CJK SC"/>
        <family val="2"/>
      </rPr>
      <t xml:space="preserve">脅威インテリジェンスの収集・共有</t>
    </r>
  </si>
  <si>
    <r>
      <rPr>
        <sz val="9"/>
        <rFont val="Yu Gothic"/>
        <family val="0"/>
        <charset val="1"/>
      </rPr>
      <t xml:space="preserve">AI</t>
    </r>
    <r>
      <rPr>
        <sz val="9"/>
        <rFont val="Noto Sans CJK SC"/>
        <family val="2"/>
      </rPr>
      <t xml:space="preserve">固有の脅威情報（新たな脱獄手法・悪性モデル・攻撃キャンペーン）を収集し、業界・当局との共有に参加していますか。</t>
    </r>
  </si>
  <si>
    <t xml:space="preserve">AIMF-ID-THR-004</t>
  </si>
  <si>
    <r>
      <rPr>
        <sz val="9"/>
        <rFont val="Yu Gothic"/>
        <family val="0"/>
        <charset val="1"/>
      </rPr>
      <t xml:space="preserve">AI</t>
    </r>
    <r>
      <rPr>
        <sz val="9"/>
        <rFont val="Noto Sans CJK SC"/>
        <family val="2"/>
      </rPr>
      <t xml:space="preserve">脅威シナリオライブラリの整備</t>
    </r>
  </si>
  <si>
    <t xml:space="preserve">自組織のユースケースに即した脅威シナリオを整備し、レッドチーミング・机上演習・検知ルール開発の共通素材としていますか。</t>
  </si>
  <si>
    <t xml:space="preserve">AIMF-PR-VUL-001</t>
  </si>
  <si>
    <t xml:space="preserve">PR</t>
  </si>
  <si>
    <t xml:space="preserve">VUL</t>
  </si>
  <si>
    <t xml:space="preserve">脆弱性トリアージ自動化プロセス</t>
  </si>
  <si>
    <r>
      <rPr>
        <sz val="9"/>
        <rFont val="Yu Gothic"/>
        <family val="0"/>
        <charset val="1"/>
      </rPr>
      <t xml:space="preserve">SBOM/AI-BOM</t>
    </r>
    <r>
      <rPr>
        <sz val="9"/>
        <rFont val="Noto Sans CJK SC"/>
        <family val="2"/>
      </rPr>
      <t xml:space="preserve">経由で検知された脆弱性が自社環境で実際に悪用可能かを、脅威インテリジェンス連携（</t>
    </r>
    <r>
      <rPr>
        <sz val="9"/>
        <rFont val="Yu Gothic"/>
        <family val="0"/>
        <charset val="1"/>
      </rPr>
      <t xml:space="preserve">EPSS</t>
    </r>
    <r>
      <rPr>
        <sz val="9"/>
        <rFont val="Noto Sans CJK SC"/>
        <family val="2"/>
      </rPr>
      <t xml:space="preserve">等）で機械的に一次判断するフローを確立していますか。</t>
    </r>
  </si>
  <si>
    <t xml:space="preserve">AIMF-PR-VUL-002</t>
  </si>
  <si>
    <r>
      <rPr>
        <sz val="9"/>
        <rFont val="Yu Gothic"/>
        <family val="0"/>
        <charset val="1"/>
      </rPr>
      <t xml:space="preserve">IaC</t>
    </r>
    <r>
      <rPr>
        <sz val="9"/>
        <rFont val="Noto Sans CJK SC"/>
        <family val="2"/>
      </rPr>
      <t xml:space="preserve">による迅速な脆弱性適用基盤</t>
    </r>
  </si>
  <si>
    <r>
      <rPr>
        <sz val="9"/>
        <rFont val="Yu Gothic"/>
        <family val="0"/>
        <charset val="1"/>
      </rPr>
      <t xml:space="preserve">AI</t>
    </r>
    <r>
      <rPr>
        <sz val="9"/>
        <rFont val="Noto Sans CJK SC"/>
        <family val="2"/>
      </rPr>
      <t xml:space="preserve">インフラをコードで管理し、パッチ適用・設定変更を</t>
    </r>
    <r>
      <rPr>
        <sz val="9"/>
        <rFont val="Yu Gothic"/>
        <family val="0"/>
        <charset val="1"/>
      </rPr>
      <t xml:space="preserve">GitOps</t>
    </r>
    <r>
      <rPr>
        <sz val="9"/>
        <rFont val="Noto Sans CJK SC"/>
        <family val="2"/>
      </rPr>
      <t xml:space="preserve">により一斉かつ即座にデプロイできる基盤を構築していますか。</t>
    </r>
  </si>
  <si>
    <t xml:space="preserve">AIMF-PR-VUL-003</t>
  </si>
  <si>
    <t xml:space="preserve">コンテナイメージの自動パッチ適用パイプライン</t>
  </si>
  <si>
    <r>
      <rPr>
        <sz val="9"/>
        <rFont val="Noto Sans CJK SC"/>
        <family val="2"/>
      </rPr>
      <t xml:space="preserve">脆弱性発見時に修正済みベースイメージからコンテナを再ビルドし、無停止で入れ替える運用（</t>
    </r>
    <r>
      <rPr>
        <sz val="9"/>
        <rFont val="Yu Gothic"/>
        <family val="0"/>
        <charset val="1"/>
      </rPr>
      <t xml:space="preserve">Immutable Infrastructure</t>
    </r>
    <r>
      <rPr>
        <sz val="9"/>
        <rFont val="Noto Sans CJK SC"/>
        <family val="2"/>
      </rPr>
      <t xml:space="preserve">）を自動化していますか。</t>
    </r>
  </si>
  <si>
    <t xml:space="preserve">AIMF-PR-VUL-004</t>
  </si>
  <si>
    <t xml:space="preserve">仮想パッチ・緩和策の適用</t>
  </si>
  <si>
    <r>
      <rPr>
        <sz val="9"/>
        <rFont val="Noto Sans CJK SC"/>
        <family val="2"/>
      </rPr>
      <t xml:space="preserve">即時パッチ適用が困難な</t>
    </r>
    <r>
      <rPr>
        <sz val="9"/>
        <rFont val="Yu Gothic"/>
        <family val="0"/>
        <charset val="1"/>
      </rPr>
      <t xml:space="preserve">AI</t>
    </r>
    <r>
      <rPr>
        <sz val="9"/>
        <rFont val="Noto Sans CJK SC"/>
        <family val="2"/>
      </rPr>
      <t xml:space="preserve">コンポーネントに対し、</t>
    </r>
    <r>
      <rPr>
        <sz val="9"/>
        <rFont val="Yu Gothic"/>
        <family val="0"/>
        <charset val="1"/>
      </rPr>
      <t xml:space="preserve">WAF</t>
    </r>
    <r>
      <rPr>
        <sz val="9"/>
        <rFont val="Noto Sans CJK SC"/>
        <family val="2"/>
      </rPr>
      <t xml:space="preserve">ルール・設定変更・アクセス制限による仮想パッチを適用し恒久対応まで防御していますか。</t>
    </r>
  </si>
  <si>
    <t xml:space="preserve">AIMF-PR-VUL-005</t>
  </si>
  <si>
    <r>
      <rPr>
        <sz val="9"/>
        <rFont val="Yu Gothic"/>
        <family val="0"/>
        <charset val="1"/>
      </rPr>
      <t xml:space="preserve">EOL</t>
    </r>
    <r>
      <rPr>
        <sz val="9"/>
        <rFont val="Noto Sans CJK SC"/>
        <family val="2"/>
      </rPr>
      <t xml:space="preserve">・レガシー</t>
    </r>
    <r>
      <rPr>
        <sz val="9"/>
        <rFont val="Yu Gothic"/>
        <family val="0"/>
        <charset val="1"/>
      </rPr>
      <t xml:space="preserve">AI</t>
    </r>
    <r>
      <rPr>
        <sz val="9"/>
        <rFont val="Noto Sans CJK SC"/>
        <family val="2"/>
      </rPr>
      <t xml:space="preserve">コンポーネントの管理</t>
    </r>
  </si>
  <si>
    <t xml:space="preserve">サポート終了のモデル・フレームワーク・ランタイムを特定し、移行計画または隔離・補完統制を義務付けていますか。</t>
  </si>
  <si>
    <t xml:space="preserve">AIMF-PR-INF-001</t>
  </si>
  <si>
    <t xml:space="preserve">INF</t>
  </si>
  <si>
    <r>
      <rPr>
        <sz val="9"/>
        <rFont val="Yu Gothic"/>
        <family val="0"/>
        <charset val="1"/>
      </rPr>
      <t xml:space="preserve">AI</t>
    </r>
    <r>
      <rPr>
        <sz val="9"/>
        <rFont val="Noto Sans CJK SC"/>
        <family val="2"/>
      </rPr>
      <t xml:space="preserve">ネットワーク環境の閉域化</t>
    </r>
  </si>
  <si>
    <r>
      <rPr>
        <sz val="9"/>
        <rFont val="Yu Gothic"/>
        <family val="0"/>
        <charset val="1"/>
      </rPr>
      <t xml:space="preserve">LLM</t>
    </r>
    <r>
      <rPr>
        <sz val="9"/>
        <rFont val="Noto Sans CJK SC"/>
        <family val="2"/>
      </rPr>
      <t xml:space="preserve">推論サーバー、ベクトル</t>
    </r>
    <r>
      <rPr>
        <sz val="9"/>
        <rFont val="Yu Gothic"/>
        <family val="0"/>
        <charset val="1"/>
      </rPr>
      <t xml:space="preserve">DB</t>
    </r>
    <r>
      <rPr>
        <sz val="9"/>
        <rFont val="Noto Sans CJK SC"/>
        <family val="2"/>
      </rPr>
      <t xml:space="preserve">、オーケストレーターをパブリックインターネットから隔離し、</t>
    </r>
    <r>
      <rPr>
        <sz val="9"/>
        <rFont val="Yu Gothic"/>
        <family val="0"/>
        <charset val="1"/>
      </rPr>
      <t xml:space="preserve">VPC</t>
    </r>
    <r>
      <rPr>
        <sz val="9"/>
        <rFont val="Noto Sans CJK SC"/>
        <family val="2"/>
      </rPr>
      <t xml:space="preserve">エンドポイント・閉域網経由のみで通信を許可していますか。</t>
    </r>
  </si>
  <si>
    <t xml:space="preserve">AIMF-PR-INF-002</t>
  </si>
  <si>
    <t xml:space="preserve">コンテナ・オーケストレーション基盤の堅牢化</t>
  </si>
  <si>
    <r>
      <rPr>
        <sz val="9"/>
        <rFont val="Yu Gothic"/>
        <family val="0"/>
        <charset val="1"/>
      </rPr>
      <t xml:space="preserve">Network Policy</t>
    </r>
    <r>
      <rPr>
        <sz val="9"/>
        <rFont val="Noto Sans CJK SC"/>
        <family val="2"/>
      </rPr>
      <t xml:space="preserve">による</t>
    </r>
    <r>
      <rPr>
        <sz val="9"/>
        <rFont val="Yu Gothic"/>
        <family val="0"/>
        <charset val="1"/>
      </rPr>
      <t xml:space="preserve">Pod</t>
    </r>
    <r>
      <rPr>
        <sz val="9"/>
        <rFont val="Noto Sans CJK SC"/>
        <family val="2"/>
      </rPr>
      <t xml:space="preserve">間通信制限、特権コンテナの禁止、イメージスキャンを義務付けていますか。</t>
    </r>
  </si>
  <si>
    <t xml:space="preserve">AIMF-PR-INF-003</t>
  </si>
  <si>
    <t xml:space="preserve">ストレージ・データの暗号化（データ・アット・レスト）</t>
  </si>
  <si>
    <r>
      <rPr>
        <sz val="9"/>
        <rFont val="Noto Sans CJK SC"/>
        <family val="2"/>
      </rPr>
      <t xml:space="preserve">ベクトル</t>
    </r>
    <r>
      <rPr>
        <sz val="9"/>
        <rFont val="Yu Gothic"/>
        <family val="0"/>
        <charset val="1"/>
      </rPr>
      <t xml:space="preserve">DB</t>
    </r>
    <r>
      <rPr>
        <sz val="9"/>
        <rFont val="Noto Sans CJK SC"/>
        <family val="2"/>
      </rPr>
      <t xml:space="preserve">、オブジェクトストレージ内の生ドキュメント、モデル重みデータを強固なアルゴリズムで暗号化保管していますか。</t>
    </r>
  </si>
  <si>
    <t xml:space="preserve">AIMF-PR-INF-004</t>
  </si>
  <si>
    <r>
      <rPr>
        <sz val="9"/>
        <rFont val="Yu Gothic"/>
        <family val="0"/>
        <charset val="1"/>
      </rPr>
      <t xml:space="preserve">GPU</t>
    </r>
    <r>
      <rPr>
        <sz val="9"/>
        <rFont val="Noto Sans CJK SC"/>
        <family val="2"/>
      </rPr>
      <t xml:space="preserve">・アクセラレータのマルチテナント分離</t>
    </r>
  </si>
  <si>
    <r>
      <rPr>
        <sz val="9"/>
        <rFont val="Yu Gothic"/>
        <family val="0"/>
        <charset val="1"/>
      </rPr>
      <t xml:space="preserve">GPU</t>
    </r>
    <r>
      <rPr>
        <sz val="9"/>
        <rFont val="Noto Sans CJK SC"/>
        <family val="2"/>
      </rPr>
      <t xml:space="preserve">共有環境におけるテナント間分離（</t>
    </r>
    <r>
      <rPr>
        <sz val="9"/>
        <rFont val="Yu Gothic"/>
        <family val="0"/>
        <charset val="1"/>
      </rPr>
      <t xml:space="preserve">MIG</t>
    </r>
    <r>
      <rPr>
        <sz val="9"/>
        <rFont val="Noto Sans CJK SC"/>
        <family val="2"/>
      </rPr>
      <t xml:space="preserve">・</t>
    </r>
    <r>
      <rPr>
        <sz val="9"/>
        <rFont val="Yu Gothic"/>
        <family val="0"/>
        <charset val="1"/>
      </rPr>
      <t xml:space="preserve">vGPU</t>
    </r>
    <r>
      <rPr>
        <sz val="9"/>
        <rFont val="Noto Sans CJK SC"/>
        <family val="2"/>
      </rPr>
      <t xml:space="preserve">分離・メモリサニタイズ）を実装し、サイドチャネル・残留データ経由の漏えいを防いでいますか。</t>
    </r>
  </si>
  <si>
    <t xml:space="preserve">AIMF-PR-INF-005</t>
  </si>
  <si>
    <r>
      <rPr>
        <sz val="9"/>
        <rFont val="Noto Sans CJK SC"/>
        <family val="2"/>
      </rPr>
      <t xml:space="preserve">推論エンドポイント・モデル</t>
    </r>
    <r>
      <rPr>
        <sz val="9"/>
        <rFont val="Yu Gothic"/>
        <family val="0"/>
        <charset val="1"/>
      </rPr>
      <t xml:space="preserve">API</t>
    </r>
    <r>
      <rPr>
        <sz val="9"/>
        <rFont val="Noto Sans CJK SC"/>
        <family val="2"/>
      </rPr>
      <t xml:space="preserve">の保護</t>
    </r>
  </si>
  <si>
    <r>
      <rPr>
        <sz val="9"/>
        <rFont val="Noto Sans CJK SC"/>
        <family val="2"/>
      </rPr>
      <t xml:space="preserve">モデル</t>
    </r>
    <r>
      <rPr>
        <sz val="9"/>
        <rFont val="Yu Gothic"/>
        <family val="0"/>
        <charset val="1"/>
      </rPr>
      <t xml:space="preserve">API</t>
    </r>
    <r>
      <rPr>
        <sz val="9"/>
        <rFont val="Noto Sans CJK SC"/>
        <family val="2"/>
      </rPr>
      <t xml:space="preserve">を</t>
    </r>
    <r>
      <rPr>
        <sz val="9"/>
        <rFont val="Yu Gothic"/>
        <family val="0"/>
        <charset val="1"/>
      </rPr>
      <t xml:space="preserve">API</t>
    </r>
    <r>
      <rPr>
        <sz val="9"/>
        <rFont val="Noto Sans CJK SC"/>
        <family val="2"/>
      </rPr>
      <t xml:space="preserve">ゲートウェイ・</t>
    </r>
    <r>
      <rPr>
        <sz val="9"/>
        <rFont val="Yu Gothic"/>
        <family val="0"/>
        <charset val="1"/>
      </rPr>
      <t xml:space="preserve">WAF</t>
    </r>
    <r>
      <rPr>
        <sz val="9"/>
        <rFont val="Noto Sans CJK SC"/>
        <family val="2"/>
      </rPr>
      <t xml:space="preserve">配下に置き、認証・スキーマ検証・異常リクエスト遮断を強制していますか。</t>
    </r>
  </si>
  <si>
    <t xml:space="preserve">AIMF-PR-INF-006</t>
  </si>
  <si>
    <t xml:space="preserve">開発・学習環境と本番環境の分離</t>
  </si>
  <si>
    <t xml:space="preserve">学習・実験環境と本番推論環境をネットワーク・アイデンティティ・データの各レイヤーで分離し、実験環境から本番データへの直接アクセスを禁止していますか。</t>
  </si>
  <si>
    <t xml:space="preserve">AIMF-PR-INF-007</t>
  </si>
  <si>
    <r>
      <rPr>
        <sz val="9"/>
        <rFont val="Yu Gothic"/>
        <family val="0"/>
        <charset val="1"/>
      </rPr>
      <t xml:space="preserve">AI</t>
    </r>
    <r>
      <rPr>
        <sz val="9"/>
        <rFont val="Noto Sans CJK SC"/>
        <family val="2"/>
      </rPr>
      <t xml:space="preserve">リソース設定のセキュリティベースライン</t>
    </r>
  </si>
  <si>
    <r>
      <rPr>
        <sz val="9"/>
        <rFont val="Noto Sans CJK SC"/>
        <family val="2"/>
      </rPr>
      <t xml:space="preserve">ベクトル</t>
    </r>
    <r>
      <rPr>
        <sz val="9"/>
        <rFont val="Yu Gothic"/>
        <family val="0"/>
        <charset val="1"/>
      </rPr>
      <t xml:space="preserve">DB</t>
    </r>
    <r>
      <rPr>
        <sz val="9"/>
        <rFont val="Noto Sans CJK SC"/>
        <family val="2"/>
      </rPr>
      <t xml:space="preserve">・推論サーバー・オーケストレーターのセキュア設定基準を定義し、</t>
    </r>
    <r>
      <rPr>
        <sz val="9"/>
        <rFont val="Yu Gothic"/>
        <family val="0"/>
        <charset val="1"/>
      </rPr>
      <t xml:space="preserve">IaC</t>
    </r>
    <r>
      <rPr>
        <sz val="9"/>
        <rFont val="Noto Sans CJK SC"/>
        <family val="2"/>
      </rPr>
      <t xml:space="preserve">スキャンで逸脱を継続検出していますか。</t>
    </r>
  </si>
  <si>
    <t xml:space="preserve">AIMF-PR-IAM-001</t>
  </si>
  <si>
    <t xml:space="preserve">IAM</t>
  </si>
  <si>
    <r>
      <rPr>
        <sz val="9"/>
        <rFont val="Yu Gothic"/>
        <family val="0"/>
        <charset val="1"/>
      </rPr>
      <t xml:space="preserve">RAG</t>
    </r>
    <r>
      <rPr>
        <sz val="9"/>
        <rFont val="Noto Sans CJK SC"/>
        <family val="2"/>
      </rPr>
      <t xml:space="preserve">データアクセス権（</t>
    </r>
    <r>
      <rPr>
        <sz val="9"/>
        <rFont val="Yu Gothic"/>
        <family val="0"/>
        <charset val="1"/>
      </rPr>
      <t xml:space="preserve">ACL</t>
    </r>
    <r>
      <rPr>
        <sz val="9"/>
        <rFont val="Noto Sans CJK SC"/>
        <family val="2"/>
      </rPr>
      <t xml:space="preserve">）の同期</t>
    </r>
  </si>
  <si>
    <r>
      <rPr>
        <sz val="9"/>
        <rFont val="Noto Sans CJK SC"/>
        <family val="2"/>
      </rPr>
      <t xml:space="preserve">社内のアイデンティティ／ファイル権限と</t>
    </r>
    <r>
      <rPr>
        <sz val="9"/>
        <rFont val="Yu Gothic"/>
        <family val="0"/>
        <charset val="1"/>
      </rPr>
      <t xml:space="preserve">RAG</t>
    </r>
    <r>
      <rPr>
        <sz val="9"/>
        <rFont val="Noto Sans CJK SC"/>
        <family val="2"/>
      </rPr>
      <t xml:space="preserve">のベクトル</t>
    </r>
    <r>
      <rPr>
        <sz val="9"/>
        <rFont val="Yu Gothic"/>
        <family val="0"/>
        <charset val="1"/>
      </rPr>
      <t xml:space="preserve">DB</t>
    </r>
    <r>
      <rPr>
        <sz val="9"/>
        <rFont val="Noto Sans CJK SC"/>
        <family val="2"/>
      </rPr>
      <t xml:space="preserve">を完全同期し、閲覧権限を超えた情報のプロンプト混入をシステム的に防いでいますか。</t>
    </r>
  </si>
  <si>
    <t xml:space="preserve">AIMF-PR-IAM-002</t>
  </si>
  <si>
    <r>
      <rPr>
        <sz val="9"/>
        <rFont val="Yu Gothic"/>
        <family val="0"/>
        <charset val="1"/>
      </rPr>
      <t xml:space="preserve">AI</t>
    </r>
    <r>
      <rPr>
        <sz val="9"/>
        <rFont val="Noto Sans CJK SC"/>
        <family val="2"/>
      </rPr>
      <t xml:space="preserve">エージェントへの最小権限原則の適用</t>
    </r>
  </si>
  <si>
    <r>
      <rPr>
        <sz val="9"/>
        <rFont val="Noto Sans CJK SC"/>
        <family val="2"/>
      </rPr>
      <t xml:space="preserve">自律エージェントに付与する</t>
    </r>
    <r>
      <rPr>
        <sz val="9"/>
        <rFont val="Yu Gothic"/>
        <family val="0"/>
        <charset val="1"/>
      </rPr>
      <t xml:space="preserve">API</t>
    </r>
    <r>
      <rPr>
        <sz val="9"/>
        <rFont val="Noto Sans CJK SC"/>
        <family val="2"/>
      </rPr>
      <t xml:space="preserve">キー・操作権限を担当業務に必要な最小限に制限していますか。</t>
    </r>
  </si>
  <si>
    <t xml:space="preserve">AIMF-PR-IAM-003</t>
  </si>
  <si>
    <r>
      <rPr>
        <sz val="9"/>
        <rFont val="Yu Gothic"/>
        <family val="0"/>
        <charset val="1"/>
      </rPr>
      <t xml:space="preserve">AI</t>
    </r>
    <r>
      <rPr>
        <sz val="9"/>
        <rFont val="Noto Sans CJK SC"/>
        <family val="2"/>
      </rPr>
      <t xml:space="preserve">クレデンシャル・</t>
    </r>
    <r>
      <rPr>
        <sz val="9"/>
        <rFont val="Yu Gothic"/>
        <family val="0"/>
        <charset val="1"/>
      </rPr>
      <t xml:space="preserve">API</t>
    </r>
    <r>
      <rPr>
        <sz val="9"/>
        <rFont val="Noto Sans CJK SC"/>
        <family val="2"/>
      </rPr>
      <t xml:space="preserve">キーの暗号化管理</t>
    </r>
  </si>
  <si>
    <t xml:space="preserve">各種キーをハードコードせず、シークレットマネージャーで暗号化し動的に呼び出していますか。</t>
  </si>
  <si>
    <t xml:space="preserve">AIMF-PR-IAM-004</t>
  </si>
  <si>
    <r>
      <rPr>
        <sz val="9"/>
        <rFont val="Noto Sans CJK SC"/>
        <family val="2"/>
      </rPr>
      <t xml:space="preserve">フィッシング耐性</t>
    </r>
    <r>
      <rPr>
        <sz val="9"/>
        <rFont val="Yu Gothic"/>
        <family val="0"/>
        <charset val="1"/>
      </rPr>
      <t xml:space="preserve">MFA</t>
    </r>
    <r>
      <rPr>
        <sz val="9"/>
        <rFont val="Noto Sans CJK SC"/>
        <family val="2"/>
      </rPr>
      <t xml:space="preserve">の適用（</t>
    </r>
    <r>
      <rPr>
        <sz val="9"/>
        <rFont val="Yu Gothic"/>
        <family val="0"/>
        <charset val="1"/>
      </rPr>
      <t xml:space="preserve">AI</t>
    </r>
    <r>
      <rPr>
        <sz val="9"/>
        <rFont val="Noto Sans CJK SC"/>
        <family val="2"/>
      </rPr>
      <t xml:space="preserve">管理者・特権）</t>
    </r>
  </si>
  <si>
    <r>
      <rPr>
        <sz val="9"/>
        <rFont val="Yu Gothic"/>
        <family val="0"/>
        <charset val="1"/>
      </rPr>
      <t xml:space="preserve">AI</t>
    </r>
    <r>
      <rPr>
        <sz val="9"/>
        <rFont val="Noto Sans CJK SC"/>
        <family val="2"/>
      </rPr>
      <t xml:space="preserve">基盤の管理者・モデルレジストリ・学習パイプラインへのアクセスにフィッシング耐性認証（</t>
    </r>
    <r>
      <rPr>
        <sz val="9"/>
        <rFont val="Yu Gothic"/>
        <family val="0"/>
        <charset val="1"/>
      </rPr>
      <t xml:space="preserve">AAL2</t>
    </r>
    <r>
      <rPr>
        <sz val="9"/>
        <rFont val="Noto Sans CJK SC"/>
        <family val="2"/>
      </rPr>
      <t xml:space="preserve">以上、パスキー</t>
    </r>
    <r>
      <rPr>
        <sz val="9"/>
        <rFont val="Yu Gothic"/>
        <family val="0"/>
        <charset val="1"/>
      </rPr>
      <t xml:space="preserve">/FIDO2</t>
    </r>
    <r>
      <rPr>
        <sz val="9"/>
        <rFont val="Noto Sans CJK SC"/>
        <family val="2"/>
      </rPr>
      <t xml:space="preserve">等）を義務付けていますか。</t>
    </r>
  </si>
  <si>
    <t xml:space="preserve">AIMF-PR-IAM-005</t>
  </si>
  <si>
    <t xml:space="preserve">エージェント・サービスアカウントのライフサイクル管理</t>
  </si>
  <si>
    <t xml:space="preserve">各エージェントに専用の非人間アイデンティティを発行し、作成・権限変更・棚卸し・廃止をライフサイクル管理していますか。</t>
  </si>
  <si>
    <t xml:space="preserve">AIMF-PR-IAM-006</t>
  </si>
  <si>
    <t xml:space="preserve">短命トークン・タスクバウンド認可</t>
  </si>
  <si>
    <t xml:space="preserve">エージェントの認可を短命トークンとタスク単位のスコープに限定し、恒久的な広域クレデンシャルの付与を禁止していますか。</t>
  </si>
  <si>
    <t xml:space="preserve">AIMF-PR-IAM-007</t>
  </si>
  <si>
    <r>
      <rPr>
        <sz val="9"/>
        <rFont val="Noto Sans CJK SC"/>
        <family val="2"/>
      </rPr>
      <t xml:space="preserve">動的な権限昇格の禁止と</t>
    </r>
    <r>
      <rPr>
        <sz val="9"/>
        <rFont val="Yu Gothic"/>
        <family val="0"/>
        <charset val="1"/>
      </rPr>
      <t xml:space="preserve">JIT</t>
    </r>
    <r>
      <rPr>
        <sz val="9"/>
        <rFont val="Noto Sans CJK SC"/>
        <family val="2"/>
      </rPr>
      <t xml:space="preserve">アクセス</t>
    </r>
  </si>
  <si>
    <r>
      <rPr>
        <sz val="9"/>
        <rFont val="Noto Sans CJK SC"/>
        <family val="2"/>
      </rPr>
      <t xml:space="preserve">エージェントによる実行時の権限昇格・スコープ拡大を禁止し、例外は人間承認付きの</t>
    </r>
    <r>
      <rPr>
        <sz val="9"/>
        <rFont val="Yu Gothic"/>
        <family val="0"/>
        <charset val="1"/>
      </rPr>
      <t xml:space="preserve">JIT</t>
    </r>
    <r>
      <rPr>
        <sz val="9"/>
        <rFont val="Noto Sans CJK SC"/>
        <family val="2"/>
      </rPr>
      <t xml:space="preserve">（</t>
    </r>
    <r>
      <rPr>
        <sz val="9"/>
        <rFont val="Yu Gothic"/>
        <family val="0"/>
        <charset val="1"/>
      </rPr>
      <t xml:space="preserve">Just-in-Time</t>
    </r>
    <r>
      <rPr>
        <sz val="9"/>
        <rFont val="Noto Sans CJK SC"/>
        <family val="2"/>
      </rPr>
      <t xml:space="preserve">）アクセスに限定していますか。</t>
    </r>
  </si>
  <si>
    <t xml:space="preserve">AIMF-PR-IAM-008</t>
  </si>
  <si>
    <r>
      <rPr>
        <sz val="9"/>
        <rFont val="Yu Gothic"/>
        <family val="0"/>
        <charset val="1"/>
      </rPr>
      <t xml:space="preserve">AI</t>
    </r>
    <r>
      <rPr>
        <sz val="9"/>
        <rFont val="Noto Sans CJK SC"/>
        <family val="2"/>
      </rPr>
      <t xml:space="preserve">プラットフォームの</t>
    </r>
    <r>
      <rPr>
        <sz val="9"/>
        <rFont val="Yu Gothic"/>
        <family val="0"/>
        <charset val="1"/>
      </rPr>
      <t xml:space="preserve">RBAC/ABAC</t>
    </r>
    <r>
      <rPr>
        <sz val="9"/>
        <rFont val="Noto Sans CJK SC"/>
        <family val="2"/>
      </rPr>
      <t xml:space="preserve">設計</t>
    </r>
  </si>
  <si>
    <t xml:space="preserve">モデル・データセット・プロンプト・評価結果への操作権限をロール・属性ベースで設計し、職務分離を実装していますか。</t>
  </si>
  <si>
    <t xml:space="preserve">AIMF-PR-DAT-001</t>
  </si>
  <si>
    <t xml:space="preserve">DAT</t>
  </si>
  <si>
    <r>
      <rPr>
        <sz val="9"/>
        <rFont val="Noto Sans CJK SC"/>
        <family val="2"/>
      </rPr>
      <t xml:space="preserve">プロンプト・出力への</t>
    </r>
    <r>
      <rPr>
        <sz val="9"/>
        <rFont val="Yu Gothic"/>
        <family val="0"/>
        <charset val="1"/>
      </rPr>
      <t xml:space="preserve">DLP</t>
    </r>
    <r>
      <rPr>
        <sz val="9"/>
        <rFont val="Noto Sans CJK SC"/>
        <family val="2"/>
      </rPr>
      <t xml:space="preserve">統制</t>
    </r>
  </si>
  <si>
    <r>
      <rPr>
        <sz val="9"/>
        <rFont val="Noto Sans CJK SC"/>
        <family val="2"/>
      </rPr>
      <t xml:space="preserve">プロンプト入力および出力経路に</t>
    </r>
    <r>
      <rPr>
        <sz val="9"/>
        <rFont val="Yu Gothic"/>
        <family val="0"/>
        <charset val="1"/>
      </rPr>
      <t xml:space="preserve">DLP</t>
    </r>
    <r>
      <rPr>
        <sz val="9"/>
        <rFont val="Noto Sans CJK SC"/>
        <family val="2"/>
      </rPr>
      <t xml:space="preserve">を適用し、機密情報・個人情報の外部</t>
    </r>
    <r>
      <rPr>
        <sz val="9"/>
        <rFont val="Yu Gothic"/>
        <family val="0"/>
        <charset val="1"/>
      </rPr>
      <t xml:space="preserve">AI</t>
    </r>
    <r>
      <rPr>
        <sz val="9"/>
        <rFont val="Noto Sans CJK SC"/>
        <family val="2"/>
      </rPr>
      <t xml:space="preserve">サービスへの送信と出力経由の漏えいを制御していますか。</t>
    </r>
  </si>
  <si>
    <t xml:space="preserve">AIMF-PR-DAT-002</t>
  </si>
  <si>
    <r>
      <rPr>
        <sz val="9"/>
        <rFont val="Noto Sans CJK SC"/>
        <family val="2"/>
      </rPr>
      <t xml:space="preserve">学習・</t>
    </r>
    <r>
      <rPr>
        <sz val="9"/>
        <rFont val="Yu Gothic"/>
        <family val="0"/>
        <charset val="1"/>
      </rPr>
      <t xml:space="preserve">RAG</t>
    </r>
    <r>
      <rPr>
        <sz val="9"/>
        <rFont val="Noto Sans CJK SC"/>
        <family val="2"/>
      </rPr>
      <t xml:space="preserve">投入前の仮名化・匿名化</t>
    </r>
  </si>
  <si>
    <r>
      <rPr>
        <sz val="9"/>
        <rFont val="Noto Sans CJK SC"/>
        <family val="2"/>
      </rPr>
      <t xml:space="preserve">学習・</t>
    </r>
    <r>
      <rPr>
        <sz val="9"/>
        <rFont val="Yu Gothic"/>
        <family val="0"/>
        <charset val="1"/>
      </rPr>
      <t xml:space="preserve">RAG</t>
    </r>
    <r>
      <rPr>
        <sz val="9"/>
        <rFont val="Noto Sans CJK SC"/>
        <family val="2"/>
      </rPr>
      <t xml:space="preserve">へ投入する個人データに仮名化・匿名化・トークナイゼーションを適用し、再識別リスクを評価していますか。</t>
    </r>
  </si>
  <si>
    <t xml:space="preserve">AIMF-PR-DAT-003</t>
  </si>
  <si>
    <t xml:space="preserve">出力データへの機密区分の継承</t>
  </si>
  <si>
    <t xml:space="preserve">機密データを参照して生成された出力に元データの機密区分を継承させ、取扱い・保存・共有の制限を適用していますか。</t>
  </si>
  <si>
    <t xml:space="preserve">AIMF-PR-DAT-004</t>
  </si>
  <si>
    <t xml:space="preserve">モデル重み・チェックポイントの厳格アクセス管理</t>
  </si>
  <si>
    <t xml:space="preserve">モデル重み・チェックポイント・アダプタへのアクセスを職務上必要な主体に限定し、持出し検知と併せて知財流出を防いでいますか。</t>
  </si>
  <si>
    <t xml:space="preserve">AIMF-PR-DAT-005</t>
  </si>
  <si>
    <t xml:space="preserve">機密コンピューティングによる推論保護</t>
  </si>
  <si>
    <r>
      <rPr>
        <sz val="9"/>
        <rFont val="Noto Sans CJK SC"/>
        <family val="2"/>
      </rPr>
      <t xml:space="preserve">高機微ユースケースにおいて、</t>
    </r>
    <r>
      <rPr>
        <sz val="9"/>
        <rFont val="Yu Gothic"/>
        <family val="0"/>
        <charset val="1"/>
      </rPr>
      <t xml:space="preserve">TEE</t>
    </r>
    <r>
      <rPr>
        <sz val="9"/>
        <rFont val="Noto Sans CJK SC"/>
        <family val="2"/>
      </rPr>
      <t xml:space="preserve">等の機密コンピューティングにより推論時のデータ・モデルをメモリ上でも保護していますか。</t>
    </r>
  </si>
  <si>
    <t xml:space="preserve">AIMF-PR-MDL-001</t>
  </si>
  <si>
    <t xml:space="preserve">MDL</t>
  </si>
  <si>
    <t xml:space="preserve">モデルライフサイクル管理・リリース前評価</t>
  </si>
  <si>
    <t xml:space="preserve">モデル・プロンプト・設定の変更管理、リリース前のセキュリティ／性能受入基準、承認ゲート、ロールバック手順を定義していますか。</t>
  </si>
  <si>
    <t xml:space="preserve">AIMF-PR-MDL-002</t>
  </si>
  <si>
    <t xml:space="preserve">モデル成果物の完全性保護</t>
  </si>
  <si>
    <r>
      <rPr>
        <sz val="9"/>
        <rFont val="Noto Sans CJK SC"/>
        <family val="2"/>
      </rPr>
      <t xml:space="preserve">モデルファイルの署名・ハッシュ検証、安全でないデシリアライゼーション（</t>
    </r>
    <r>
      <rPr>
        <sz val="9"/>
        <rFont val="Yu Gothic"/>
        <family val="0"/>
        <charset val="1"/>
      </rPr>
      <t xml:space="preserve">pickle</t>
    </r>
    <r>
      <rPr>
        <sz val="9"/>
        <rFont val="Noto Sans CJK SC"/>
        <family val="2"/>
      </rPr>
      <t xml:space="preserve">等）対策、モデルリポジトリからの取得時の</t>
    </r>
    <r>
      <rPr>
        <sz val="9"/>
        <rFont val="Yu Gothic"/>
        <family val="0"/>
        <charset val="1"/>
      </rPr>
      <t xml:space="preserve">Trojan/</t>
    </r>
    <r>
      <rPr>
        <sz val="9"/>
        <rFont val="Noto Sans CJK SC"/>
        <family val="2"/>
      </rPr>
      <t xml:space="preserve">悪性レイヤースキャンを実装していますか。</t>
    </r>
  </si>
  <si>
    <t xml:space="preserve">AIMF-PR-MDL-003</t>
  </si>
  <si>
    <t xml:space="preserve">セキュア学習パイプラインの統制</t>
  </si>
  <si>
    <t xml:space="preserve">学習ジョブの実行権限・データアクセス・成果物出力を統制し、パイプライン定義自体を版管理・レビュー対象としていますか。</t>
  </si>
  <si>
    <t xml:space="preserve">AIMF-PR-MDL-004</t>
  </si>
  <si>
    <t xml:space="preserve">モデルレジストリ統制（承認済みモデルのみデプロイ）</t>
  </si>
  <si>
    <t xml:space="preserve">本番デプロイをレジストリ登録済み・承認済み・署名検証済みのモデルに限定し、レジストリ外モデルの実行を技術的に遮断していますか。</t>
  </si>
  <si>
    <t xml:space="preserve">AIMF-PR-MDL-005</t>
  </si>
  <si>
    <t xml:space="preserve">ファインチューニング・継続学習の変更管理</t>
  </si>
  <si>
    <r>
      <rPr>
        <sz val="9"/>
        <rFont val="Noto Sans CJK SC"/>
        <family val="2"/>
      </rPr>
      <t xml:space="preserve">ファインチューニング・</t>
    </r>
    <r>
      <rPr>
        <sz val="9"/>
        <rFont val="Yu Gothic"/>
        <family val="0"/>
        <charset val="1"/>
      </rPr>
      <t xml:space="preserve">RLHF</t>
    </r>
    <r>
      <rPr>
        <sz val="9"/>
        <rFont val="Noto Sans CJK SC"/>
        <family val="2"/>
      </rPr>
      <t xml:space="preserve">・継続学習を変更管理の対象とし、実施前のデータ審査と実施後の安全性再評価を義務付けていますか。</t>
    </r>
  </si>
  <si>
    <t xml:space="preserve">AIMF-PR-MDL-006</t>
  </si>
  <si>
    <t xml:space="preserve">量子化・蒸留・最適化後の安全性再評価</t>
  </si>
  <si>
    <t xml:space="preserve">量子化・蒸留・プルーニング等の最適化後に、安全性・ガードレール有効性・堅牢性の劣化がないことを再評価していますか。</t>
  </si>
  <si>
    <t xml:space="preserve">AIMF-PR-MDL-007</t>
  </si>
  <si>
    <t xml:space="preserve">システムプロンプトの版管理と保護</t>
  </si>
  <si>
    <t xml:space="preserve">システムプロンプトを機密構成情報として版管理・アクセス制限し、機密情報や認可ロジックをプロンプト内に置かない設計を強制していますか。</t>
  </si>
  <si>
    <t xml:space="preserve">AIMF-PR-RED-001</t>
  </si>
  <si>
    <t xml:space="preserve">RED</t>
  </si>
  <si>
    <r>
      <rPr>
        <sz val="9"/>
        <rFont val="Yu Gothic"/>
        <family val="0"/>
        <charset val="1"/>
      </rPr>
      <t xml:space="preserve">AI</t>
    </r>
    <r>
      <rPr>
        <sz val="9"/>
        <rFont val="Noto Sans CJK SC"/>
        <family val="2"/>
      </rPr>
      <t xml:space="preserve">レッドチーミングの定期的実施</t>
    </r>
  </si>
  <si>
    <t xml:space="preserve">専門チームが擬似攻撃者として脱獄や間接的プロンプトインジェクションを試行し、稼働前システムの脆弱性を洗い出していますか。</t>
  </si>
  <si>
    <t xml:space="preserve">AIMF-PR-RED-002</t>
  </si>
  <si>
    <r>
      <rPr>
        <sz val="9"/>
        <rFont val="Noto Sans CJK SC"/>
        <family val="2"/>
      </rPr>
      <t xml:space="preserve">自動化された</t>
    </r>
    <r>
      <rPr>
        <sz val="9"/>
        <rFont val="Yu Gothic"/>
        <family val="0"/>
        <charset val="1"/>
      </rPr>
      <t xml:space="preserve">AI</t>
    </r>
    <r>
      <rPr>
        <sz val="9"/>
        <rFont val="Noto Sans CJK SC"/>
        <family val="2"/>
      </rPr>
      <t xml:space="preserve">脆弱性スキャン（</t>
    </r>
    <r>
      <rPr>
        <sz val="9"/>
        <rFont val="Yu Gothic"/>
        <family val="0"/>
        <charset val="1"/>
      </rPr>
      <t xml:space="preserve">LLM-assisted Red Teaming</t>
    </r>
    <r>
      <rPr>
        <sz val="9"/>
        <rFont val="Noto Sans CJK SC"/>
        <family val="2"/>
      </rPr>
      <t xml:space="preserve">）</t>
    </r>
  </si>
  <si>
    <r>
      <rPr>
        <sz val="9"/>
        <rFont val="Noto Sans CJK SC"/>
        <family val="2"/>
      </rPr>
      <t xml:space="preserve">攻撃用にチューニングした</t>
    </r>
    <r>
      <rPr>
        <sz val="9"/>
        <rFont val="Yu Gothic"/>
        <family val="0"/>
        <charset val="1"/>
      </rPr>
      <t xml:space="preserve">AI</t>
    </r>
    <r>
      <rPr>
        <sz val="9"/>
        <rFont val="Noto Sans CJK SC"/>
        <family val="2"/>
      </rPr>
      <t xml:space="preserve">エージェントで攻撃プロンプトを高速自動投入し、脱獄パターンを継続的・網羅的に探索していますか。</t>
    </r>
  </si>
  <si>
    <t xml:space="preserve">AIMF-PR-RED-003</t>
  </si>
  <si>
    <r>
      <rPr>
        <sz val="9"/>
        <rFont val="Yu Gothic"/>
        <family val="0"/>
        <charset val="1"/>
      </rPr>
      <t xml:space="preserve">RAG</t>
    </r>
    <r>
      <rPr>
        <sz val="9"/>
        <rFont val="Noto Sans CJK SC"/>
        <family val="2"/>
      </rPr>
      <t xml:space="preserve">知識ベースの動的スキャン</t>
    </r>
  </si>
  <si>
    <r>
      <rPr>
        <sz val="9"/>
        <rFont val="Noto Sans CJK SC"/>
        <family val="2"/>
      </rPr>
      <t xml:space="preserve">検索対象のファイルサーバー・</t>
    </r>
    <r>
      <rPr>
        <sz val="9"/>
        <rFont val="Yu Gothic"/>
        <family val="0"/>
        <charset val="1"/>
      </rPr>
      <t xml:space="preserve">DB</t>
    </r>
    <r>
      <rPr>
        <sz val="9"/>
        <rFont val="Noto Sans CJK SC"/>
        <family val="2"/>
      </rPr>
      <t xml:space="preserve">を常時スキャンし、不正プロンプト（ポイズニングデータ）や誤格納された機密情報を自動検知・隔離していますか。</t>
    </r>
  </si>
  <si>
    <t xml:space="preserve">AIMF-PR-RED-004</t>
  </si>
  <si>
    <t xml:space="preserve">リリース前の安全性・セキュリティ評価スイート</t>
  </si>
  <si>
    <t xml:space="preserve">リリース前にベンチマーク・有害性評価・セキュリティ評価からなる標準評価スイートを実行し、受入基準への適合を承認条件としていますか。</t>
  </si>
  <si>
    <t xml:space="preserve">AIMF-PR-RED-005</t>
  </si>
  <si>
    <r>
      <rPr>
        <sz val="9"/>
        <rFont val="Yu Gothic"/>
        <family val="0"/>
        <charset val="1"/>
      </rPr>
      <t xml:space="preserve">CI/CD</t>
    </r>
    <r>
      <rPr>
        <sz val="9"/>
        <rFont val="Noto Sans CJK SC"/>
        <family val="2"/>
      </rPr>
      <t xml:space="preserve">への継続的評価（</t>
    </r>
    <r>
      <rPr>
        <sz val="9"/>
        <rFont val="Yu Gothic"/>
        <family val="0"/>
        <charset val="1"/>
      </rPr>
      <t xml:space="preserve">eval</t>
    </r>
    <r>
      <rPr>
        <sz val="9"/>
        <rFont val="Noto Sans CJK SC"/>
        <family val="2"/>
      </rPr>
      <t xml:space="preserve">）の組み込み</t>
    </r>
  </si>
  <si>
    <r>
      <rPr>
        <sz val="9"/>
        <rFont val="Noto Sans CJK SC"/>
        <family val="2"/>
      </rPr>
      <t xml:space="preserve">モデル・プロンプト・ガードレールの変更ごとに自動評価を</t>
    </r>
    <r>
      <rPr>
        <sz val="9"/>
        <rFont val="Yu Gothic"/>
        <family val="0"/>
        <charset val="1"/>
      </rPr>
      <t xml:space="preserve">CI/CD</t>
    </r>
    <r>
      <rPr>
        <sz val="9"/>
        <rFont val="Noto Sans CJK SC"/>
        <family val="2"/>
      </rPr>
      <t xml:space="preserve">で実行し、回帰（安全性低下）を検出してデプロイを停止していますか。</t>
    </r>
  </si>
  <si>
    <t xml:space="preserve">AIMF-PR-RED-006</t>
  </si>
  <si>
    <r>
      <rPr>
        <sz val="9"/>
        <rFont val="Yu Gothic"/>
        <family val="0"/>
        <charset val="1"/>
      </rPr>
      <t xml:space="preserve">ATLAS</t>
    </r>
    <r>
      <rPr>
        <sz val="9"/>
        <rFont val="Noto Sans CJK SC"/>
        <family val="2"/>
      </rPr>
      <t xml:space="preserve">ベースの敵対的演習</t>
    </r>
  </si>
  <si>
    <r>
      <rPr>
        <sz val="9"/>
        <rFont val="Yu Gothic"/>
        <family val="0"/>
        <charset val="1"/>
      </rPr>
      <t xml:space="preserve">ATLAS</t>
    </r>
    <r>
      <rPr>
        <sz val="9"/>
        <rFont val="Noto Sans CJK SC"/>
        <family val="2"/>
      </rPr>
      <t xml:space="preserve">の</t>
    </r>
    <r>
      <rPr>
        <sz val="9"/>
        <rFont val="Yu Gothic"/>
        <family val="0"/>
        <charset val="1"/>
      </rPr>
      <t xml:space="preserve">TTP</t>
    </r>
    <r>
      <rPr>
        <sz val="9"/>
        <rFont val="Noto Sans CJK SC"/>
        <family val="2"/>
      </rPr>
      <t xml:space="preserve">に基づく攻撃シナリオでパープルチーミングを実施し、防御と検知の実効性を同時に検証していますか。</t>
    </r>
  </si>
  <si>
    <t xml:space="preserve">AIMF-PR-GRD-001</t>
  </si>
  <si>
    <t xml:space="preserve">GRD</t>
  </si>
  <si>
    <t xml:space="preserve">多層インライン・ガードレール（入出力フィルタ）の実装</t>
  </si>
  <si>
    <r>
      <rPr>
        <sz val="9"/>
        <rFont val="Noto Sans CJK SC"/>
        <family val="2"/>
      </rPr>
      <t xml:space="preserve">入力側でプロンプトインジェクション・脱獄・有害入力を検知遮断し、出力側で</t>
    </r>
    <r>
      <rPr>
        <sz val="9"/>
        <rFont val="Yu Gothic"/>
        <family val="0"/>
        <charset val="1"/>
      </rPr>
      <t xml:space="preserve">PII</t>
    </r>
    <r>
      <rPr>
        <sz val="9"/>
        <rFont val="Noto Sans CJK SC"/>
        <family val="2"/>
      </rPr>
      <t xml:space="preserve">・機密情報・極端なハルシネーションをリアルタイムにマスク・遮断していますか。</t>
    </r>
  </si>
  <si>
    <t xml:space="preserve">AIMF-PR-GRD-002</t>
  </si>
  <si>
    <r>
      <rPr>
        <sz val="9"/>
        <rFont val="Yu Gothic"/>
        <family val="0"/>
        <charset val="1"/>
      </rPr>
      <t xml:space="preserve">AI</t>
    </r>
    <r>
      <rPr>
        <sz val="9"/>
        <rFont val="Noto Sans CJK SC"/>
        <family val="2"/>
      </rPr>
      <t xml:space="preserve">エージェント実行環境の隔離（サンドボックス化）</t>
    </r>
  </si>
  <si>
    <r>
      <rPr>
        <sz val="9"/>
        <rFont val="Noto Sans CJK SC"/>
        <family val="2"/>
      </rPr>
      <t xml:space="preserve">エージェントのコード自動実行時に、ホスト</t>
    </r>
    <r>
      <rPr>
        <sz val="9"/>
        <rFont val="Yu Gothic"/>
        <family val="0"/>
        <charset val="1"/>
      </rPr>
      <t xml:space="preserve">OS</t>
    </r>
    <r>
      <rPr>
        <sz val="9"/>
        <rFont val="Noto Sans CJK SC"/>
        <family val="2"/>
      </rPr>
      <t xml:space="preserve">・社内ネットワークを保護する隔離コンテナ環境で実行させていますか。</t>
    </r>
  </si>
  <si>
    <t xml:space="preserve">AIMF-PR-GRD-003</t>
  </si>
  <si>
    <r>
      <rPr>
        <sz val="9"/>
        <rFont val="Yu Gothic"/>
        <family val="0"/>
        <charset val="1"/>
      </rPr>
      <t xml:space="preserve">Human-in-the-Loop</t>
    </r>
    <r>
      <rPr>
        <sz val="9"/>
        <rFont val="Noto Sans CJK SC"/>
        <family val="2"/>
      </rPr>
      <t xml:space="preserve">のシステム強制</t>
    </r>
  </si>
  <si>
    <t xml:space="preserve">外部送信・本番データ更新削除・高額決済の直前に人間のレビュー・承認ステップをシステム的に組み込んでいますか。</t>
  </si>
  <si>
    <t xml:space="preserve">AIMF-PR-GRD-004</t>
  </si>
  <si>
    <r>
      <rPr>
        <sz val="9"/>
        <rFont val="Noto Sans CJK SC"/>
        <family val="2"/>
      </rPr>
      <t xml:space="preserve">出力の安全な取扱い（</t>
    </r>
    <r>
      <rPr>
        <sz val="9"/>
        <rFont val="Yu Gothic"/>
        <family val="0"/>
        <charset val="1"/>
      </rPr>
      <t xml:space="preserve">Improper Output Handling</t>
    </r>
    <r>
      <rPr>
        <sz val="9"/>
        <rFont val="Noto Sans CJK SC"/>
        <family val="2"/>
      </rPr>
      <t xml:space="preserve">対策）</t>
    </r>
  </si>
  <si>
    <t xml:space="preserve">モデル出力を信頼できない入力として扱い、下流でのレンダリング・実行前にエンコーディング・サニタイズ・権限検証を強制していますか。</t>
  </si>
  <si>
    <t xml:space="preserve">AIMF-PR-GRD-005</t>
  </si>
  <si>
    <t xml:space="preserve">構造化出力・スキーマ検証の強制</t>
  </si>
  <si>
    <t xml:space="preserve">ツール呼び出し・下流連携に用いる出力を構造化形式に限定し、スキーマ検証違反の出力を破棄・再試行していますか。</t>
  </si>
  <si>
    <t xml:space="preserve">AIMF-PR-GRD-006</t>
  </si>
  <si>
    <r>
      <rPr>
        <sz val="9"/>
        <rFont val="Noto Sans CJK SC"/>
        <family val="2"/>
      </rPr>
      <t xml:space="preserve">過剰な自律性（</t>
    </r>
    <r>
      <rPr>
        <sz val="9"/>
        <rFont val="Yu Gothic"/>
        <family val="0"/>
        <charset val="1"/>
      </rPr>
      <t xml:space="preserve">Excessive Agency</t>
    </r>
    <r>
      <rPr>
        <sz val="9"/>
        <rFont val="Noto Sans CJK SC"/>
        <family val="2"/>
      </rPr>
      <t xml:space="preserve">）の制限</t>
    </r>
  </si>
  <si>
    <t xml:space="preserve">モデル・エージェントに付与する機能・権限・自律性を業務要件の最小限に設計し、破壊的操作は既定で無効化していますか。</t>
  </si>
  <si>
    <t xml:space="preserve">AIMF-PR-GRD-007</t>
  </si>
  <si>
    <r>
      <rPr>
        <sz val="9"/>
        <rFont val="Yu Gothic"/>
        <family val="0"/>
        <charset val="1"/>
      </rPr>
      <t xml:space="preserve">RAG</t>
    </r>
    <r>
      <rPr>
        <sz val="9"/>
        <rFont val="Noto Sans CJK SC"/>
        <family val="2"/>
      </rPr>
      <t xml:space="preserve">コンテキストの検証と出典の強制</t>
    </r>
  </si>
  <si>
    <r>
      <rPr>
        <sz val="9"/>
        <rFont val="Yu Gothic"/>
        <family val="0"/>
        <charset val="1"/>
      </rPr>
      <t xml:space="preserve">RAG</t>
    </r>
    <r>
      <rPr>
        <sz val="9"/>
        <rFont val="Noto Sans CJK SC"/>
        <family val="2"/>
      </rPr>
      <t xml:space="preserve">検索結果の信頼度・出典検証を行い、根拠のない生成を抑制するとともに出典表示を出力要件としていますか。</t>
    </r>
  </si>
  <si>
    <t xml:space="preserve">AIMF-PR-GRD-008</t>
  </si>
  <si>
    <r>
      <rPr>
        <sz val="9"/>
        <rFont val="Noto Sans CJK SC"/>
        <family val="2"/>
      </rPr>
      <t xml:space="preserve">リソース消費上限の強制（</t>
    </r>
    <r>
      <rPr>
        <sz val="9"/>
        <rFont val="Yu Gothic"/>
        <family val="0"/>
        <charset val="1"/>
      </rPr>
      <t xml:space="preserve">Unbounded Consumption</t>
    </r>
    <r>
      <rPr>
        <sz val="9"/>
        <rFont val="Noto Sans CJK SC"/>
        <family val="2"/>
      </rPr>
      <t xml:space="preserve">対策）</t>
    </r>
  </si>
  <si>
    <r>
      <rPr>
        <sz val="9"/>
        <rFont val="Noto Sans CJK SC"/>
        <family val="2"/>
      </rPr>
      <t xml:space="preserve">リクエスト・セッション・テナント単位のトークン</t>
    </r>
    <r>
      <rPr>
        <sz val="9"/>
        <rFont val="Yu Gothic"/>
        <family val="0"/>
        <charset val="1"/>
      </rPr>
      <t xml:space="preserve">/</t>
    </r>
    <r>
      <rPr>
        <sz val="9"/>
        <rFont val="Noto Sans CJK SC"/>
        <family val="2"/>
      </rPr>
      <t xml:space="preserve">計算資源</t>
    </r>
    <r>
      <rPr>
        <sz val="9"/>
        <rFont val="Yu Gothic"/>
        <family val="0"/>
        <charset val="1"/>
      </rPr>
      <t xml:space="preserve">/</t>
    </r>
    <r>
      <rPr>
        <sz val="9"/>
        <rFont val="Noto Sans CJK SC"/>
        <family val="2"/>
      </rPr>
      <t xml:space="preserve">コスト上限を強制し、経済的</t>
    </r>
    <r>
      <rPr>
        <sz val="9"/>
        <rFont val="Yu Gothic"/>
        <family val="0"/>
        <charset val="1"/>
      </rPr>
      <t xml:space="preserve">DoS</t>
    </r>
    <r>
      <rPr>
        <sz val="9"/>
        <rFont val="Noto Sans CJK SC"/>
        <family val="2"/>
      </rPr>
      <t xml:space="preserve">と暴走消費を防いでいますか。</t>
    </r>
  </si>
  <si>
    <t xml:space="preserve">AIMF-PR-AGT-001</t>
  </si>
  <si>
    <t xml:space="preserve">AGT</t>
  </si>
  <si>
    <r>
      <rPr>
        <sz val="9"/>
        <rFont val="Noto Sans CJK SC"/>
        <family val="2"/>
      </rPr>
      <t xml:space="preserve">エージェント</t>
    </r>
    <r>
      <rPr>
        <sz val="9"/>
        <rFont val="Yu Gothic"/>
        <family val="0"/>
        <charset val="1"/>
      </rPr>
      <t xml:space="preserve">ID</t>
    </r>
    <r>
      <rPr>
        <sz val="9"/>
        <rFont val="Noto Sans CJK SC"/>
        <family val="2"/>
      </rPr>
      <t xml:space="preserve">管理・相互認証</t>
    </r>
  </si>
  <si>
    <r>
      <rPr>
        <sz val="9"/>
        <rFont val="Noto Sans CJK SC"/>
        <family val="2"/>
      </rPr>
      <t xml:space="preserve">各エージェントに一意のアイデンティティを付与し、エージェント間（</t>
    </r>
    <r>
      <rPr>
        <sz val="9"/>
        <rFont val="Yu Gothic"/>
        <family val="0"/>
        <charset val="1"/>
      </rPr>
      <t xml:space="preserve">A2A</t>
    </r>
    <r>
      <rPr>
        <sz val="9"/>
        <rFont val="Noto Sans CJK SC"/>
        <family val="2"/>
      </rPr>
      <t xml:space="preserve">）通信・ツール呼び出しにおける相互認証・認可を強制していますか。</t>
    </r>
  </si>
  <si>
    <t xml:space="preserve">AIMF-PR-AGT-002</t>
  </si>
  <si>
    <r>
      <rPr>
        <sz val="9"/>
        <rFont val="Yu Gothic"/>
        <family val="0"/>
        <charset val="1"/>
      </rPr>
      <t xml:space="preserve">MCP</t>
    </r>
    <r>
      <rPr>
        <sz val="9"/>
        <rFont val="Noto Sans CJK SC"/>
        <family val="2"/>
      </rPr>
      <t xml:space="preserve">等ツール接続プロトコルのセキュリティ</t>
    </r>
  </si>
  <si>
    <r>
      <rPr>
        <sz val="9"/>
        <rFont val="Yu Gothic"/>
        <family val="0"/>
        <charset val="1"/>
      </rPr>
      <t xml:space="preserve">MCP</t>
    </r>
    <r>
      <rPr>
        <sz val="9"/>
        <rFont val="Noto Sans CJK SC"/>
        <family val="2"/>
      </rPr>
      <t xml:space="preserve">サーバー等の外部ツール接続について、ツール定義の検証（ツールポイズニング対策）、認可スコープによるツール発見のフィルタリング、呼び出しごとのサーバーサイド認可、認証付き暗号化トランスポートを義務付けていますか。</t>
    </r>
  </si>
  <si>
    <t xml:space="preserve">AIMF-PR-AGT-003</t>
  </si>
  <si>
    <t xml:space="preserve">エージェントメモリ（長期記憶）の保護と汚染対策</t>
  </si>
  <si>
    <t xml:space="preserve">エージェントのセッションメモリ・長期記憶ストアへの書き込み検証、記憶経由の間接的インジェクション対策、記憶の定期的な検疫・失効を実装していますか。</t>
  </si>
  <si>
    <t xml:space="preserve">AIMF-PR-AGT-004</t>
  </si>
  <si>
    <t xml:space="preserve">最小エージェンシー原則（行動範囲・目標境界の定義）</t>
  </si>
  <si>
    <t xml:space="preserve">エージェントごとに許可される目標・行動範囲・禁止行為を明文化し、範囲外の行動をポリシーエンジンで技術的に拒否していますか。</t>
  </si>
  <si>
    <t xml:space="preserve">AIMF-PR-AGT-005</t>
  </si>
  <si>
    <r>
      <rPr>
        <sz val="9"/>
        <rFont val="Noto Sans CJK SC"/>
        <family val="2"/>
      </rPr>
      <t xml:space="preserve">ツール</t>
    </r>
    <r>
      <rPr>
        <sz val="9"/>
        <rFont val="Yu Gothic"/>
        <family val="0"/>
        <charset val="1"/>
      </rPr>
      <t xml:space="preserve">ACL</t>
    </r>
    <r>
      <rPr>
        <sz val="9"/>
        <rFont val="Noto Sans CJK SC"/>
        <family val="2"/>
      </rPr>
      <t xml:space="preserve">マトリクスによる呼出可否管理</t>
    </r>
  </si>
  <si>
    <r>
      <rPr>
        <sz val="9"/>
        <rFont val="Noto Sans CJK SC"/>
        <family val="2"/>
      </rPr>
      <t xml:space="preserve">エージェント</t>
    </r>
    <r>
      <rPr>
        <sz val="9"/>
        <rFont val="Yu Gothic"/>
        <family val="0"/>
        <charset val="1"/>
      </rPr>
      <t xml:space="preserve">×</t>
    </r>
    <r>
      <rPr>
        <sz val="9"/>
        <rFont val="Noto Sans CJK SC"/>
        <family val="2"/>
      </rPr>
      <t xml:space="preserve">ツール</t>
    </r>
    <r>
      <rPr>
        <sz val="9"/>
        <rFont val="Yu Gothic"/>
        <family val="0"/>
        <charset val="1"/>
      </rPr>
      <t xml:space="preserve">×</t>
    </r>
    <r>
      <rPr>
        <sz val="9"/>
        <rFont val="Noto Sans CJK SC"/>
        <family val="2"/>
      </rPr>
      <t xml:space="preserve">操作の</t>
    </r>
    <r>
      <rPr>
        <sz val="9"/>
        <rFont val="Yu Gothic"/>
        <family val="0"/>
        <charset val="1"/>
      </rPr>
      <t xml:space="preserve">ACL</t>
    </r>
    <r>
      <rPr>
        <sz val="9"/>
        <rFont val="Noto Sans CJK SC"/>
        <family val="2"/>
      </rPr>
      <t xml:space="preserve">マトリクスを定義し、許可されない組合せのツール呼出をオーケストレーション層で遮断していますか。</t>
    </r>
  </si>
  <si>
    <t xml:space="preserve">AIMF-PR-AGT-006</t>
  </si>
  <si>
    <t xml:space="preserve">タスク計画の事前検証と逸脱制御</t>
  </si>
  <si>
    <t xml:space="preserve">エージェントの実行計画（プラン）を実行前にポリシー検証し、承認済み計画からの逸脱時は停止・再承認を要求していますか。</t>
  </si>
  <si>
    <t xml:space="preserve">AIMF-PR-AGT-007</t>
  </si>
  <si>
    <t xml:space="preserve">エージェント生成コードの実行統制</t>
  </si>
  <si>
    <r>
      <rPr>
        <sz val="9"/>
        <rFont val="Noto Sans CJK SC"/>
        <family val="2"/>
      </rPr>
      <t xml:space="preserve">エージェントが生成・変更するコードの実行を制限付きランタイムに限定し、危険</t>
    </r>
    <r>
      <rPr>
        <sz val="9"/>
        <rFont val="Yu Gothic"/>
        <family val="0"/>
        <charset val="1"/>
      </rPr>
      <t xml:space="preserve">API</t>
    </r>
    <r>
      <rPr>
        <sz val="9"/>
        <rFont val="Noto Sans CJK SC"/>
        <family val="2"/>
      </rPr>
      <t xml:space="preserve">・ネットワーク到達性・永続化を既定で禁止していますか。</t>
    </r>
  </si>
  <si>
    <t xml:space="preserve">AIMF-PR-AGT-008</t>
  </si>
  <si>
    <t xml:space="preserve">委任チェーン・エージェント間信頼境界の設計</t>
  </si>
  <si>
    <t xml:space="preserve">エージェント間の委任関係と信頼境界を明示的に設計し、委任の深さ・伝播可能な権限を制限して連鎖的な侵害を防いでいますか。</t>
  </si>
  <si>
    <t xml:space="preserve">multi-agent</t>
  </si>
  <si>
    <t xml:space="preserve">AIMF-PR-AGT-009</t>
  </si>
  <si>
    <t xml:space="preserve">エージェント設定のセキュアベースライン</t>
  </si>
  <si>
    <t xml:space="preserve">エージェントフレームワーク・オーケストレーターのセキュア設定基準（デフォルト無効化・タイムアウト・再試行上限等）を定義し逸脱を検出していますか。</t>
  </si>
  <si>
    <t xml:space="preserve">AIMF-PR-AGT-010</t>
  </si>
  <si>
    <t xml:space="preserve">オーケストレーターの単一障害点・乗っ取り対策</t>
  </si>
  <si>
    <t xml:space="preserve">オーケストレーターを重要資産として冗長化・アクセス制限し、単一エージェントの侵害が調停役の信頼を奪えない設計としていますか。</t>
  </si>
  <si>
    <t xml:space="preserve">AIMF-PR-HOV-001</t>
  </si>
  <si>
    <t xml:space="preserve">HOV</t>
  </si>
  <si>
    <r>
      <rPr>
        <sz val="9"/>
        <rFont val="Noto Sans CJK SC"/>
        <family val="2"/>
      </rPr>
      <t xml:space="preserve">人間による監督（</t>
    </r>
    <r>
      <rPr>
        <sz val="9"/>
        <rFont val="Yu Gothic"/>
        <family val="0"/>
        <charset val="1"/>
      </rPr>
      <t xml:space="preserve">Human Oversight</t>
    </r>
    <r>
      <rPr>
        <sz val="9"/>
        <rFont val="Noto Sans CJK SC"/>
        <family val="2"/>
      </rPr>
      <t xml:space="preserve">）の全体設計</t>
    </r>
  </si>
  <si>
    <r>
      <rPr>
        <sz val="9"/>
        <rFont val="Noto Sans CJK SC"/>
        <family val="2"/>
      </rPr>
      <t xml:space="preserve">高リスク</t>
    </r>
    <r>
      <rPr>
        <sz val="9"/>
        <rFont val="Yu Gothic"/>
        <family val="0"/>
        <charset val="1"/>
      </rPr>
      <t xml:space="preserve">AI</t>
    </r>
    <r>
      <rPr>
        <sz val="9"/>
        <rFont val="Noto Sans CJK SC"/>
        <family val="2"/>
      </rPr>
      <t xml:space="preserve">システム全般について、監督者の力量要件、自動化バイアスへの注意、出力の解釈・無効化・介入手段を含む監督設計を行っていますか（エージェント</t>
    </r>
    <r>
      <rPr>
        <sz val="9"/>
        <rFont val="Yu Gothic"/>
        <family val="0"/>
        <charset val="1"/>
      </rPr>
      <t xml:space="preserve">HITL</t>
    </r>
    <r>
      <rPr>
        <sz val="9"/>
        <rFont val="Noto Sans CJK SC"/>
        <family val="2"/>
      </rPr>
      <t xml:space="preserve">に限定しない）。</t>
    </r>
  </si>
  <si>
    <t xml:space="preserve">AIMF-PR-HOV-002</t>
  </si>
  <si>
    <t xml:space="preserve">監督者の力量要件と自動化バイアス対策</t>
  </si>
  <si>
    <r>
      <rPr>
        <sz val="9"/>
        <rFont val="Yu Gothic"/>
        <family val="0"/>
        <charset val="1"/>
      </rPr>
      <t xml:space="preserve">AI</t>
    </r>
    <r>
      <rPr>
        <sz val="9"/>
        <rFont val="Noto Sans CJK SC"/>
        <family val="2"/>
      </rPr>
      <t xml:space="preserve">監督担当者の力量要件・訓練を定め、自動化バイアス（</t>
    </r>
    <r>
      <rPr>
        <sz val="9"/>
        <rFont val="Yu Gothic"/>
        <family val="0"/>
        <charset val="1"/>
      </rPr>
      <t xml:space="preserve">AI</t>
    </r>
    <r>
      <rPr>
        <sz val="9"/>
        <rFont val="Noto Sans CJK SC"/>
        <family val="2"/>
      </rPr>
      <t xml:space="preserve">出力の無批判な受容）への対策を監督手順に組み込んでいますか。</t>
    </r>
  </si>
  <si>
    <t xml:space="preserve">AIMF-PR-HOV-003</t>
  </si>
  <si>
    <t xml:space="preserve">人間・エージェント間の信頼悪用対策</t>
  </si>
  <si>
    <r>
      <rPr>
        <sz val="9"/>
        <rFont val="Noto Sans CJK SC"/>
        <family val="2"/>
      </rPr>
      <t xml:space="preserve">承認疲れ・説得的出力による不安全な承認誘導を防ぐため、重要承認は帯域外・要約強制・冷却時間付きの</t>
    </r>
    <r>
      <rPr>
        <sz val="9"/>
        <rFont val="Yu Gothic"/>
        <family val="0"/>
        <charset val="1"/>
      </rPr>
      <t xml:space="preserve">UX</t>
    </r>
    <r>
      <rPr>
        <sz val="9"/>
        <rFont val="Noto Sans CJK SC"/>
        <family val="2"/>
      </rPr>
      <t xml:space="preserve">として設計していますか。</t>
    </r>
  </si>
  <si>
    <t xml:space="preserve">AIMF-PR-ADV-001</t>
  </si>
  <si>
    <t xml:space="preserve">ADV</t>
  </si>
  <si>
    <r>
      <rPr>
        <sz val="9"/>
        <rFont val="Noto Sans CJK SC"/>
        <family val="2"/>
      </rPr>
      <t xml:space="preserve">従来型</t>
    </r>
    <r>
      <rPr>
        <sz val="9"/>
        <rFont val="Yu Gothic"/>
        <family val="0"/>
        <charset val="1"/>
      </rPr>
      <t xml:space="preserve">ML</t>
    </r>
    <r>
      <rPr>
        <sz val="9"/>
        <rFont val="Noto Sans CJK SC"/>
        <family val="2"/>
      </rPr>
      <t xml:space="preserve">特有の敵対的攻撃対策</t>
    </r>
  </si>
  <si>
    <r>
      <rPr>
        <sz val="9"/>
        <rFont val="Noto Sans CJK SC"/>
        <family val="2"/>
      </rPr>
      <t xml:space="preserve">画像分類・異常検知等の従来型</t>
    </r>
    <r>
      <rPr>
        <sz val="9"/>
        <rFont val="Yu Gothic"/>
        <family val="0"/>
        <charset val="1"/>
      </rPr>
      <t xml:space="preserve">ML</t>
    </r>
    <r>
      <rPr>
        <sz val="9"/>
        <rFont val="Noto Sans CJK SC"/>
        <family val="2"/>
      </rPr>
      <t xml:space="preserve">モデルに対する回避攻撃（</t>
    </r>
    <r>
      <rPr>
        <sz val="9"/>
        <rFont val="Yu Gothic"/>
        <family val="0"/>
        <charset val="1"/>
      </rPr>
      <t xml:space="preserve">Evasion</t>
    </r>
    <r>
      <rPr>
        <sz val="9"/>
        <rFont val="Noto Sans CJK SC"/>
        <family val="2"/>
      </rPr>
      <t xml:space="preserve">）、モデル抽出、メンバーシップ推論、モデル反転への対策（敵対的学習、出力制限、クエリ監視）を実装していますか。</t>
    </r>
  </si>
  <si>
    <t xml:space="preserve">traditional-ai</t>
  </si>
  <si>
    <t xml:space="preserve">AIMF-PR-ADV-002</t>
  </si>
  <si>
    <t xml:space="preserve">モデル抽出・スティーリング対策</t>
  </si>
  <si>
    <r>
      <rPr>
        <sz val="9"/>
        <rFont val="Noto Sans CJK SC"/>
        <family val="2"/>
      </rPr>
      <t xml:space="preserve">推論</t>
    </r>
    <r>
      <rPr>
        <sz val="9"/>
        <rFont val="Yu Gothic"/>
        <family val="0"/>
        <charset val="1"/>
      </rPr>
      <t xml:space="preserve">API</t>
    </r>
    <r>
      <rPr>
        <sz val="9"/>
        <rFont val="Noto Sans CJK SC"/>
        <family val="2"/>
      </rPr>
      <t xml:space="preserve">へのクエリ制限・出力情報量の制御・透かし（フィンガープリント）により、モデル複製・抽出攻撃を抑止していますか。</t>
    </r>
  </si>
  <si>
    <t xml:space="preserve">AIMF-PR-ADV-003</t>
  </si>
  <si>
    <t xml:space="preserve">メンバーシップ推論・モデル反転対策</t>
  </si>
  <si>
    <t xml:space="preserve">差分プライバシー・正則化・出力確信度の制御により、学習データの推定・復元攻撃への耐性を確保していますか。</t>
  </si>
  <si>
    <t xml:space="preserve">AIMF-PR-ADV-004</t>
  </si>
  <si>
    <t xml:space="preserve">回避攻撃（敵対的サンプル）対策</t>
  </si>
  <si>
    <t xml:space="preserve">敵対的学習・入力前処理・アンサンブルにより、判別モデルへの回避攻撃耐性を確保し、耐性を定期評価していますか。</t>
  </si>
  <si>
    <t xml:space="preserve">AIMF-PR-CAI-001</t>
  </si>
  <si>
    <t xml:space="preserve">CAI</t>
  </si>
  <si>
    <r>
      <rPr>
        <sz val="9"/>
        <rFont val="Noto Sans CJK SC"/>
        <family val="2"/>
      </rPr>
      <t xml:space="preserve">フィッシング・標的型攻撃対策の高度化（対</t>
    </r>
    <r>
      <rPr>
        <sz val="9"/>
        <rFont val="Yu Gothic"/>
        <family val="0"/>
        <charset val="1"/>
      </rPr>
      <t xml:space="preserve">AI</t>
    </r>
    <r>
      <rPr>
        <sz val="9"/>
        <rFont val="Noto Sans CJK SC"/>
        <family val="2"/>
      </rPr>
      <t xml:space="preserve">攻撃）</t>
    </r>
  </si>
  <si>
    <r>
      <rPr>
        <sz val="9"/>
        <rFont val="Yu Gothic"/>
        <family val="0"/>
        <charset val="1"/>
      </rPr>
      <t xml:space="preserve">AI</t>
    </r>
    <r>
      <rPr>
        <sz val="9"/>
        <rFont val="Noto Sans CJK SC"/>
        <family val="2"/>
      </rPr>
      <t xml:space="preserve">生成の自然な偽メールに対抗するため、文脈解析型メールセキュリティを導入し、訓練コンテンツを</t>
    </r>
    <r>
      <rPr>
        <sz val="9"/>
        <rFont val="Yu Gothic"/>
        <family val="0"/>
        <charset val="1"/>
      </rPr>
      <t xml:space="preserve">AI</t>
    </r>
    <r>
      <rPr>
        <sz val="9"/>
        <rFont val="Noto Sans CJK SC"/>
        <family val="2"/>
      </rPr>
      <t xml:space="preserve">前提に刷新していますか。</t>
    </r>
  </si>
  <si>
    <t xml:space="preserve">AIMF-PR-CAI-002</t>
  </si>
  <si>
    <r>
      <rPr>
        <sz val="9"/>
        <rFont val="Yu Gothic"/>
        <family val="0"/>
        <charset val="1"/>
      </rPr>
      <t xml:space="preserve">MFA</t>
    </r>
    <r>
      <rPr>
        <sz val="9"/>
        <rFont val="Noto Sans CJK SC"/>
        <family val="2"/>
      </rPr>
      <t xml:space="preserve">における生体・音声認証の見直し（対ディープフェイク）</t>
    </r>
  </si>
  <si>
    <t xml:space="preserve">ディープフェイク・音声合成によるなりすましを想定し、物理キー・パスキーへの移行を加速していますか。</t>
  </si>
  <si>
    <t xml:space="preserve">AIMF-PR-CAI-003</t>
  </si>
  <si>
    <r>
      <rPr>
        <sz val="9"/>
        <rFont val="Yu Gothic"/>
        <family val="0"/>
        <charset val="1"/>
      </rPr>
      <t xml:space="preserve">AI</t>
    </r>
    <r>
      <rPr>
        <sz val="9"/>
        <rFont val="Noto Sans CJK SC"/>
        <family val="2"/>
      </rPr>
      <t xml:space="preserve">前提のパスワードレス認証・セキュアコーディング</t>
    </r>
  </si>
  <si>
    <r>
      <rPr>
        <sz val="9"/>
        <rFont val="Yu Gothic"/>
        <family val="0"/>
        <charset val="1"/>
      </rPr>
      <t xml:space="preserve">FIDO2/</t>
    </r>
    <r>
      <rPr>
        <sz val="9"/>
        <rFont val="Noto Sans CJK SC"/>
        <family val="2"/>
      </rPr>
      <t xml:space="preserve">パスキー移行を加速し、コード生成</t>
    </r>
    <r>
      <rPr>
        <sz val="9"/>
        <rFont val="Yu Gothic"/>
        <family val="0"/>
        <charset val="1"/>
      </rPr>
      <t xml:space="preserve">AI</t>
    </r>
    <r>
      <rPr>
        <sz val="9"/>
        <rFont val="Noto Sans CJK SC"/>
        <family val="2"/>
      </rPr>
      <t xml:space="preserve">由来の脆弱なコードを排除するため</t>
    </r>
    <r>
      <rPr>
        <sz val="9"/>
        <rFont val="Yu Gothic"/>
        <family val="0"/>
        <charset val="1"/>
      </rPr>
      <t xml:space="preserve">SAST/DAST</t>
    </r>
    <r>
      <rPr>
        <sz val="9"/>
        <rFont val="Noto Sans CJK SC"/>
        <family val="2"/>
      </rPr>
      <t xml:space="preserve">を</t>
    </r>
    <r>
      <rPr>
        <sz val="9"/>
        <rFont val="Yu Gothic"/>
        <family val="0"/>
        <charset val="1"/>
      </rPr>
      <t xml:space="preserve">CI/CD</t>
    </r>
    <r>
      <rPr>
        <sz val="9"/>
        <rFont val="Noto Sans CJK SC"/>
        <family val="2"/>
      </rPr>
      <t xml:space="preserve">に強制組み込みしていますか。</t>
    </r>
  </si>
  <si>
    <t xml:space="preserve">AIMF-PR-CAI-004</t>
  </si>
  <si>
    <t xml:space="preserve">ディープフェイク詐欺対策の業務プロセス</t>
  </si>
  <si>
    <t xml:space="preserve">送金・支払先変更・重要指示は音声・映像によらない帯域外の再確認（コールバック・合言葉）を必須とし、経営層なりすましを防いでいますか。</t>
  </si>
  <si>
    <t xml:space="preserve">AIMF-PR-CAI-005</t>
  </si>
  <si>
    <r>
      <rPr>
        <sz val="9"/>
        <rFont val="Yu Gothic"/>
        <family val="0"/>
        <charset val="1"/>
      </rPr>
      <t xml:space="preserve">AI</t>
    </r>
    <r>
      <rPr>
        <sz val="9"/>
        <rFont val="Noto Sans CJK SC"/>
        <family val="2"/>
      </rPr>
      <t xml:space="preserve">生成フィッシング対策とメール認証の強化</t>
    </r>
  </si>
  <si>
    <r>
      <rPr>
        <sz val="9"/>
        <rFont val="Yu Gothic"/>
        <family val="0"/>
        <charset val="1"/>
      </rPr>
      <t xml:space="preserve">DMARC/DKIM/SPF</t>
    </r>
    <r>
      <rPr>
        <sz val="9"/>
        <rFont val="Noto Sans CJK SC"/>
        <family val="2"/>
      </rPr>
      <t xml:space="preserve">の厳格運用と</t>
    </r>
    <r>
      <rPr>
        <sz val="9"/>
        <rFont val="Yu Gothic"/>
        <family val="0"/>
        <charset val="1"/>
      </rPr>
      <t xml:space="preserve">AI</t>
    </r>
    <r>
      <rPr>
        <sz val="9"/>
        <rFont val="Noto Sans CJK SC"/>
        <family val="2"/>
      </rPr>
      <t xml:space="preserve">文面検知を組み合わせ、</t>
    </r>
    <r>
      <rPr>
        <sz val="9"/>
        <rFont val="Yu Gothic"/>
        <family val="0"/>
        <charset val="1"/>
      </rPr>
      <t xml:space="preserve">AI</t>
    </r>
    <r>
      <rPr>
        <sz val="9"/>
        <rFont val="Noto Sans CJK SC"/>
        <family val="2"/>
      </rPr>
      <t xml:space="preserve">生成の高品質フィッシング・</t>
    </r>
    <r>
      <rPr>
        <sz val="9"/>
        <rFont val="Yu Gothic"/>
        <family val="0"/>
        <charset val="1"/>
      </rPr>
      <t xml:space="preserve">BEC</t>
    </r>
    <r>
      <rPr>
        <sz val="9"/>
        <rFont val="Noto Sans CJK SC"/>
        <family val="2"/>
      </rPr>
      <t xml:space="preserve">への防御を強化していますか。</t>
    </r>
  </si>
  <si>
    <t xml:space="preserve">AIMF-PR-CAI-006</t>
  </si>
  <si>
    <t xml:space="preserve">アタックサーフェス削減とゼロトラスト移行</t>
  </si>
  <si>
    <r>
      <rPr>
        <sz val="9"/>
        <rFont val="Noto Sans CJK SC"/>
        <family val="2"/>
      </rPr>
      <t xml:space="preserve">外部到達可能な資産の最小化・不要サービスの停止・ゼロトラストアクセスへの移行を加速し、</t>
    </r>
    <r>
      <rPr>
        <sz val="9"/>
        <rFont val="Yu Gothic"/>
        <family val="0"/>
        <charset val="1"/>
      </rPr>
      <t xml:space="preserve">AI</t>
    </r>
    <r>
      <rPr>
        <sz val="9"/>
        <rFont val="Noto Sans CJK SC"/>
        <family val="2"/>
      </rPr>
      <t xml:space="preserve">駆動の偵察・悪用に晒される面を減らしていますか。</t>
    </r>
  </si>
  <si>
    <t xml:space="preserve">AIMF-PR-CAI-007</t>
  </si>
  <si>
    <r>
      <rPr>
        <sz val="9"/>
        <rFont val="Yu Gothic"/>
        <family val="0"/>
        <charset val="1"/>
      </rPr>
      <t xml:space="preserve">AI</t>
    </r>
    <r>
      <rPr>
        <sz val="9"/>
        <rFont val="Noto Sans CJK SC"/>
        <family val="2"/>
      </rPr>
      <t xml:space="preserve">加速攻撃を想定したパッチ</t>
    </r>
    <r>
      <rPr>
        <sz val="9"/>
        <rFont val="Yu Gothic"/>
        <family val="0"/>
        <charset val="1"/>
      </rPr>
      <t xml:space="preserve">SLA</t>
    </r>
    <r>
      <rPr>
        <sz val="9"/>
        <rFont val="Noto Sans CJK SC"/>
        <family val="2"/>
      </rPr>
      <t xml:space="preserve">の短縮</t>
    </r>
  </si>
  <si>
    <r>
      <rPr>
        <sz val="9"/>
        <rFont val="Noto Sans CJK SC"/>
        <family val="2"/>
      </rPr>
      <t xml:space="preserve">脆弱性公開から悪用までの時間短縮を前提に、外部公開資産・</t>
    </r>
    <r>
      <rPr>
        <sz val="9"/>
        <rFont val="Yu Gothic"/>
        <family val="0"/>
        <charset val="1"/>
      </rPr>
      <t xml:space="preserve">AI</t>
    </r>
    <r>
      <rPr>
        <sz val="9"/>
        <rFont val="Noto Sans CJK SC"/>
        <family val="2"/>
      </rPr>
      <t xml:space="preserve">基盤の重大脆弱性のパッチ</t>
    </r>
    <r>
      <rPr>
        <sz val="9"/>
        <rFont val="Yu Gothic"/>
        <family val="0"/>
        <charset val="1"/>
      </rPr>
      <t xml:space="preserve">SLA</t>
    </r>
    <r>
      <rPr>
        <sz val="9"/>
        <rFont val="Noto Sans CJK SC"/>
        <family val="2"/>
      </rPr>
      <t xml:space="preserve">を短縮し達成率を測定していますか。</t>
    </r>
  </si>
  <si>
    <t xml:space="preserve">AIMF-PR-EDU-001</t>
  </si>
  <si>
    <t xml:space="preserve">EDU</t>
  </si>
  <si>
    <r>
      <rPr>
        <sz val="9"/>
        <rFont val="Noto Sans CJK SC"/>
        <family val="2"/>
      </rPr>
      <t xml:space="preserve">層別</t>
    </r>
    <r>
      <rPr>
        <sz val="9"/>
        <rFont val="Yu Gothic"/>
        <family val="0"/>
        <charset val="1"/>
      </rPr>
      <t xml:space="preserve">AI</t>
    </r>
    <r>
      <rPr>
        <sz val="9"/>
        <rFont val="Noto Sans CJK SC"/>
        <family val="2"/>
      </rPr>
      <t xml:space="preserve">セキュリティ教育の徹底</t>
    </r>
  </si>
  <si>
    <r>
      <rPr>
        <sz val="9"/>
        <rFont val="Noto Sans CJK SC"/>
        <family val="2"/>
      </rPr>
      <t xml:space="preserve">組織管理者・技術者・セキュリティ担当者・法務コンプライアンス・一般従業員の</t>
    </r>
    <r>
      <rPr>
        <sz val="9"/>
        <rFont val="Yu Gothic"/>
        <family val="0"/>
        <charset val="1"/>
      </rPr>
      <t xml:space="preserve">5</t>
    </r>
    <r>
      <rPr>
        <sz val="9"/>
        <rFont val="Noto Sans CJK SC"/>
        <family val="2"/>
      </rPr>
      <t xml:space="preserve">層に対し、役割に応じた</t>
    </r>
    <r>
      <rPr>
        <sz val="9"/>
        <rFont val="Yu Gothic"/>
        <family val="0"/>
        <charset val="1"/>
      </rPr>
      <t xml:space="preserve">AI</t>
    </r>
    <r>
      <rPr>
        <sz val="9"/>
        <rFont val="Noto Sans CJK SC"/>
        <family val="2"/>
      </rPr>
      <t xml:space="preserve">リスク・ガバナンス・セキュリティ教育を義務付けていますか。</t>
    </r>
  </si>
  <si>
    <t xml:space="preserve">AIMF-PR-EDU-002</t>
  </si>
  <si>
    <r>
      <rPr>
        <sz val="9"/>
        <rFont val="Noto Sans CJK SC"/>
        <family val="2"/>
      </rPr>
      <t xml:space="preserve">開発者向けセキュア</t>
    </r>
    <r>
      <rPr>
        <sz val="9"/>
        <rFont val="Yu Gothic"/>
        <family val="0"/>
        <charset val="1"/>
      </rPr>
      <t xml:space="preserve">AI</t>
    </r>
    <r>
      <rPr>
        <sz val="9"/>
        <rFont val="Noto Sans CJK SC"/>
        <family val="2"/>
      </rPr>
      <t xml:space="preserve">開発研修</t>
    </r>
  </si>
  <si>
    <r>
      <rPr>
        <sz val="9"/>
        <rFont val="Yu Gothic"/>
        <family val="0"/>
        <charset val="1"/>
      </rPr>
      <t xml:space="preserve">AI</t>
    </r>
    <r>
      <rPr>
        <sz val="9"/>
        <rFont val="Noto Sans CJK SC"/>
        <family val="2"/>
      </rPr>
      <t xml:space="preserve">開発者にプロンプトインジェクション・出力処理・エージェント統制を含むセキュア</t>
    </r>
    <r>
      <rPr>
        <sz val="9"/>
        <rFont val="Yu Gothic"/>
        <family val="0"/>
        <charset val="1"/>
      </rPr>
      <t xml:space="preserve">AI</t>
    </r>
    <r>
      <rPr>
        <sz val="9"/>
        <rFont val="Noto Sans CJK SC"/>
        <family val="2"/>
      </rPr>
      <t xml:space="preserve">開発研修を義務付け、力量を記録していますか。</t>
    </r>
  </si>
  <si>
    <t xml:space="preserve">AIMF-PR-EDU-003</t>
  </si>
  <si>
    <r>
      <rPr>
        <sz val="9"/>
        <rFont val="Yu Gothic"/>
        <family val="0"/>
        <charset val="1"/>
      </rPr>
      <t xml:space="preserve">AI</t>
    </r>
    <r>
      <rPr>
        <sz val="9"/>
        <rFont val="Noto Sans CJK SC"/>
        <family val="2"/>
      </rPr>
      <t xml:space="preserve">生成ソーシャルエンジニアリング対応訓練</t>
    </r>
  </si>
  <si>
    <r>
      <rPr>
        <sz val="9"/>
        <rFont val="Yu Gothic"/>
        <family val="0"/>
        <charset val="1"/>
      </rPr>
      <t xml:space="preserve">AI</t>
    </r>
    <r>
      <rPr>
        <sz val="9"/>
        <rFont val="Noto Sans CJK SC"/>
        <family val="2"/>
      </rPr>
      <t xml:space="preserve">生成のフィッシング・音声</t>
    </r>
    <r>
      <rPr>
        <sz val="9"/>
        <rFont val="Yu Gothic"/>
        <family val="0"/>
        <charset val="1"/>
      </rPr>
      <t xml:space="preserve">/</t>
    </r>
    <r>
      <rPr>
        <sz val="9"/>
        <rFont val="Noto Sans CJK SC"/>
        <family val="2"/>
      </rPr>
      <t xml:space="preserve">映像なりすましを用いた実践的訓練を定期実施し、報告行動を定着させていますか。</t>
    </r>
  </si>
  <si>
    <t xml:space="preserve">AIMF-PR-EDU-004</t>
  </si>
  <si>
    <r>
      <rPr>
        <sz val="9"/>
        <rFont val="Noto Sans CJK SC"/>
        <family val="2"/>
      </rPr>
      <t xml:space="preserve">経営層向け</t>
    </r>
    <r>
      <rPr>
        <sz val="9"/>
        <rFont val="Yu Gothic"/>
        <family val="0"/>
        <charset val="1"/>
      </rPr>
      <t xml:space="preserve">AI</t>
    </r>
    <r>
      <rPr>
        <sz val="9"/>
        <rFont val="Noto Sans CJK SC"/>
        <family val="2"/>
      </rPr>
      <t xml:space="preserve">サイバーリスクブリーフィング</t>
    </r>
  </si>
  <si>
    <r>
      <rPr>
        <sz val="9"/>
        <rFont val="Noto Sans CJK SC"/>
        <family val="2"/>
      </rPr>
      <t xml:space="preserve">取締役・経営層に対し</t>
    </r>
    <r>
      <rPr>
        <sz val="9"/>
        <rFont val="Yu Gothic"/>
        <family val="0"/>
        <charset val="1"/>
      </rPr>
      <t xml:space="preserve">AI</t>
    </r>
    <r>
      <rPr>
        <sz val="9"/>
        <rFont val="Noto Sans CJK SC"/>
        <family val="2"/>
      </rPr>
      <t xml:space="preserve">サイバーリスクの定期ブリーフィングを行い、投資判断・リスク受容の質を高めていますか。</t>
    </r>
  </si>
  <si>
    <t xml:space="preserve">AIMF-DE-VUL-001</t>
  </si>
  <si>
    <t xml:space="preserve">DE</t>
  </si>
  <si>
    <r>
      <rPr>
        <sz val="9"/>
        <rFont val="Yu Gothic"/>
        <family val="0"/>
        <charset val="1"/>
      </rPr>
      <t xml:space="preserve">SBOM/AI-BOM</t>
    </r>
    <r>
      <rPr>
        <sz val="9"/>
        <rFont val="Noto Sans CJK SC"/>
        <family val="2"/>
      </rPr>
      <t xml:space="preserve">の継続的脆弱性スキャン</t>
    </r>
  </si>
  <si>
    <r>
      <rPr>
        <sz val="9"/>
        <rFont val="Noto Sans CJK SC"/>
        <family val="2"/>
      </rPr>
      <t xml:space="preserve">新たな脆弱性情報（</t>
    </r>
    <r>
      <rPr>
        <sz val="9"/>
        <rFont val="Yu Gothic"/>
        <family val="0"/>
        <charset val="1"/>
      </rPr>
      <t xml:space="preserve">NVD/CVE</t>
    </r>
    <r>
      <rPr>
        <sz val="9"/>
        <rFont val="Noto Sans CJK SC"/>
        <family val="2"/>
      </rPr>
      <t xml:space="preserve">）の公開時に</t>
    </r>
    <r>
      <rPr>
        <sz val="9"/>
        <rFont val="Yu Gothic"/>
        <family val="0"/>
        <charset val="1"/>
      </rPr>
      <t xml:space="preserve">SBOM/AI-BOM</t>
    </r>
    <r>
      <rPr>
        <sz val="9"/>
        <rFont val="Noto Sans CJK SC"/>
        <family val="2"/>
      </rPr>
      <t xml:space="preserve">とリアルタイムまたは日次で自動マッチングし、脆弱コンポーネントを即座に特定していますか。</t>
    </r>
  </si>
  <si>
    <t xml:space="preserve">AIMF-DE-VUL-002</t>
  </si>
  <si>
    <t xml:space="preserve">悪性パッケージ・依存関係侵害の検知</t>
  </si>
  <si>
    <r>
      <rPr>
        <sz val="9"/>
        <rFont val="Noto Sans CJK SC"/>
        <family val="2"/>
      </rPr>
      <t xml:space="preserve">タイポスクワッティング・侵害された</t>
    </r>
    <r>
      <rPr>
        <sz val="9"/>
        <rFont val="Yu Gothic"/>
        <family val="0"/>
        <charset val="1"/>
      </rPr>
      <t xml:space="preserve">AI</t>
    </r>
    <r>
      <rPr>
        <sz val="9"/>
        <rFont val="Noto Sans CJK SC"/>
        <family val="2"/>
      </rPr>
      <t xml:space="preserve">ライブラリ・悪性モデルローダーを、取得時スキャンと挙動監視の両面で検知していますか。</t>
    </r>
  </si>
  <si>
    <t xml:space="preserve">AIMF-DE-VUL-003</t>
  </si>
  <si>
    <t xml:space="preserve">モデルレジストリ・リポジトリの改ざん検知</t>
  </si>
  <si>
    <t xml:space="preserve">レジストリ内モデルのハッシュ・署名を継続検証し、未承認の差替え・改ざんを即時検知していますか。</t>
  </si>
  <si>
    <t xml:space="preserve">AIMF-DE-IOM-001</t>
  </si>
  <si>
    <t xml:space="preserve">IOM</t>
  </si>
  <si>
    <t xml:space="preserve">セマンティック・アノマリー検知</t>
  </si>
  <si>
    <t xml:space="preserve">不自然な質問の繰り返しやシステムプロンプト構造を探るプローブ行為など、意味的異常を検知していますか。</t>
  </si>
  <si>
    <t xml:space="preserve">AIMF-DE-IOM-002</t>
  </si>
  <si>
    <r>
      <rPr>
        <sz val="9"/>
        <rFont val="Yu Gothic"/>
        <family val="0"/>
        <charset val="1"/>
      </rPr>
      <t xml:space="preserve">LLM</t>
    </r>
    <r>
      <rPr>
        <sz val="9"/>
        <rFont val="Noto Sans CJK SC"/>
        <family val="2"/>
      </rPr>
      <t xml:space="preserve">監査ログ（プロンプト・レスポンス）の一元記録</t>
    </r>
  </si>
  <si>
    <r>
      <rPr>
        <sz val="9"/>
        <rFont val="Noto Sans CJK SC"/>
        <family val="2"/>
      </rPr>
      <t xml:space="preserve">誰が・いつ・どのプロンプトを入力し・</t>
    </r>
    <r>
      <rPr>
        <sz val="9"/>
        <rFont val="Yu Gothic"/>
        <family val="0"/>
        <charset val="1"/>
      </rPr>
      <t xml:space="preserve">AI</t>
    </r>
    <r>
      <rPr>
        <sz val="9"/>
        <rFont val="Noto Sans CJK SC"/>
        <family val="2"/>
      </rPr>
      <t xml:space="preserve">がどう応答したかを改ざん不可能な形でフルログ記録していますか。</t>
    </r>
  </si>
  <si>
    <t xml:space="preserve">AIMF-DE-IOM-003</t>
  </si>
  <si>
    <t xml:space="preserve">ハルシネーション・信頼度の動的監視</t>
  </si>
  <si>
    <r>
      <rPr>
        <sz val="9"/>
        <rFont val="Noto Sans CJK SC"/>
        <family val="2"/>
      </rPr>
      <t xml:space="preserve">回答の信頼度スコアや</t>
    </r>
    <r>
      <rPr>
        <sz val="9"/>
        <rFont val="Yu Gothic"/>
        <family val="0"/>
        <charset val="1"/>
      </rPr>
      <t xml:space="preserve">RAG</t>
    </r>
    <r>
      <rPr>
        <sz val="9"/>
        <rFont val="Noto Sans CJK SC"/>
        <family val="2"/>
      </rPr>
      <t xml:space="preserve">参照ソースとの整合性をスコアリングし、一定基準超の出力を自動検知・ブロックしていますか。</t>
    </r>
  </si>
  <si>
    <t xml:space="preserve">AIMF-DE-IOM-004</t>
  </si>
  <si>
    <t xml:space="preserve">プロンプトインジェクション検知ルールの管理</t>
  </si>
  <si>
    <t xml:space="preserve">直接・間接プロンプトインジェクションの検知シグネチャ・分類器を管理し、新手法の公開に追随して更新していますか。</t>
  </si>
  <si>
    <t xml:space="preserve">AIMF-DE-IOM-005</t>
  </si>
  <si>
    <t xml:space="preserve">脱獄・ポリシー回避試行のスコアリング検知</t>
  </si>
  <si>
    <r>
      <rPr>
        <sz val="9"/>
        <rFont val="Noto Sans CJK SC"/>
        <family val="2"/>
      </rPr>
      <t xml:space="preserve">脱獄・安全策回避の試行をセッション横断でスコアリングし、閾値超過ユーザー・</t>
    </r>
    <r>
      <rPr>
        <sz val="9"/>
        <rFont val="Yu Gothic"/>
        <family val="0"/>
        <charset val="1"/>
      </rPr>
      <t xml:space="preserve">API</t>
    </r>
    <r>
      <rPr>
        <sz val="9"/>
        <rFont val="Noto Sans CJK SC"/>
        <family val="2"/>
      </rPr>
      <t xml:space="preserve">キーを段階的に制限していますか。</t>
    </r>
  </si>
  <si>
    <t xml:space="preserve">AIMF-DE-IOM-006</t>
  </si>
  <si>
    <r>
      <rPr>
        <sz val="9"/>
        <rFont val="Noto Sans CJK SC"/>
        <family val="2"/>
      </rPr>
      <t xml:space="preserve">出力への</t>
    </r>
    <r>
      <rPr>
        <sz val="9"/>
        <rFont val="Yu Gothic"/>
        <family val="0"/>
        <charset val="1"/>
      </rPr>
      <t xml:space="preserve">PII</t>
    </r>
    <r>
      <rPr>
        <sz val="9"/>
        <rFont val="Noto Sans CJK SC"/>
        <family val="2"/>
      </rPr>
      <t xml:space="preserve">・機微情報混入検知</t>
    </r>
  </si>
  <si>
    <r>
      <rPr>
        <sz val="9"/>
        <rFont val="Noto Sans CJK SC"/>
        <family val="2"/>
      </rPr>
      <t xml:space="preserve">出力ストリームを</t>
    </r>
    <r>
      <rPr>
        <sz val="9"/>
        <rFont val="Yu Gothic"/>
        <family val="0"/>
        <charset val="1"/>
      </rPr>
      <t xml:space="preserve">PII</t>
    </r>
    <r>
      <rPr>
        <sz val="9"/>
        <rFont val="Noto Sans CJK SC"/>
        <family val="2"/>
      </rPr>
      <t xml:space="preserve">・秘密情報・認証情報の観点で走査し、機微情報漏えい（</t>
    </r>
    <r>
      <rPr>
        <sz val="9"/>
        <rFont val="Yu Gothic"/>
        <family val="0"/>
        <charset val="1"/>
      </rPr>
      <t xml:space="preserve">Sensitive Information Disclosure</t>
    </r>
    <r>
      <rPr>
        <sz val="9"/>
        <rFont val="Noto Sans CJK SC"/>
        <family val="2"/>
      </rPr>
      <t xml:space="preserve">）を遮断・記録していますか。</t>
    </r>
  </si>
  <si>
    <t xml:space="preserve">AIMF-DE-IOM-007</t>
  </si>
  <si>
    <t xml:space="preserve">システムプロンプト漏えい・プローブの検知</t>
  </si>
  <si>
    <t xml:space="preserve">システムプロンプトの窃取を狙うプローブと、出力へのプロンプト断片の混入を検知し、漏えい時は当該プロンプトを失効・更新していますか。</t>
  </si>
  <si>
    <t xml:space="preserve">AIMF-DE-IOM-008</t>
  </si>
  <si>
    <r>
      <rPr>
        <sz val="9"/>
        <rFont val="Noto Sans CJK SC"/>
        <family val="2"/>
      </rPr>
      <t xml:space="preserve">利用者行動分析（</t>
    </r>
    <r>
      <rPr>
        <sz val="9"/>
        <rFont val="Yu Gothic"/>
        <family val="0"/>
        <charset val="1"/>
      </rPr>
      <t xml:space="preserve">UEBA</t>
    </r>
    <r>
      <rPr>
        <sz val="9"/>
        <rFont val="Noto Sans CJK SC"/>
        <family val="2"/>
      </rPr>
      <t xml:space="preserve">）による</t>
    </r>
    <r>
      <rPr>
        <sz val="9"/>
        <rFont val="Yu Gothic"/>
        <family val="0"/>
        <charset val="1"/>
      </rPr>
      <t xml:space="preserve">AI</t>
    </r>
    <r>
      <rPr>
        <sz val="9"/>
        <rFont val="Noto Sans CJK SC"/>
        <family val="2"/>
      </rPr>
      <t xml:space="preserve">悪用検知</t>
    </r>
  </si>
  <si>
    <r>
      <rPr>
        <sz val="9"/>
        <rFont val="Noto Sans CJK SC"/>
        <family val="2"/>
      </rPr>
      <t xml:space="preserve">利用者・</t>
    </r>
    <r>
      <rPr>
        <sz val="9"/>
        <rFont val="Yu Gothic"/>
        <family val="0"/>
        <charset val="1"/>
      </rPr>
      <t xml:space="preserve">API</t>
    </r>
    <r>
      <rPr>
        <sz val="9"/>
        <rFont val="Noto Sans CJK SC"/>
        <family val="2"/>
      </rPr>
      <t xml:space="preserve">キー単位の利用パターンをベースライン化し、データ収集型の悪用・内部不正の兆候を検知していますか。</t>
    </r>
  </si>
  <si>
    <t xml:space="preserve">AIMF-DE-AGT-001</t>
  </si>
  <si>
    <t xml:space="preserve">エージェント状態遷移・思考プロセスの可視化監視</t>
  </si>
  <si>
    <t xml:space="preserve">エージェントの推論・ツール選択・実行のサイクルをリアルタイム監視し、異常な意思決定ルートを検知していますか。</t>
  </si>
  <si>
    <t xml:space="preserve">AIMF-DE-AGT-002</t>
  </si>
  <si>
    <t xml:space="preserve">エージェント間通信の相互セキュリティスキャン</t>
  </si>
  <si>
    <t xml:space="preserve">エージェント同士の内部メッセージ通信を監視し、乗っ取られたエージェントによる不正命令の伝播をスキャンしていますか。</t>
  </si>
  <si>
    <t xml:space="preserve">AIMF-DE-AGT-003</t>
  </si>
  <si>
    <t xml:space="preserve">ツール呼出の異常検知</t>
  </si>
  <si>
    <t xml:space="preserve">ツール呼出の頻度・順序・パラメータをベースライン化し、パラメータ汚染・想定外のツール連鎖・大量実行を検知していますか。</t>
  </si>
  <si>
    <t xml:space="preserve">AIMF-DE-AGT-004</t>
  </si>
  <si>
    <t xml:space="preserve">目標逸脱（ゴールドリフト）の検知</t>
  </si>
  <si>
    <t xml:space="preserve">エージェントの行動系列を承認済み目標・計画と突合し、目標改変・逸脱の兆候をリアルタイムに検知していますか。</t>
  </si>
  <si>
    <t xml:space="preserve">AIMF-DE-AGT-005</t>
  </si>
  <si>
    <t xml:space="preserve">暴走・連鎖障害の予兆検知</t>
  </si>
  <si>
    <t xml:space="preserve">無限ループ・再帰的自己呼出・障害の連鎖伝播をリソース消費と呼出グラフから予兆検知し、自動ブレーキと連動させていますか。</t>
  </si>
  <si>
    <t xml:space="preserve">AIMF-DE-AGT-006</t>
  </si>
  <si>
    <t xml:space="preserve">エージェントメモリ・コンテキスト改ざんの検知</t>
  </si>
  <si>
    <t xml:space="preserve">長期記憶・セッションコンテキストへの書込みを検証・監査し、記憶経由の汚染・操作を検知して検疫していますか。</t>
  </si>
  <si>
    <t xml:space="preserve">AIMF-DE-AGT-007</t>
  </si>
  <si>
    <t xml:space="preserve">ローグエージェント（逸脱挙動）の検知</t>
  </si>
  <si>
    <t xml:space="preserve">エージェントごとの正常挙動ベースラインからの持続的逸脱・ミスアライン挙動を検知し、隔離判断につなげていますか。</t>
  </si>
  <si>
    <t xml:space="preserve">AIMF-DE-HLT-001</t>
  </si>
  <si>
    <t xml:space="preserve">HLT</t>
  </si>
  <si>
    <r>
      <rPr>
        <sz val="9"/>
        <rFont val="Yu Gothic"/>
        <family val="0"/>
        <charset val="1"/>
      </rPr>
      <t xml:space="preserve">AI</t>
    </r>
    <r>
      <rPr>
        <sz val="9"/>
        <rFont val="Noto Sans CJK SC"/>
        <family val="2"/>
      </rPr>
      <t xml:space="preserve">インフラ構成監査とリソース監視（</t>
    </r>
    <r>
      <rPr>
        <sz val="9"/>
        <rFont val="Yu Gothic"/>
        <family val="0"/>
        <charset val="1"/>
      </rPr>
      <t xml:space="preserve">DoS</t>
    </r>
    <r>
      <rPr>
        <sz val="9"/>
        <rFont val="Noto Sans CJK SC"/>
        <family val="2"/>
      </rPr>
      <t xml:space="preserve">検知）</t>
    </r>
  </si>
  <si>
    <r>
      <rPr>
        <sz val="9"/>
        <rFont val="Yu Gothic"/>
        <family val="0"/>
        <charset val="1"/>
      </rPr>
      <t xml:space="preserve">LLM-DoS</t>
    </r>
    <r>
      <rPr>
        <sz val="9"/>
        <rFont val="Noto Sans CJK SC"/>
        <family val="2"/>
      </rPr>
      <t xml:space="preserve">やエージェント無限ループを検知するため</t>
    </r>
    <r>
      <rPr>
        <sz val="9"/>
        <rFont val="Yu Gothic"/>
        <family val="0"/>
        <charset val="1"/>
      </rPr>
      <t xml:space="preserve">GPU</t>
    </r>
    <r>
      <rPr>
        <sz val="9"/>
        <rFont val="Noto Sans CJK SC"/>
        <family val="2"/>
      </rPr>
      <t xml:space="preserve">・メモリ・トークン消費を常時監視し、コンテナ改ざん・</t>
    </r>
    <r>
      <rPr>
        <sz val="9"/>
        <rFont val="Yu Gothic"/>
        <family val="0"/>
        <charset val="1"/>
      </rPr>
      <t xml:space="preserve">K8s</t>
    </r>
    <r>
      <rPr>
        <sz val="9"/>
        <rFont val="Noto Sans CJK SC"/>
        <family val="2"/>
      </rPr>
      <t xml:space="preserve">不審設定変更を</t>
    </r>
    <r>
      <rPr>
        <sz val="9"/>
        <rFont val="Yu Gothic"/>
        <family val="0"/>
        <charset val="1"/>
      </rPr>
      <t xml:space="preserve">Runtime Security</t>
    </r>
    <r>
      <rPr>
        <sz val="9"/>
        <rFont val="Noto Sans CJK SC"/>
        <family val="2"/>
      </rPr>
      <t xml:space="preserve">で監視していますか。</t>
    </r>
  </si>
  <si>
    <t xml:space="preserve">AIMF-DE-HLT-002</t>
  </si>
  <si>
    <t xml:space="preserve">データポイズニング・ドリフトの監視</t>
  </si>
  <si>
    <r>
      <rPr>
        <sz val="9"/>
        <rFont val="Yu Gothic"/>
        <family val="0"/>
        <charset val="1"/>
      </rPr>
      <t xml:space="preserve">RAG</t>
    </r>
    <r>
      <rPr>
        <sz val="9"/>
        <rFont val="Noto Sans CJK SC"/>
        <family val="2"/>
      </rPr>
      <t xml:space="preserve">データストアの不正プロンプト・</t>
    </r>
    <r>
      <rPr>
        <sz val="9"/>
        <rFont val="Yu Gothic"/>
        <family val="0"/>
        <charset val="1"/>
      </rPr>
      <t xml:space="preserve">PII</t>
    </r>
    <r>
      <rPr>
        <sz val="9"/>
        <rFont val="Noto Sans CJK SC"/>
        <family val="2"/>
      </rPr>
      <t xml:space="preserve">を検知し、プロンプト傾向やデータ性質の経時変化（ドリフト）を監視して防御フィルターの機能不全を防いでいますか。</t>
    </r>
  </si>
  <si>
    <t xml:space="preserve">generative-ai,traditional-ai</t>
  </si>
  <si>
    <t xml:space="preserve">AIMF-DE-HLT-003</t>
  </si>
  <si>
    <t xml:space="preserve">モデル性能・品質劣化の継続監視</t>
  </si>
  <si>
    <t xml:space="preserve">本番モデルの精度・品質指標を継続測定し、劣化の検知を市販後モニタリング計画・再学習判断に連動させていますか。</t>
  </si>
  <si>
    <t xml:space="preserve">AIMF-DE-HLT-004</t>
  </si>
  <si>
    <r>
      <rPr>
        <sz val="9"/>
        <rFont val="Noto Sans CJK SC"/>
        <family val="2"/>
      </rPr>
      <t xml:space="preserve">埋め込み空間・ベクトル</t>
    </r>
    <r>
      <rPr>
        <sz val="9"/>
        <rFont val="Yu Gothic"/>
        <family val="0"/>
        <charset val="1"/>
      </rPr>
      <t xml:space="preserve">DB</t>
    </r>
    <r>
      <rPr>
        <sz val="9"/>
        <rFont val="Noto Sans CJK SC"/>
        <family val="2"/>
      </rPr>
      <t xml:space="preserve">の異常検知</t>
    </r>
  </si>
  <si>
    <r>
      <rPr>
        <sz val="9"/>
        <rFont val="Noto Sans CJK SC"/>
        <family val="2"/>
      </rPr>
      <t xml:space="preserve">埋め込み分布の急変・異常クラスタ・不審な近傍構造を監視し、ベクトル</t>
    </r>
    <r>
      <rPr>
        <sz val="9"/>
        <rFont val="Yu Gothic"/>
        <family val="0"/>
        <charset val="1"/>
      </rPr>
      <t xml:space="preserve">DB</t>
    </r>
    <r>
      <rPr>
        <sz val="9"/>
        <rFont val="Noto Sans CJK SC"/>
        <family val="2"/>
      </rPr>
      <t xml:space="preserve">汚染・埋め込み反転の兆候を検知していますか。</t>
    </r>
  </si>
  <si>
    <t xml:space="preserve">AIMF-DE-HLT-005</t>
  </si>
  <si>
    <r>
      <rPr>
        <sz val="9"/>
        <rFont val="Yu Gothic"/>
        <family val="0"/>
        <charset val="1"/>
      </rPr>
      <t xml:space="preserve">GPU</t>
    </r>
    <r>
      <rPr>
        <sz val="9"/>
        <rFont val="Noto Sans CJK SC"/>
        <family val="2"/>
      </rPr>
      <t xml:space="preserve">リソースの不正利用検知</t>
    </r>
  </si>
  <si>
    <r>
      <rPr>
        <sz val="9"/>
        <rFont val="Yu Gothic"/>
        <family val="0"/>
        <charset val="1"/>
      </rPr>
      <t xml:space="preserve">GPU</t>
    </r>
    <r>
      <rPr>
        <sz val="9"/>
        <rFont val="Noto Sans CJK SC"/>
        <family val="2"/>
      </rPr>
      <t xml:space="preserve">使用率・ジョブ内容を監視し、クリプトマイニング・未承認の学習ジョブ等の不正利用を検知していますか。</t>
    </r>
  </si>
  <si>
    <t xml:space="preserve">AIMF-DE-HLT-006</t>
  </si>
  <si>
    <r>
      <rPr>
        <sz val="9"/>
        <rFont val="Yu Gothic"/>
        <family val="0"/>
        <charset val="1"/>
      </rPr>
      <t xml:space="preserve">AI</t>
    </r>
    <r>
      <rPr>
        <sz val="9"/>
        <rFont val="Noto Sans CJK SC"/>
        <family val="2"/>
      </rPr>
      <t xml:space="preserve">利用コスト・トークン消費の異常監視</t>
    </r>
  </si>
  <si>
    <r>
      <rPr>
        <sz val="9"/>
        <rFont val="Noto Sans CJK SC"/>
        <family val="2"/>
      </rPr>
      <t xml:space="preserve">テナント・ユースケース単位のコスト</t>
    </r>
    <r>
      <rPr>
        <sz val="9"/>
        <rFont val="Yu Gothic"/>
        <family val="0"/>
        <charset val="1"/>
      </rPr>
      <t xml:space="preserve">/</t>
    </r>
    <r>
      <rPr>
        <sz val="9"/>
        <rFont val="Noto Sans CJK SC"/>
        <family val="2"/>
      </rPr>
      <t xml:space="preserve">トークン消費を監視し、経済的</t>
    </r>
    <r>
      <rPr>
        <sz val="9"/>
        <rFont val="Yu Gothic"/>
        <family val="0"/>
        <charset val="1"/>
      </rPr>
      <t xml:space="preserve">DoS</t>
    </r>
    <r>
      <rPr>
        <sz val="9"/>
        <rFont val="Noto Sans CJK SC"/>
        <family val="2"/>
      </rPr>
      <t xml:space="preserve">・暴走・悪用による異常増加を早期検知していますか。</t>
    </r>
  </si>
  <si>
    <t xml:space="preserve">AIMF-DE-SOC-001</t>
  </si>
  <si>
    <t xml:space="preserve">SOC</t>
  </si>
  <si>
    <r>
      <rPr>
        <sz val="9"/>
        <rFont val="Yu Gothic"/>
        <family val="0"/>
        <charset val="1"/>
      </rPr>
      <t xml:space="preserve">AI</t>
    </r>
    <r>
      <rPr>
        <sz val="9"/>
        <rFont val="Noto Sans CJK SC"/>
        <family val="2"/>
      </rPr>
      <t xml:space="preserve">テレメトリの</t>
    </r>
    <r>
      <rPr>
        <sz val="9"/>
        <rFont val="Yu Gothic"/>
        <family val="0"/>
        <charset val="1"/>
      </rPr>
      <t xml:space="preserve">SIEM</t>
    </r>
    <r>
      <rPr>
        <sz val="9"/>
        <rFont val="Noto Sans CJK SC"/>
        <family val="2"/>
      </rPr>
      <t xml:space="preserve">統合と相関分析</t>
    </r>
  </si>
  <si>
    <r>
      <rPr>
        <sz val="9"/>
        <rFont val="Noto Sans CJK SC"/>
        <family val="2"/>
      </rPr>
      <t xml:space="preserve">モデル・ガードレール・エージェント・インフラのテレメトリを</t>
    </r>
    <r>
      <rPr>
        <sz val="9"/>
        <rFont val="Yu Gothic"/>
        <family val="0"/>
        <charset val="1"/>
      </rPr>
      <t xml:space="preserve">SIEM</t>
    </r>
    <r>
      <rPr>
        <sz val="9"/>
        <rFont val="Noto Sans CJK SC"/>
        <family val="2"/>
      </rPr>
      <t xml:space="preserve">へ統合し、既存セキュリティイベントと相関分析していますか。</t>
    </r>
  </si>
  <si>
    <t xml:space="preserve">AIMF-DE-SOC-002</t>
  </si>
  <si>
    <r>
      <rPr>
        <sz val="9"/>
        <rFont val="Yu Gothic"/>
        <family val="0"/>
        <charset val="1"/>
      </rPr>
      <t xml:space="preserve">ATLAS</t>
    </r>
    <r>
      <rPr>
        <sz val="9"/>
        <rFont val="Noto Sans CJK SC"/>
        <family val="2"/>
      </rPr>
      <t xml:space="preserve">対応の検知ルールカバレッジ管理</t>
    </r>
  </si>
  <si>
    <r>
      <rPr>
        <sz val="9"/>
        <rFont val="Noto Sans CJK SC"/>
        <family val="2"/>
      </rPr>
      <t xml:space="preserve">検知ルールを</t>
    </r>
    <r>
      <rPr>
        <sz val="9"/>
        <rFont val="Yu Gothic"/>
        <family val="0"/>
        <charset val="1"/>
      </rPr>
      <t xml:space="preserve">ATLAS</t>
    </r>
    <r>
      <rPr>
        <sz val="9"/>
        <rFont val="Noto Sans CJK SC"/>
        <family val="2"/>
      </rPr>
      <t xml:space="preserve">の技術（テクニック）にマッピングし、カバレッジの穴を可視化して優先的に解消していますか。</t>
    </r>
  </si>
  <si>
    <t xml:space="preserve">AIMF-DE-SOC-003</t>
  </si>
  <si>
    <r>
      <rPr>
        <sz val="9"/>
        <rFont val="Yu Gothic"/>
        <family val="0"/>
        <charset val="1"/>
      </rPr>
      <t xml:space="preserve">AI</t>
    </r>
    <r>
      <rPr>
        <sz val="9"/>
        <rFont val="Noto Sans CJK SC"/>
        <family val="2"/>
      </rPr>
      <t xml:space="preserve">アラートのトリアージ基準</t>
    </r>
  </si>
  <si>
    <r>
      <rPr>
        <sz val="9"/>
        <rFont val="Yu Gothic"/>
        <family val="0"/>
        <charset val="1"/>
      </rPr>
      <t xml:space="preserve">AI</t>
    </r>
    <r>
      <rPr>
        <sz val="9"/>
        <rFont val="Noto Sans CJK SC"/>
        <family val="2"/>
      </rPr>
      <t xml:space="preserve">固有アラート（インジェクション検知・逸脱検知等）の重大度判定・初動基準を定義し、</t>
    </r>
    <r>
      <rPr>
        <sz val="9"/>
        <rFont val="Yu Gothic"/>
        <family val="0"/>
        <charset val="1"/>
      </rPr>
      <t xml:space="preserve">SOC</t>
    </r>
    <r>
      <rPr>
        <sz val="9"/>
        <rFont val="Noto Sans CJK SC"/>
        <family val="2"/>
      </rPr>
      <t xml:space="preserve">運用手順へ統合していますか。</t>
    </r>
  </si>
  <si>
    <t xml:space="preserve">AIMF-DE-SOC-004</t>
  </si>
  <si>
    <r>
      <rPr>
        <sz val="9"/>
        <rFont val="Yu Gothic"/>
        <family val="0"/>
        <charset val="1"/>
      </rPr>
      <t xml:space="preserve">AI</t>
    </r>
    <r>
      <rPr>
        <sz val="9"/>
        <rFont val="Noto Sans CJK SC"/>
        <family val="2"/>
      </rPr>
      <t xml:space="preserve">環境の脅威ハンティング</t>
    </r>
  </si>
  <si>
    <r>
      <rPr>
        <sz val="9"/>
        <rFont val="Yu Gothic"/>
        <family val="0"/>
        <charset val="1"/>
      </rPr>
      <t xml:space="preserve">ATLAS</t>
    </r>
    <r>
      <rPr>
        <sz val="9"/>
        <rFont val="Noto Sans CJK SC"/>
        <family val="2"/>
      </rPr>
      <t xml:space="preserve">の</t>
    </r>
    <r>
      <rPr>
        <sz val="9"/>
        <rFont val="Yu Gothic"/>
        <family val="0"/>
        <charset val="1"/>
      </rPr>
      <t xml:space="preserve">TTP</t>
    </r>
    <r>
      <rPr>
        <sz val="9"/>
        <rFont val="Noto Sans CJK SC"/>
        <family val="2"/>
      </rPr>
      <t xml:space="preserve">と自組織の脅威シナリオに基づき、</t>
    </r>
    <r>
      <rPr>
        <sz val="9"/>
        <rFont val="Yu Gothic"/>
        <family val="0"/>
        <charset val="1"/>
      </rPr>
      <t xml:space="preserve">AI</t>
    </r>
    <r>
      <rPr>
        <sz val="9"/>
        <rFont val="Noto Sans CJK SC"/>
        <family val="2"/>
      </rPr>
      <t xml:space="preserve">環境を対象とした仮説駆動の脅威ハンティングを定期実施していますか。</t>
    </r>
  </si>
  <si>
    <t xml:space="preserve">AIMF-DE-SOC-005</t>
  </si>
  <si>
    <t xml:space="preserve">検知有効性の定期テスト</t>
  </si>
  <si>
    <t xml:space="preserve">レッドチーム演習・攻撃シミュレーションと連動して検知ルールの発報有効性を検証し、検知漏れを改善サイクルに乗せていますか。</t>
  </si>
  <si>
    <t xml:space="preserve">AIMF-DE-LOG-001</t>
  </si>
  <si>
    <t xml:space="preserve">LOG</t>
  </si>
  <si>
    <r>
      <rPr>
        <sz val="9"/>
        <rFont val="Yu Gothic"/>
        <family val="0"/>
        <charset val="1"/>
      </rPr>
      <t xml:space="preserve">AI</t>
    </r>
    <r>
      <rPr>
        <sz val="9"/>
        <rFont val="Noto Sans CJK SC"/>
        <family val="2"/>
      </rPr>
      <t xml:space="preserve">コンポーネント横断のログ標準化</t>
    </r>
  </si>
  <si>
    <r>
      <rPr>
        <sz val="9"/>
        <rFont val="Noto Sans CJK SC"/>
        <family val="2"/>
      </rPr>
      <t xml:space="preserve">モデル・オーケストレーター・ツール・ガードレールのログ形式と相関</t>
    </r>
    <r>
      <rPr>
        <sz val="9"/>
        <rFont val="Yu Gothic"/>
        <family val="0"/>
        <charset val="1"/>
      </rPr>
      <t xml:space="preserve">ID</t>
    </r>
    <r>
      <rPr>
        <sz val="9"/>
        <rFont val="Noto Sans CJK SC"/>
        <family val="2"/>
      </rPr>
      <t xml:space="preserve">を標準化し、一連の処理を横断追跡可能にしていますか。</t>
    </r>
  </si>
  <si>
    <t xml:space="preserve">AIMF-DE-LOG-002</t>
  </si>
  <si>
    <t xml:space="preserve">ログの完全性保護</t>
  </si>
  <si>
    <r>
      <rPr>
        <sz val="9"/>
        <rFont val="Yu Gothic"/>
        <family val="0"/>
        <charset val="1"/>
      </rPr>
      <t xml:space="preserve">AI</t>
    </r>
    <r>
      <rPr>
        <sz val="9"/>
        <rFont val="Noto Sans CJK SC"/>
        <family val="2"/>
      </rPr>
      <t xml:space="preserve">監査ログに</t>
    </r>
    <r>
      <rPr>
        <sz val="9"/>
        <rFont val="Yu Gothic"/>
        <family val="0"/>
        <charset val="1"/>
      </rPr>
      <t xml:space="preserve">WORM</t>
    </r>
    <r>
      <rPr>
        <sz val="9"/>
        <rFont val="Noto Sans CJK SC"/>
        <family val="2"/>
      </rPr>
      <t xml:space="preserve">保管・署名・改ざん検知を適用し、説明責任・法的証拠としての証跡価値を確保していますか。</t>
    </r>
  </si>
  <si>
    <t xml:space="preserve">AIMF-DE-LOG-003</t>
  </si>
  <si>
    <t xml:space="preserve">ログ保持とプライバシーの両立</t>
  </si>
  <si>
    <t xml:space="preserve">プロンプトログ等に含まれる個人情報の保持期間・アクセス制限・マスキング方針を定め、監査要件とプライバシーを両立していますか。</t>
  </si>
  <si>
    <t xml:space="preserve">AIMF-RS-IRP-001</t>
  </si>
  <si>
    <t xml:space="preserve">RS</t>
  </si>
  <si>
    <t xml:space="preserve">IRP</t>
  </si>
  <si>
    <r>
      <rPr>
        <sz val="9"/>
        <rFont val="Yu Gothic"/>
        <family val="0"/>
        <charset val="1"/>
      </rPr>
      <t xml:space="preserve">CSIRT</t>
    </r>
    <r>
      <rPr>
        <sz val="9"/>
        <rFont val="Noto Sans CJK SC"/>
        <family val="2"/>
      </rPr>
      <t xml:space="preserve">の</t>
    </r>
    <r>
      <rPr>
        <sz val="9"/>
        <rFont val="Yu Gothic"/>
        <family val="0"/>
        <charset val="1"/>
      </rPr>
      <t xml:space="preserve">AI</t>
    </r>
    <r>
      <rPr>
        <sz val="9"/>
        <rFont val="Noto Sans CJK SC"/>
        <family val="2"/>
      </rPr>
      <t xml:space="preserve">拡張とプレイブック整備</t>
    </r>
  </si>
  <si>
    <r>
      <rPr>
        <sz val="9"/>
        <rFont val="Yu Gothic"/>
        <family val="0"/>
        <charset val="1"/>
      </rPr>
      <t xml:space="preserve">AI</t>
    </r>
    <r>
      <rPr>
        <sz val="9"/>
        <rFont val="Noto Sans CJK SC"/>
        <family val="2"/>
      </rPr>
      <t xml:space="preserve">特有のインシデントとサプライチェーン上の重大脆弱性をインシデント定義に追加し、対応手順書を整備していますか。</t>
    </r>
  </si>
  <si>
    <t xml:space="preserve">AIMF-RS-IRP-002</t>
  </si>
  <si>
    <r>
      <rPr>
        <sz val="9"/>
        <rFont val="Noto Sans CJK SC"/>
        <family val="2"/>
      </rPr>
      <t xml:space="preserve">セキュリティ運用の自動化（</t>
    </r>
    <r>
      <rPr>
        <sz val="9"/>
        <rFont val="Yu Gothic"/>
        <family val="0"/>
        <charset val="1"/>
      </rPr>
      <t xml:space="preserve">SOAR</t>
    </r>
    <r>
      <rPr>
        <sz val="9"/>
        <rFont val="Noto Sans CJK SC"/>
        <family val="2"/>
      </rPr>
      <t xml:space="preserve">）</t>
    </r>
  </si>
  <si>
    <r>
      <rPr>
        <sz val="9"/>
        <rFont val="Yu Gothic"/>
        <family val="0"/>
        <charset val="1"/>
      </rPr>
      <t xml:space="preserve">AI</t>
    </r>
    <r>
      <rPr>
        <sz val="9"/>
        <rFont val="Noto Sans CJK SC"/>
        <family val="2"/>
      </rPr>
      <t xml:space="preserve">による超高速攻撃に対抗し、検知から一次対応（アカウントロック・通信遮断・コンテナ強制終了）を秒単位で自動実行していますか。</t>
    </r>
  </si>
  <si>
    <t xml:space="preserve">AIMF-RS-IRP-003</t>
  </si>
  <si>
    <t xml:space="preserve">動的レートリミットと攻撃主体の自動隔離</t>
  </si>
  <si>
    <r>
      <rPr>
        <sz val="9"/>
        <rFont val="Noto Sans CJK SC"/>
        <family val="2"/>
      </rPr>
      <t xml:space="preserve">攻撃的プロンプトや過負荷行為が連続検知された場合、該当</t>
    </r>
    <r>
      <rPr>
        <sz val="9"/>
        <rFont val="Yu Gothic"/>
        <family val="0"/>
        <charset val="1"/>
      </rPr>
      <t xml:space="preserve">API</t>
    </r>
    <r>
      <rPr>
        <sz val="9"/>
        <rFont val="Noto Sans CJK SC"/>
        <family val="2"/>
      </rPr>
      <t xml:space="preserve">キー・コンテナをシステムが自動で一時凍結・隔離していますか。</t>
    </r>
  </si>
  <si>
    <t xml:space="preserve">AIMF-RS-IRP-004</t>
  </si>
  <si>
    <r>
      <rPr>
        <sz val="9"/>
        <rFont val="Yu Gothic"/>
        <family val="0"/>
        <charset val="1"/>
      </rPr>
      <t xml:space="preserve">AI</t>
    </r>
    <r>
      <rPr>
        <sz val="9"/>
        <rFont val="Noto Sans CJK SC"/>
        <family val="2"/>
      </rPr>
      <t xml:space="preserve">固有インシデントの分類・重大度基準</t>
    </r>
  </si>
  <si>
    <r>
      <rPr>
        <sz val="9"/>
        <rFont val="Noto Sans CJK SC"/>
        <family val="2"/>
      </rPr>
      <t xml:space="preserve">ポイズニング・インジェクション・モデル侵害・エージェント暴走等の</t>
    </r>
    <r>
      <rPr>
        <sz val="9"/>
        <rFont val="Yu Gothic"/>
        <family val="0"/>
        <charset val="1"/>
      </rPr>
      <t xml:space="preserve">AI</t>
    </r>
    <r>
      <rPr>
        <sz val="9"/>
        <rFont val="Noto Sans CJK SC"/>
        <family val="2"/>
      </rPr>
      <t xml:space="preserve">固有インシデント類型と重大度基準（法定報告該当性を含む）を定義していますか。</t>
    </r>
  </si>
  <si>
    <t xml:space="preserve">AIMF-RS-IRP-005</t>
  </si>
  <si>
    <r>
      <rPr>
        <sz val="9"/>
        <rFont val="Yu Gothic"/>
        <family val="0"/>
        <charset val="1"/>
      </rPr>
      <t xml:space="preserve">AI</t>
    </r>
    <r>
      <rPr>
        <sz val="9"/>
        <rFont val="Noto Sans CJK SC"/>
        <family val="2"/>
      </rPr>
      <t xml:space="preserve">インシデント対応プレイブック群</t>
    </r>
  </si>
  <si>
    <t xml:space="preserve">プロンプトインジェクション・データポイズニング・モデル侵害・機微情報漏えい・エージェント暴走の類型別プレイブックを整備していますか。</t>
  </si>
  <si>
    <t xml:space="preserve">AIMF-RS-IRP-006</t>
  </si>
  <si>
    <r>
      <rPr>
        <sz val="9"/>
        <rFont val="Yu Gothic"/>
        <family val="0"/>
        <charset val="1"/>
      </rPr>
      <t xml:space="preserve">AI</t>
    </r>
    <r>
      <rPr>
        <sz val="9"/>
        <rFont val="Noto Sans CJK SC"/>
        <family val="2"/>
      </rPr>
      <t xml:space="preserve">シナリオの机上演習・実地訓練</t>
    </r>
  </si>
  <si>
    <r>
      <rPr>
        <sz val="9"/>
        <rFont val="Yu Gothic"/>
        <family val="0"/>
        <charset val="1"/>
      </rPr>
      <t xml:space="preserve">AI</t>
    </r>
    <r>
      <rPr>
        <sz val="9"/>
        <rFont val="Noto Sans CJK SC"/>
        <family val="2"/>
      </rPr>
      <t xml:space="preserve">固有シナリオの机上演習・実地訓練を年次以上で実施し、プレイブック・権限・連絡系統の実効性を検証していますか。</t>
    </r>
  </si>
  <si>
    <t xml:space="preserve">AIMF-RS-IRP-007</t>
  </si>
  <si>
    <t xml:space="preserve">プロバイダーとのインシデント連携体制</t>
  </si>
  <si>
    <r>
      <rPr>
        <sz val="9"/>
        <rFont val="Noto Sans CJK SC"/>
        <family val="2"/>
      </rPr>
      <t xml:space="preserve">モデル・クラウドプロバイダーとの間でインシデント時の連絡窓口・情報提供範囲・</t>
    </r>
    <r>
      <rPr>
        <sz val="9"/>
        <rFont val="Yu Gothic"/>
        <family val="0"/>
        <charset val="1"/>
      </rPr>
      <t xml:space="preserve">SLA</t>
    </r>
    <r>
      <rPr>
        <sz val="9"/>
        <rFont val="Noto Sans CJK SC"/>
        <family val="2"/>
      </rPr>
      <t xml:space="preserve">を事前合意していますか。</t>
    </r>
  </si>
  <si>
    <t xml:space="preserve">AIMF-RS-IRP-008</t>
  </si>
  <si>
    <t xml:space="preserve">インシデント時のサービス停止判断権限</t>
  </si>
  <si>
    <r>
      <rPr>
        <sz val="9"/>
        <rFont val="Yu Gothic"/>
        <family val="0"/>
        <charset val="1"/>
      </rPr>
      <t xml:space="preserve">AI</t>
    </r>
    <r>
      <rPr>
        <sz val="9"/>
        <rFont val="Noto Sans CJK SC"/>
        <family val="2"/>
      </rPr>
      <t xml:space="preserve">サービスの緊急停止・縮退の判断権限と発動基準を事前定義し、事業影響との比較考量を迅速化していますか。</t>
    </r>
  </si>
  <si>
    <t xml:space="preserve">AIMF-RS-CON-001</t>
  </si>
  <si>
    <t xml:space="preserve">CON</t>
  </si>
  <si>
    <r>
      <rPr>
        <sz val="9"/>
        <rFont val="Yu Gothic"/>
        <family val="0"/>
        <charset val="1"/>
      </rPr>
      <t xml:space="preserve">AI</t>
    </r>
    <r>
      <rPr>
        <sz val="9"/>
        <rFont val="Noto Sans CJK SC"/>
        <family val="2"/>
      </rPr>
      <t xml:space="preserve">エージェントのキルスイッチ実装</t>
    </r>
  </si>
  <si>
    <r>
      <rPr>
        <sz val="9"/>
        <rFont val="Noto Sans CJK SC"/>
        <family val="2"/>
      </rPr>
      <t xml:space="preserve">暴走・攻撃検知時に該当エージェントのプロセス停止・</t>
    </r>
    <r>
      <rPr>
        <sz val="9"/>
        <rFont val="Yu Gothic"/>
        <family val="0"/>
        <charset val="1"/>
      </rPr>
      <t xml:space="preserve">API</t>
    </r>
    <r>
      <rPr>
        <sz val="9"/>
        <rFont val="Noto Sans CJK SC"/>
        <family val="2"/>
      </rPr>
      <t xml:space="preserve">キー無効化を即時実行し、自律ワークフローを強制停止していますか。</t>
    </r>
  </si>
  <si>
    <t xml:space="preserve">AIMF-RS-CON-002</t>
  </si>
  <si>
    <t xml:space="preserve">インフラ通信・データアクセスの即時遮断</t>
  </si>
  <si>
    <r>
      <rPr>
        <sz val="9"/>
        <rFont val="Noto Sans CJK SC"/>
        <family val="2"/>
      </rPr>
      <t xml:space="preserve">ベクトル</t>
    </r>
    <r>
      <rPr>
        <sz val="9"/>
        <rFont val="Yu Gothic"/>
        <family val="0"/>
        <charset val="1"/>
      </rPr>
      <t xml:space="preserve">DB</t>
    </r>
    <r>
      <rPr>
        <sz val="9"/>
        <rFont val="Noto Sans CJK SC"/>
        <family val="2"/>
      </rPr>
      <t xml:space="preserve">・ストレージ・連携基幹システムへの通信をインフラ層で即座に遮断し、データの二次流出を物理的に防いでいますか。</t>
    </r>
  </si>
  <si>
    <t xml:space="preserve">AIMF-RS-CON-003</t>
  </si>
  <si>
    <t xml:space="preserve">侵害モデルのロールバック</t>
  </si>
  <si>
    <t xml:space="preserve">侵害・汚染が疑われるモデル・プロンプト・設定を直前の検証済みバージョンへ即時切り戻す手順と技術的手段を整備していますか。</t>
  </si>
  <si>
    <t xml:space="preserve">AIMF-RS-CON-004</t>
  </si>
  <si>
    <t xml:space="preserve">エージェント資格情報の即時失効・一括ローテーション</t>
  </si>
  <si>
    <t xml:space="preserve">侵害エージェントの資格情報・トークンを即時失効し、影響範囲の資格情報を一括ローテーションする自動化手順を整備していますか。</t>
  </si>
  <si>
    <t xml:space="preserve">AIMF-RS-CON-005</t>
  </si>
  <si>
    <r>
      <rPr>
        <sz val="9"/>
        <rFont val="Noto Sans CJK SC"/>
        <family val="2"/>
      </rPr>
      <t xml:space="preserve">汚染</t>
    </r>
    <r>
      <rPr>
        <sz val="9"/>
        <rFont val="Yu Gothic"/>
        <family val="0"/>
        <charset val="1"/>
      </rPr>
      <t xml:space="preserve">RAG</t>
    </r>
    <r>
      <rPr>
        <sz val="9"/>
        <rFont val="Noto Sans CJK SC"/>
        <family val="2"/>
      </rPr>
      <t xml:space="preserve">ソース・メモリの隔離・検疫</t>
    </r>
  </si>
  <si>
    <r>
      <rPr>
        <sz val="9"/>
        <rFont val="Noto Sans CJK SC"/>
        <family val="2"/>
      </rPr>
      <t xml:space="preserve">汚染が確認された</t>
    </r>
    <r>
      <rPr>
        <sz val="9"/>
        <rFont val="Yu Gothic"/>
        <family val="0"/>
        <charset val="1"/>
      </rPr>
      <t xml:space="preserve">RAG</t>
    </r>
    <r>
      <rPr>
        <sz val="9"/>
        <rFont val="Noto Sans CJK SC"/>
        <family val="2"/>
      </rPr>
      <t xml:space="preserve">ソース・埋め込み・エージェント記憶を検索対象から即時隔離し、浄化完了まで検疫状態を維持していますか。</t>
    </r>
  </si>
  <si>
    <t xml:space="preserve">AIMF-RS-RPT-001</t>
  </si>
  <si>
    <t xml:space="preserve">RPT</t>
  </si>
  <si>
    <t xml:space="preserve">インシデントの外部報告・ステークホルダー通知</t>
  </si>
  <si>
    <r>
      <rPr>
        <sz val="9"/>
        <rFont val="Noto Sans CJK SC"/>
        <family val="2"/>
      </rPr>
      <t xml:space="preserve">重大</t>
    </r>
    <r>
      <rPr>
        <sz val="9"/>
        <rFont val="Yu Gothic"/>
        <family val="0"/>
        <charset val="1"/>
      </rPr>
      <t xml:space="preserve">AI</t>
    </r>
    <r>
      <rPr>
        <sz val="9"/>
        <rFont val="Noto Sans CJK SC"/>
        <family val="2"/>
      </rPr>
      <t xml:space="preserve">インシデント発生時の規制当局への報告（</t>
    </r>
    <r>
      <rPr>
        <sz val="9"/>
        <rFont val="Yu Gothic"/>
        <family val="0"/>
        <charset val="1"/>
      </rPr>
      <t xml:space="preserve">EU AI Act</t>
    </r>
    <r>
      <rPr>
        <sz val="9"/>
        <rFont val="Noto Sans CJK SC"/>
        <family val="2"/>
      </rPr>
      <t xml:space="preserve">重大インシデント報告、個人情報保護委員会への漏えい報告等）、利用者・顧客への通知手順と期限を定義していますか。</t>
    </r>
  </si>
  <si>
    <t xml:space="preserve">AIMF-RS-RPT-002</t>
  </si>
  <si>
    <t xml:space="preserve">個人情報漏えい等の当局報告</t>
  </si>
  <si>
    <r>
      <rPr>
        <sz val="9"/>
        <rFont val="Yu Gothic"/>
        <family val="0"/>
        <charset val="1"/>
      </rPr>
      <t xml:space="preserve">AI</t>
    </r>
    <r>
      <rPr>
        <sz val="9"/>
        <rFont val="Noto Sans CJK SC"/>
        <family val="2"/>
      </rPr>
      <t xml:space="preserve">経由の個人データ漏えいにおける個人情報保護委員会への報告（速報・確報）と本人通知の該当性判断・実施手順を定めていますか。</t>
    </r>
  </si>
  <si>
    <t xml:space="preserve">AIMF-RS-RPT-003</t>
  </si>
  <si>
    <t xml:space="preserve">顧客・利用者への通知計画</t>
  </si>
  <si>
    <t xml:space="preserve">影響を受ける顧客・利用者への通知基準・文面テンプレート・チャネルを事前整備し、通知の遅延と混乱を防いでいますか。</t>
  </si>
  <si>
    <t xml:space="preserve">AIMF-RS-RPT-004</t>
  </si>
  <si>
    <t xml:space="preserve">開示・広報対応の判断基準</t>
  </si>
  <si>
    <t xml:space="preserve">公表の要否・タイミング・内容の判断基準と広報・法務・経営の連携手順を定め、開示判断の証跡を残していますか。</t>
  </si>
  <si>
    <t xml:space="preserve">AIMF-RS-ANL-001</t>
  </si>
  <si>
    <t xml:space="preserve">ANL</t>
  </si>
  <si>
    <r>
      <rPr>
        <sz val="9"/>
        <rFont val="Yu Gothic"/>
        <family val="0"/>
        <charset val="1"/>
      </rPr>
      <t xml:space="preserve">AI</t>
    </r>
    <r>
      <rPr>
        <sz val="9"/>
        <rFont val="Noto Sans CJK SC"/>
        <family val="2"/>
      </rPr>
      <t xml:space="preserve">固有の根本原因分析</t>
    </r>
  </si>
  <si>
    <t xml:space="preserve">インシデントの原因をプロンプト・データ・モデル・設定・統合の各レイヤーで切り分ける分析手法を標準化していますか。</t>
  </si>
  <si>
    <t xml:space="preserve">AIMF-RS-ANL-002</t>
  </si>
  <si>
    <r>
      <rPr>
        <sz val="9"/>
        <rFont val="Noto Sans CJK SC"/>
        <family val="2"/>
      </rPr>
      <t xml:space="preserve">インシデントの</t>
    </r>
    <r>
      <rPr>
        <sz val="9"/>
        <rFont val="Yu Gothic"/>
        <family val="0"/>
        <charset val="1"/>
      </rPr>
      <t xml:space="preserve">ATLAS</t>
    </r>
    <r>
      <rPr>
        <sz val="9"/>
        <rFont val="Noto Sans CJK SC"/>
        <family val="2"/>
      </rPr>
      <t xml:space="preserve">マッピング</t>
    </r>
  </si>
  <si>
    <r>
      <rPr>
        <sz val="9"/>
        <rFont val="Noto Sans CJK SC"/>
        <family val="2"/>
      </rPr>
      <t xml:space="preserve">発生インシデントを</t>
    </r>
    <r>
      <rPr>
        <sz val="9"/>
        <rFont val="Yu Gothic"/>
        <family val="0"/>
        <charset val="1"/>
      </rPr>
      <t xml:space="preserve">ATLAS</t>
    </r>
    <r>
      <rPr>
        <sz val="9"/>
        <rFont val="Noto Sans CJK SC"/>
        <family val="2"/>
      </rPr>
      <t xml:space="preserve">の戦術・技術にマッピングして記録し、業界共有・検知強化に活用していますか。</t>
    </r>
  </si>
  <si>
    <t xml:space="preserve">AIMF-RS-ANL-003</t>
  </si>
  <si>
    <t xml:space="preserve">分析結果の防御・検知への反映</t>
  </si>
  <si>
    <t xml:space="preserve">根本原因分析の結果をガードレール・評価スイート・検知ルールの改修として期限付きでトラッキングしていますか。</t>
  </si>
  <si>
    <t xml:space="preserve">AIMF-RC-RES-001</t>
  </si>
  <si>
    <t xml:space="preserve">RC</t>
  </si>
  <si>
    <t xml:space="preserve">RES</t>
  </si>
  <si>
    <r>
      <rPr>
        <sz val="9"/>
        <rFont val="Yu Gothic"/>
        <family val="0"/>
        <charset val="1"/>
      </rPr>
      <t xml:space="preserve">CI/CD</t>
    </r>
    <r>
      <rPr>
        <sz val="9"/>
        <rFont val="Noto Sans CJK SC"/>
        <family val="2"/>
      </rPr>
      <t xml:space="preserve">連動のゼロタッチ・パッチ適用</t>
    </r>
  </si>
  <si>
    <r>
      <rPr>
        <sz val="9"/>
        <rFont val="Noto Sans CJK SC"/>
        <family val="2"/>
      </rPr>
      <t xml:space="preserve">適用要と判断された脆弱性に対し、</t>
    </r>
    <r>
      <rPr>
        <sz val="9"/>
        <rFont val="Yu Gothic"/>
        <family val="0"/>
        <charset val="1"/>
      </rPr>
      <t xml:space="preserve">IaC/GitOps</t>
    </r>
    <r>
      <rPr>
        <sz val="9"/>
        <rFont val="Noto Sans CJK SC"/>
        <family val="2"/>
      </rPr>
      <t xml:space="preserve">のリポジトリ変更を発火点として本番</t>
    </r>
    <r>
      <rPr>
        <sz val="9"/>
        <rFont val="Yu Gothic"/>
        <family val="0"/>
        <charset val="1"/>
      </rPr>
      <t xml:space="preserve">AI</t>
    </r>
    <r>
      <rPr>
        <sz val="9"/>
        <rFont val="Noto Sans CJK SC"/>
        <family val="2"/>
      </rPr>
      <t xml:space="preserve">インフラ全体を数分〜数時間で安全にアップデートしていますか。</t>
    </r>
  </si>
  <si>
    <t xml:space="preserve">AIMF-RC-RES-002</t>
  </si>
  <si>
    <r>
      <rPr>
        <sz val="9"/>
        <rFont val="Yu Gothic"/>
        <family val="0"/>
        <charset val="1"/>
      </rPr>
      <t xml:space="preserve">RAG</t>
    </r>
    <r>
      <rPr>
        <sz val="9"/>
        <rFont val="Noto Sans CJK SC"/>
        <family val="2"/>
      </rPr>
      <t xml:space="preserve">知識ベース・インフラ構成の高速復元</t>
    </r>
  </si>
  <si>
    <r>
      <rPr>
        <sz val="9"/>
        <rFont val="Noto Sans CJK SC"/>
        <family val="2"/>
      </rPr>
      <t xml:space="preserve">ベクトル</t>
    </r>
    <r>
      <rPr>
        <sz val="9"/>
        <rFont val="Yu Gothic"/>
        <family val="0"/>
        <charset val="1"/>
      </rPr>
      <t xml:space="preserve">DB</t>
    </r>
    <r>
      <rPr>
        <sz val="9"/>
        <rFont val="Noto Sans CJK SC"/>
        <family val="2"/>
      </rPr>
      <t xml:space="preserve">・原本ドキュメントのバックアップ復元手順を確立し、侵害時に</t>
    </r>
    <r>
      <rPr>
        <sz val="9"/>
        <rFont val="Yu Gothic"/>
        <family val="0"/>
        <charset val="1"/>
      </rPr>
      <t xml:space="preserve">IaC</t>
    </r>
    <r>
      <rPr>
        <sz val="9"/>
        <rFont val="Noto Sans CJK SC"/>
        <family val="2"/>
      </rPr>
      <t xml:space="preserve">でクリーンな</t>
    </r>
    <r>
      <rPr>
        <sz val="9"/>
        <rFont val="Yu Gothic"/>
        <family val="0"/>
        <charset val="1"/>
      </rPr>
      <t xml:space="preserve">AI</t>
    </r>
    <r>
      <rPr>
        <sz val="9"/>
        <rFont val="Noto Sans CJK SC"/>
        <family val="2"/>
      </rPr>
      <t xml:space="preserve">インフラを自動・即時再構築していますか。</t>
    </r>
  </si>
  <si>
    <t xml:space="preserve">AIMF-RC-RES-003</t>
  </si>
  <si>
    <r>
      <rPr>
        <sz val="9"/>
        <rFont val="Yu Gothic"/>
        <family val="0"/>
        <charset val="1"/>
      </rPr>
      <t xml:space="preserve">AI</t>
    </r>
    <r>
      <rPr>
        <sz val="9"/>
        <rFont val="Noto Sans CJK SC"/>
        <family val="2"/>
      </rPr>
      <t xml:space="preserve">説明責任のためのフォレンジック体制</t>
    </r>
  </si>
  <si>
    <r>
      <rPr>
        <sz val="9"/>
        <rFont val="Noto Sans CJK SC"/>
        <family val="2"/>
      </rPr>
      <t xml:space="preserve">プロンプト・</t>
    </r>
    <r>
      <rPr>
        <sz val="9"/>
        <rFont val="Yu Gothic"/>
        <family val="0"/>
        <charset val="1"/>
      </rPr>
      <t xml:space="preserve">RAG</t>
    </r>
    <r>
      <rPr>
        <sz val="9"/>
        <rFont val="Noto Sans CJK SC"/>
        <family val="2"/>
      </rPr>
      <t xml:space="preserve">検索結果・思考プロセス・ツール実行履歴・</t>
    </r>
    <r>
      <rPr>
        <sz val="9"/>
        <rFont val="Yu Gothic"/>
        <family val="0"/>
        <charset val="1"/>
      </rPr>
      <t xml:space="preserve">SBOM/AI-BOM</t>
    </r>
    <r>
      <rPr>
        <sz val="9"/>
        <rFont val="Noto Sans CJK SC"/>
        <family val="2"/>
      </rPr>
      <t xml:space="preserve">バージョン・インフラログを一気通貫でタイムライン化する証拠保全機能を実装していますか。</t>
    </r>
  </si>
  <si>
    <t xml:space="preserve">AIMF-RC-RES-004</t>
  </si>
  <si>
    <t xml:space="preserve">クリーンデータからのモデル再構築手順</t>
  </si>
  <si>
    <t xml:space="preserve">ポイズニング確定時に、検証済みクリーンデータと来歴記録を用いてモデルを再学習・再構築する手順と所要時間目標を定めていますか。</t>
  </si>
  <si>
    <t xml:space="preserve">AIMF-RC-RES-005</t>
  </si>
  <si>
    <t xml:space="preserve">代替モデル・プロバイダーへのフェイルオーバー</t>
  </si>
  <si>
    <t xml:space="preserve">主要モデルの侵害・停止時に代替モデル・プロバイダーへ切替える構成と切替判断基準を整備し、定期試験していますか。</t>
  </si>
  <si>
    <t xml:space="preserve">AIMF-RC-RES-006</t>
  </si>
  <si>
    <r>
      <rPr>
        <sz val="9"/>
        <rFont val="Yu Gothic"/>
        <family val="0"/>
        <charset val="1"/>
      </rPr>
      <t xml:space="preserve">AI</t>
    </r>
    <r>
      <rPr>
        <sz val="9"/>
        <rFont val="Noto Sans CJK SC"/>
        <family val="2"/>
      </rPr>
      <t xml:space="preserve">停止時の縮退運転手順</t>
    </r>
  </si>
  <si>
    <r>
      <rPr>
        <sz val="9"/>
        <rFont val="Yu Gothic"/>
        <family val="0"/>
        <charset val="1"/>
      </rPr>
      <t xml:space="preserve">AI</t>
    </r>
    <r>
      <rPr>
        <sz val="9"/>
        <rFont val="Noto Sans CJK SC"/>
        <family val="2"/>
      </rPr>
      <t xml:space="preserve">機能停止時に人手・ルールベースで業務を継続する縮退運転手順を整備し、依存業務の全面停止を回避していますか。</t>
    </r>
  </si>
  <si>
    <t xml:space="preserve">AIMF-RC-RES-007</t>
  </si>
  <si>
    <r>
      <rPr>
        <sz val="9"/>
        <rFont val="Yu Gothic"/>
        <family val="0"/>
        <charset val="1"/>
      </rPr>
      <t xml:space="preserve">AI</t>
    </r>
    <r>
      <rPr>
        <sz val="9"/>
        <rFont val="Noto Sans CJK SC"/>
        <family val="2"/>
      </rPr>
      <t xml:space="preserve">システムの</t>
    </r>
    <r>
      <rPr>
        <sz val="9"/>
        <rFont val="Yu Gothic"/>
        <family val="0"/>
        <charset val="1"/>
      </rPr>
      <t xml:space="preserve">BCP</t>
    </r>
    <r>
      <rPr>
        <sz val="9"/>
        <rFont val="Noto Sans CJK SC"/>
        <family val="2"/>
      </rPr>
      <t xml:space="preserve">・</t>
    </r>
    <r>
      <rPr>
        <sz val="9"/>
        <rFont val="Yu Gothic"/>
        <family val="0"/>
        <charset val="1"/>
      </rPr>
      <t xml:space="preserve">DR</t>
    </r>
    <r>
      <rPr>
        <sz val="9"/>
        <rFont val="Noto Sans CJK SC"/>
        <family val="2"/>
      </rPr>
      <t xml:space="preserve">統合</t>
    </r>
  </si>
  <si>
    <r>
      <rPr>
        <sz val="9"/>
        <rFont val="Yu Gothic"/>
        <family val="0"/>
        <charset val="1"/>
      </rPr>
      <t xml:space="preserve">AI</t>
    </r>
    <r>
      <rPr>
        <sz val="9"/>
        <rFont val="Noto Sans CJK SC"/>
        <family val="2"/>
      </rPr>
      <t xml:space="preserve">システムを既存</t>
    </r>
    <r>
      <rPr>
        <sz val="9"/>
        <rFont val="Yu Gothic"/>
        <family val="0"/>
        <charset val="1"/>
      </rPr>
      <t xml:space="preserve">BCP/DR</t>
    </r>
    <r>
      <rPr>
        <sz val="9"/>
        <rFont val="Noto Sans CJK SC"/>
        <family val="2"/>
      </rPr>
      <t xml:space="preserve">計画に統合し、バックアップ範囲（モデル・データ・設定・プロンプト）と復旧目標を明記していますか。</t>
    </r>
  </si>
  <si>
    <t xml:space="preserve">AIMF-RC-CIM-001</t>
  </si>
  <si>
    <t xml:space="preserve">CIM</t>
  </si>
  <si>
    <r>
      <rPr>
        <sz val="9"/>
        <rFont val="Yu Gothic"/>
        <family val="0"/>
        <charset val="1"/>
      </rPr>
      <t xml:space="preserve">AI</t>
    </r>
    <r>
      <rPr>
        <sz val="9"/>
        <rFont val="Noto Sans CJK SC"/>
        <family val="2"/>
      </rPr>
      <t xml:space="preserve">セキュリティ</t>
    </r>
    <r>
      <rPr>
        <sz val="9"/>
        <rFont val="Yu Gothic"/>
        <family val="0"/>
        <charset val="1"/>
      </rPr>
      <t xml:space="preserve">KPI</t>
    </r>
    <r>
      <rPr>
        <sz val="9"/>
        <rFont val="Noto Sans CJK SC"/>
        <family val="2"/>
      </rPr>
      <t xml:space="preserve">の設定と評価</t>
    </r>
  </si>
  <si>
    <r>
      <rPr>
        <sz val="9"/>
        <rFont val="Noto Sans CJK SC"/>
        <family val="2"/>
      </rPr>
      <t xml:space="preserve">インシデント対応時間短縮率、トレーニング受講率、脆弱性</t>
    </r>
    <r>
      <rPr>
        <sz val="9"/>
        <rFont val="Yu Gothic"/>
        <family val="0"/>
        <charset val="1"/>
      </rPr>
      <t xml:space="preserve">MTTR</t>
    </r>
    <r>
      <rPr>
        <sz val="9"/>
        <rFont val="Noto Sans CJK SC"/>
        <family val="2"/>
      </rPr>
      <t xml:space="preserve">、</t>
    </r>
    <r>
      <rPr>
        <sz val="9"/>
        <rFont val="Yu Gothic"/>
        <family val="0"/>
        <charset val="1"/>
      </rPr>
      <t xml:space="preserve">RAG</t>
    </r>
    <r>
      <rPr>
        <sz val="9"/>
        <rFont val="Noto Sans CJK SC"/>
        <family val="2"/>
      </rPr>
      <t xml:space="preserve">権限エラー回数等の</t>
    </r>
    <r>
      <rPr>
        <sz val="9"/>
        <rFont val="Yu Gothic"/>
        <family val="0"/>
        <charset val="1"/>
      </rPr>
      <t xml:space="preserve">KPI</t>
    </r>
    <r>
      <rPr>
        <sz val="9"/>
        <rFont val="Noto Sans CJK SC"/>
        <family val="2"/>
      </rPr>
      <t xml:space="preserve">を設定し定期評価していますか。</t>
    </r>
  </si>
  <si>
    <t xml:space="preserve">AIMF-RC-CIM-002</t>
  </si>
  <si>
    <t xml:space="preserve">ベストプラクティス・教訓のドキュメント化</t>
  </si>
  <si>
    <t xml:space="preserve">ベストプラクティス、教訓、インシデントフォレンジック結果を文書化して社内共有し、再発を防止していますか。</t>
  </si>
  <si>
    <t xml:space="preserve">AIMF-RC-CIM-003</t>
  </si>
  <si>
    <r>
      <rPr>
        <sz val="9"/>
        <rFont val="Yu Gothic"/>
        <family val="0"/>
        <charset val="1"/>
      </rPr>
      <t xml:space="preserve">AI</t>
    </r>
    <r>
      <rPr>
        <sz val="9"/>
        <rFont val="Noto Sans CJK SC"/>
        <family val="2"/>
      </rPr>
      <t xml:space="preserve">セキュリティのトレンド分析と将来予測</t>
    </r>
  </si>
  <si>
    <r>
      <rPr>
        <sz val="9"/>
        <rFont val="Noto Sans CJK SC"/>
        <family val="2"/>
      </rPr>
      <t xml:space="preserve">新たな脱獄手法・攻撃用</t>
    </r>
    <r>
      <rPr>
        <sz val="9"/>
        <rFont val="Yu Gothic"/>
        <family val="0"/>
        <charset val="1"/>
      </rPr>
      <t xml:space="preserve">AI</t>
    </r>
    <r>
      <rPr>
        <sz val="9"/>
        <rFont val="Noto Sans CJK SC"/>
        <family val="2"/>
      </rPr>
      <t xml:space="preserve">の進化を分析し、攻撃手法の変化を予測してガバナンス体制と技術的対策を先手で強化していますか。</t>
    </r>
  </si>
  <si>
    <t xml:space="preserve">AIMF-RC-CIM-004</t>
  </si>
  <si>
    <t xml:space="preserve">セキュリティメトリクスによる定期ガバナンスレビュー</t>
  </si>
  <si>
    <r>
      <rPr>
        <sz val="9"/>
        <rFont val="Yu Gothic"/>
        <family val="0"/>
        <charset val="1"/>
      </rPr>
      <t xml:space="preserve">KPI</t>
    </r>
    <r>
      <rPr>
        <sz val="9"/>
        <rFont val="Noto Sans CJK SC"/>
        <family val="2"/>
      </rPr>
      <t xml:space="preserve">・教訓・トレンド分析を集計し、</t>
    </r>
    <r>
      <rPr>
        <sz val="9"/>
        <rFont val="Yu Gothic"/>
        <family val="0"/>
        <charset val="1"/>
      </rPr>
      <t xml:space="preserve">AI</t>
    </r>
    <r>
      <rPr>
        <sz val="9"/>
        <rFont val="Noto Sans CJK SC"/>
        <family val="2"/>
      </rPr>
      <t xml:space="preserve">ガバナンス委員会で基本方針・ガードレール閾値・インフラ要件・教育カリキュラムを継続的にアップデートしていますか。</t>
    </r>
  </si>
  <si>
    <t xml:space="preserve">AIMF-RC-CIM-005</t>
  </si>
  <si>
    <t xml:space="preserve">教訓の防御機構への自動反映</t>
  </si>
  <si>
    <t xml:space="preserve">インシデント・演習の教訓をガードレールルール・評価ケース・検知シグネチャへ反映するまでをワークフロー化し、反映漏れを防いでいますか。</t>
  </si>
  <si>
    <t xml:space="preserve">AIMF-RC-CIM-006</t>
  </si>
  <si>
    <t xml:space="preserve">参照基準・脅威情報の改訂追随</t>
  </si>
  <si>
    <r>
      <rPr>
        <sz val="9"/>
        <rFont val="Yu Gothic"/>
        <family val="0"/>
        <charset val="1"/>
      </rPr>
      <t xml:space="preserve">OWASP</t>
    </r>
    <r>
      <rPr>
        <sz val="9"/>
        <rFont val="Noto Sans CJK SC"/>
        <family val="2"/>
      </rPr>
      <t xml:space="preserve">・</t>
    </r>
    <r>
      <rPr>
        <sz val="9"/>
        <rFont val="Yu Gothic"/>
        <family val="0"/>
        <charset val="1"/>
      </rPr>
      <t xml:space="preserve">ATLAS</t>
    </r>
    <r>
      <rPr>
        <sz val="9"/>
        <rFont val="Noto Sans CJK SC"/>
        <family val="2"/>
      </rPr>
      <t xml:space="preserve">・各国ガイドラインの改訂を四半期で確認し、フレームワーク・統制への反映要否を判断するプロセスを運用していますか。</t>
    </r>
  </si>
  <si>
    <t xml:space="preserve">AIMF-RC-DCM-001</t>
  </si>
  <si>
    <t xml:space="preserve">DCM</t>
  </si>
  <si>
    <t xml:space="preserve">モデル・データの安全な廃棄（デコミッション）</t>
  </si>
  <si>
    <t xml:space="preserve">モデル退役時の重みデータ・学習データ・埋め込み・ログの安全な廃棄／保持判断、依存システムへの影響評価を含む廃棄プロセスを定義していますか。</t>
  </si>
  <si>
    <t xml:space="preserve">AIMF-RC-DCM-002</t>
  </si>
  <si>
    <r>
      <rPr>
        <sz val="9"/>
        <rFont val="Noto Sans CJK SC"/>
        <family val="2"/>
      </rPr>
      <t xml:space="preserve">データ削除・機械的忘却（</t>
    </r>
    <r>
      <rPr>
        <sz val="9"/>
        <rFont val="Yu Gothic"/>
        <family val="0"/>
        <charset val="1"/>
      </rPr>
      <t xml:space="preserve">Unlearning</t>
    </r>
    <r>
      <rPr>
        <sz val="9"/>
        <rFont val="Noto Sans CJK SC"/>
        <family val="2"/>
      </rPr>
      <t xml:space="preserve">）の実施と検証</t>
    </r>
  </si>
  <si>
    <r>
      <rPr>
        <sz val="9"/>
        <rFont val="Noto Sans CJK SC"/>
        <family val="2"/>
      </rPr>
      <t xml:space="preserve">削除要求・保持期限到来データについて、モデル・ベクトル</t>
    </r>
    <r>
      <rPr>
        <sz val="9"/>
        <rFont val="Yu Gothic"/>
        <family val="0"/>
        <charset val="1"/>
      </rPr>
      <t xml:space="preserve">DB</t>
    </r>
    <r>
      <rPr>
        <sz val="9"/>
        <rFont val="Noto Sans CJK SC"/>
        <family val="2"/>
      </rPr>
      <t xml:space="preserve">・ログからの削除または忘却措置を実施し、削除の有効性を検証していますか。</t>
    </r>
  </si>
  <si>
    <t xml:space="preserve">AIMF-RC-PMM-001</t>
  </si>
  <si>
    <t xml:space="preserve">PMM</t>
  </si>
  <si>
    <r>
      <rPr>
        <sz val="9"/>
        <rFont val="Noto Sans CJK SC"/>
        <family val="2"/>
      </rPr>
      <t xml:space="preserve">市販後モニタリング計画（</t>
    </r>
    <r>
      <rPr>
        <sz val="9"/>
        <rFont val="Yu Gothic"/>
        <family val="0"/>
        <charset val="1"/>
      </rPr>
      <t xml:space="preserve">Post-market Monitoring</t>
    </r>
    <r>
      <rPr>
        <sz val="9"/>
        <rFont val="Noto Sans CJK SC"/>
        <family val="2"/>
      </rPr>
      <t xml:space="preserve">）</t>
    </r>
  </si>
  <si>
    <r>
      <rPr>
        <sz val="9"/>
        <rFont val="Noto Sans CJK SC"/>
        <family val="2"/>
      </rPr>
      <t xml:space="preserve">提供中の</t>
    </r>
    <r>
      <rPr>
        <sz val="9"/>
        <rFont val="Yu Gothic"/>
        <family val="0"/>
        <charset val="1"/>
      </rPr>
      <t xml:space="preserve">AI</t>
    </r>
    <r>
      <rPr>
        <sz val="9"/>
        <rFont val="Noto Sans CJK SC"/>
        <family val="2"/>
      </rPr>
      <t xml:space="preserve">システムについて、性能・堅牢性・インシデント傾向を体系的に収集・分析する市販後モニタリング計画を策定し、リスクマネジメント（</t>
    </r>
    <r>
      <rPr>
        <sz val="9"/>
        <rFont val="Yu Gothic"/>
        <family val="0"/>
        <charset val="1"/>
      </rPr>
      <t xml:space="preserve">GV-1</t>
    </r>
    <r>
      <rPr>
        <sz val="9"/>
        <rFont val="Noto Sans CJK SC"/>
        <family val="2"/>
      </rPr>
      <t xml:space="preserve">）へフィードバックしていますか。</t>
    </r>
  </si>
  <si>
    <r>
      <rPr>
        <b val="true"/>
        <sz val="10"/>
        <color rgb="FFFFFFFF"/>
        <rFont val="Noto Sans CJK SC"/>
        <family val="2"/>
      </rPr>
      <t xml:space="preserve">施策</t>
    </r>
    <r>
      <rPr>
        <b val="true"/>
        <sz val="10"/>
        <color rgb="FFFFFFFF"/>
        <rFont val="Yu Gothic"/>
        <family val="0"/>
        <charset val="1"/>
      </rPr>
      <t xml:space="preserve">ID</t>
    </r>
  </si>
  <si>
    <t xml:space="preserve">施策名</t>
  </si>
  <si>
    <t xml:space="preserve">施策概要</t>
  </si>
  <si>
    <t xml:space="preserve">目的</t>
  </si>
  <si>
    <r>
      <rPr>
        <b val="true"/>
        <sz val="10"/>
        <color rgb="FFFFFFFF"/>
        <rFont val="Noto Sans CJK SC"/>
        <family val="2"/>
      </rPr>
      <t xml:space="preserve">期待効果</t>
    </r>
    <r>
      <rPr>
        <b val="true"/>
        <sz val="10"/>
        <color rgb="FFFFFFFF"/>
        <rFont val="Yu Gothic"/>
        <family val="0"/>
        <charset val="1"/>
      </rPr>
      <t xml:space="preserve">(1-5)</t>
    </r>
  </si>
  <si>
    <r>
      <rPr>
        <b val="true"/>
        <sz val="10"/>
        <color rgb="FFFFFFFF"/>
        <rFont val="Noto Sans CJK SC"/>
        <family val="2"/>
      </rPr>
      <t xml:space="preserve">導入難易度</t>
    </r>
    <r>
      <rPr>
        <b val="true"/>
        <sz val="10"/>
        <color rgb="FFFFFFFF"/>
        <rFont val="Yu Gothic"/>
        <family val="0"/>
        <charset val="1"/>
      </rPr>
      <t xml:space="preserve">(1-5)</t>
    </r>
  </si>
  <si>
    <r>
      <rPr>
        <b val="true"/>
        <sz val="10"/>
        <color rgb="FFFFFFFF"/>
        <rFont val="Noto Sans CJK SC"/>
        <family val="2"/>
      </rPr>
      <t xml:space="preserve">標準期間</t>
    </r>
    <r>
      <rPr>
        <b val="true"/>
        <sz val="10"/>
        <color rgb="FFFFFFFF"/>
        <rFont val="Yu Gothic"/>
        <family val="0"/>
        <charset val="1"/>
      </rPr>
      <t xml:space="preserve">(</t>
    </r>
    <r>
      <rPr>
        <b val="true"/>
        <sz val="10"/>
        <color rgb="FFFFFFFF"/>
        <rFont val="Noto Sans CJK SC"/>
        <family val="2"/>
      </rPr>
      <t xml:space="preserve">月</t>
    </r>
    <r>
      <rPr>
        <b val="true"/>
        <sz val="10"/>
        <color rgb="FFFFFFFF"/>
        <rFont val="Yu Gothic"/>
        <family val="0"/>
        <charset val="1"/>
      </rPr>
      <t xml:space="preserve">)</t>
    </r>
  </si>
  <si>
    <t xml:space="preserve">概算費用区分</t>
  </si>
  <si>
    <r>
      <rPr>
        <b val="true"/>
        <sz val="10"/>
        <color rgb="FFFFFFFF"/>
        <rFont val="Yu Gothic"/>
        <family val="0"/>
        <charset val="1"/>
      </rPr>
      <t xml:space="preserve">QuickWin</t>
    </r>
    <r>
      <rPr>
        <b val="true"/>
        <sz val="10"/>
        <color rgb="FFFFFFFF"/>
        <rFont val="Noto Sans CJK SC"/>
        <family val="2"/>
      </rPr>
      <t xml:space="preserve">係数</t>
    </r>
  </si>
  <si>
    <r>
      <rPr>
        <b val="true"/>
        <sz val="10"/>
        <color rgb="FFFFFFFF"/>
        <rFont val="Noto Sans CJK SC"/>
        <family val="2"/>
      </rPr>
      <t xml:space="preserve">依存施策</t>
    </r>
    <r>
      <rPr>
        <b val="true"/>
        <sz val="10"/>
        <color rgb="FFFFFFFF"/>
        <rFont val="Yu Gothic"/>
        <family val="0"/>
        <charset val="1"/>
      </rPr>
      <t xml:space="preserve">ID</t>
    </r>
  </si>
  <si>
    <t xml:space="preserve">主な参照基準</t>
  </si>
  <si>
    <t xml:space="preserve">ロードマップ区分</t>
  </si>
  <si>
    <t xml:space="preserve">優先度補正係数</t>
  </si>
  <si>
    <t xml:space="preserve">主担当部門</t>
  </si>
  <si>
    <t xml:space="preserve">標準成果物</t>
  </si>
  <si>
    <t xml:space="preserve">顧客説明用価値</t>
  </si>
  <si>
    <t xml:space="preserve">確認証跡例</t>
  </si>
  <si>
    <r>
      <rPr>
        <b val="true"/>
        <sz val="10"/>
        <color rgb="FFFFFFFF"/>
        <rFont val="Noto Sans CJK SC"/>
        <family val="2"/>
      </rPr>
      <t xml:space="preserve">関連質問</t>
    </r>
    <r>
      <rPr>
        <b val="true"/>
        <sz val="10"/>
        <color rgb="FFFFFFFF"/>
        <rFont val="Yu Gothic"/>
        <family val="0"/>
        <charset val="1"/>
      </rPr>
      <t xml:space="preserve">ID</t>
    </r>
  </si>
  <si>
    <t xml:space="preserve">introduced-in</t>
  </si>
  <si>
    <r>
      <rPr>
        <sz val="9"/>
        <rFont val="Noto Sans CJK SC"/>
        <family val="2"/>
      </rPr>
      <t xml:space="preserve">経営層、</t>
    </r>
    <r>
      <rPr>
        <sz val="9"/>
        <rFont val="Yu Gothic"/>
        <family val="0"/>
        <charset val="1"/>
      </rPr>
      <t xml:space="preserve">CISO</t>
    </r>
    <r>
      <rPr>
        <sz val="9"/>
        <rFont val="Noto Sans CJK SC"/>
        <family val="2"/>
      </rPr>
      <t xml:space="preserve">、法務、</t>
    </r>
    <r>
      <rPr>
        <sz val="9"/>
        <rFont val="Yu Gothic"/>
        <family val="0"/>
        <charset val="1"/>
      </rPr>
      <t xml:space="preserve">IT</t>
    </r>
    <r>
      <rPr>
        <sz val="9"/>
        <rFont val="Noto Sans CJK SC"/>
        <family val="2"/>
      </rPr>
      <t xml:space="preserve">部門、事業部門の代表からなるクロスファンクショナルな統治組織を組成し、責任の所在を明確にする。</t>
    </r>
  </si>
  <si>
    <r>
      <rPr>
        <sz val="9"/>
        <rFont val="Noto Sans CJK SC"/>
        <family val="2"/>
      </rPr>
      <t xml:space="preserve">ガバナンス・組織体制の確立と文化の醸成に関するリスクを低減し、</t>
    </r>
    <r>
      <rPr>
        <sz val="9"/>
        <rFont val="Yu Gothic"/>
        <family val="0"/>
        <charset val="1"/>
      </rPr>
      <t xml:space="preserve">AIMF GV</t>
    </r>
    <r>
      <rPr>
        <sz val="9"/>
        <rFont val="Noto Sans CJK SC"/>
        <family val="2"/>
      </rPr>
      <t xml:space="preserve">区分（</t>
    </r>
    <r>
      <rPr>
        <sz val="9"/>
        <rFont val="Yu Gothic"/>
        <family val="0"/>
        <charset val="1"/>
      </rPr>
      <t xml:space="preserve">ORG</t>
    </r>
    <r>
      <rPr>
        <sz val="9"/>
        <rFont val="Noto Sans CJK SC"/>
        <family val="2"/>
      </rPr>
      <t xml:space="preserve">カテゴリ）の要求に対応する。</t>
    </r>
  </si>
  <si>
    <t xml:space="preserve">低</t>
  </si>
  <si>
    <r>
      <rPr>
        <sz val="9"/>
        <rFont val="Yu Gothic"/>
        <family val="0"/>
        <charset val="1"/>
      </rPr>
      <t xml:space="preserve">AI</t>
    </r>
    <r>
      <rPr>
        <sz val="9"/>
        <rFont val="Noto Sans CJK SC"/>
        <family val="2"/>
      </rPr>
      <t xml:space="preserve">事業者</t>
    </r>
    <r>
      <rPr>
        <sz val="9"/>
        <rFont val="Yu Gothic"/>
        <family val="0"/>
        <charset val="1"/>
      </rPr>
      <t xml:space="preserve">GL, NIST AI RMF, ISO 42001, CSA AICM, EU AI Act</t>
    </r>
  </si>
  <si>
    <t xml:space="preserve">短期</t>
  </si>
  <si>
    <r>
      <rPr>
        <sz val="9"/>
        <rFont val="Noto Sans CJK SC"/>
        <family val="2"/>
      </rPr>
      <t xml:space="preserve">経営層</t>
    </r>
    <r>
      <rPr>
        <sz val="9"/>
        <rFont val="Yu Gothic"/>
        <family val="0"/>
        <charset val="1"/>
      </rPr>
      <t xml:space="preserve">/</t>
    </r>
    <r>
      <rPr>
        <sz val="9"/>
        <rFont val="Noto Sans CJK SC"/>
        <family val="2"/>
      </rPr>
      <t xml:space="preserve">リスク管理</t>
    </r>
    <r>
      <rPr>
        <sz val="9"/>
        <rFont val="Yu Gothic"/>
        <family val="0"/>
        <charset val="1"/>
      </rPr>
      <t xml:space="preserve">/</t>
    </r>
    <r>
      <rPr>
        <sz val="9"/>
        <rFont val="Noto Sans CJK SC"/>
        <family val="2"/>
      </rPr>
      <t xml:space="preserve">法務</t>
    </r>
  </si>
  <si>
    <t xml:space="preserve">方針・規程、会議体議事録、リスク登録簿、監査報告</t>
  </si>
  <si>
    <r>
      <rPr>
        <sz val="9"/>
        <rFont val="Yu Gothic"/>
        <family val="0"/>
        <charset val="1"/>
      </rPr>
      <t xml:space="preserve">AI</t>
    </r>
    <r>
      <rPr>
        <sz val="9"/>
        <rFont val="Noto Sans CJK SC"/>
        <family val="2"/>
      </rPr>
      <t xml:space="preserve">ガバナンス委員会の設置により、経営として説明可能な</t>
    </r>
    <r>
      <rPr>
        <sz val="9"/>
        <rFont val="Yu Gothic"/>
        <family val="0"/>
        <charset val="1"/>
      </rPr>
      <t xml:space="preserve">AI</t>
    </r>
    <r>
      <rPr>
        <sz val="9"/>
        <rFont val="Noto Sans CJK SC"/>
        <family val="2"/>
      </rPr>
      <t xml:space="preserve">ガバナンス体制を示せる状態になります。</t>
    </r>
  </si>
  <si>
    <t xml:space="preserve">規程・議事録・登録簿・監査記録</t>
  </si>
  <si>
    <r>
      <rPr>
        <sz val="9"/>
        <rFont val="Noto Sans CJK SC"/>
        <family val="2"/>
      </rPr>
      <t xml:space="preserve">全社的な</t>
    </r>
    <r>
      <rPr>
        <sz val="9"/>
        <rFont val="Yu Gothic"/>
        <family val="0"/>
        <charset val="1"/>
      </rPr>
      <t xml:space="preserve">AI</t>
    </r>
    <r>
      <rPr>
        <sz val="9"/>
        <rFont val="Noto Sans CJK SC"/>
        <family val="2"/>
      </rPr>
      <t xml:space="preserve">利用の目的、許容リスクレベル、禁止事項（機密情報の公衆</t>
    </r>
    <r>
      <rPr>
        <sz val="9"/>
        <rFont val="Yu Gothic"/>
        <family val="0"/>
        <charset val="1"/>
      </rPr>
      <t xml:space="preserve">AI</t>
    </r>
    <r>
      <rPr>
        <sz val="9"/>
        <rFont val="Noto Sans CJK SC"/>
        <family val="2"/>
      </rPr>
      <t xml:space="preserve">への入力禁止等）を定義・規程化する。</t>
    </r>
  </si>
  <si>
    <r>
      <rPr>
        <sz val="9"/>
        <rFont val="Yu Gothic"/>
        <family val="0"/>
        <charset val="1"/>
      </rPr>
      <t xml:space="preserve">AI</t>
    </r>
    <r>
      <rPr>
        <sz val="9"/>
        <rFont val="Noto Sans CJK SC"/>
        <family val="2"/>
      </rPr>
      <t xml:space="preserve">事業者</t>
    </r>
    <r>
      <rPr>
        <sz val="9"/>
        <rFont val="Yu Gothic"/>
        <family val="0"/>
        <charset val="1"/>
      </rPr>
      <t xml:space="preserve">GL, NIST AI RMF, ISO 42001, CSA AICM, NCSC/CISA</t>
    </r>
  </si>
  <si>
    <r>
      <rPr>
        <sz val="9"/>
        <rFont val="Yu Gothic"/>
        <family val="0"/>
        <charset val="1"/>
      </rPr>
      <t xml:space="preserve">AI</t>
    </r>
    <r>
      <rPr>
        <sz val="9"/>
        <rFont val="Noto Sans CJK SC"/>
        <family val="2"/>
      </rPr>
      <t xml:space="preserve">活用基本方針・ガイドラインの策定により、経営として説明可能な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</si>
  <si>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Noto Sans CJK SC"/>
        <family val="2"/>
      </rPr>
      <t xml:space="preserve">新規</t>
    </r>
    <r>
      <rPr>
        <sz val="9"/>
        <rFont val="Yu Gothic"/>
        <family val="0"/>
        <charset val="1"/>
      </rPr>
      <t xml:space="preserve">AI</t>
    </r>
    <r>
      <rPr>
        <sz val="9"/>
        <rFont val="Noto Sans CJK SC"/>
        <family val="2"/>
      </rPr>
      <t xml:space="preserve">プロジェクト開始前に機密性・影響度に応じたセキュリティ審査を義務付け、継続的アセスメント体制へシフトする。</t>
    </r>
  </si>
  <si>
    <r>
      <rPr>
        <sz val="9"/>
        <rFont val="Yu Gothic"/>
        <family val="0"/>
        <charset val="1"/>
      </rPr>
      <t xml:space="preserve">NIST AI RMF, ISO 42001, EU AI Act, CSA AICM, NCSC/CISA, AI</t>
    </r>
    <r>
      <rPr>
        <sz val="9"/>
        <rFont val="Noto Sans CJK SC"/>
        <family val="2"/>
      </rPr>
      <t xml:space="preserve">事業者</t>
    </r>
    <r>
      <rPr>
        <sz val="9"/>
        <rFont val="Yu Gothic"/>
        <family val="0"/>
        <charset val="1"/>
      </rPr>
      <t xml:space="preserve">GL</t>
    </r>
  </si>
  <si>
    <r>
      <rPr>
        <sz val="9"/>
        <rFont val="Yu Gothic"/>
        <family val="0"/>
        <charset val="1"/>
      </rPr>
      <t xml:space="preserve">AI</t>
    </r>
    <r>
      <rPr>
        <sz val="9"/>
        <rFont val="Noto Sans CJK SC"/>
        <family val="2"/>
      </rPr>
      <t xml:space="preserve">リスクアセスメント・プロジェクト承認プロセスの構築により、経営として説明可能な</t>
    </r>
    <r>
      <rPr>
        <sz val="9"/>
        <rFont val="Yu Gothic"/>
        <family val="0"/>
        <charset val="1"/>
      </rPr>
      <t xml:space="preserve">AI</t>
    </r>
    <r>
      <rPr>
        <sz val="9"/>
        <rFont val="Noto Sans CJK SC"/>
        <family val="2"/>
      </rPr>
      <t xml:space="preserve">ガバナンス体制を示せる状態になります。</t>
    </r>
  </si>
  <si>
    <t xml:space="preserve">定期的な教育・啓発活動を通じ、全従業員がセキュリティを意識した行動をとれる文化を醸成する。</t>
  </si>
  <si>
    <r>
      <rPr>
        <sz val="9"/>
        <rFont val="Yu Gothic"/>
        <family val="0"/>
        <charset val="1"/>
      </rPr>
      <t xml:space="preserve">NIST AI RMF, ISO 42001, AI</t>
    </r>
    <r>
      <rPr>
        <sz val="9"/>
        <rFont val="Noto Sans CJK SC"/>
        <family val="2"/>
      </rPr>
      <t xml:space="preserve">事業者</t>
    </r>
    <r>
      <rPr>
        <sz val="9"/>
        <rFont val="Yu Gothic"/>
        <family val="0"/>
        <charset val="1"/>
      </rPr>
      <t xml:space="preserve">GL, EU AI Act, CSA AICM</t>
    </r>
  </si>
  <si>
    <r>
      <rPr>
        <sz val="9"/>
        <rFont val="Yu Gothic"/>
        <family val="0"/>
        <charset val="1"/>
      </rPr>
      <t xml:space="preserve">AI</t>
    </r>
    <r>
      <rPr>
        <sz val="9"/>
        <rFont val="Noto Sans CJK SC"/>
        <family val="2"/>
      </rPr>
      <t xml:space="preserve">セキュリティ文化の醸成により、経営として説明可能な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</si>
  <si>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Yu Gothic"/>
        <family val="0"/>
        <charset val="1"/>
      </rPr>
      <t xml:space="preserve">AI</t>
    </r>
    <r>
      <rPr>
        <sz val="9"/>
        <rFont val="Noto Sans CJK SC"/>
        <family val="2"/>
      </rPr>
      <t xml:space="preserve">セキュリティ情報・インシデントを迅速かつ透明に共有するコミュニケーションチャネルを確立する。</t>
    </r>
  </si>
  <si>
    <t xml:space="preserve">ISO 42001, NIST AI RMF, CSA AICM</t>
  </si>
  <si>
    <r>
      <rPr>
        <sz val="9"/>
        <rFont val="Yu Gothic"/>
        <family val="0"/>
        <charset val="1"/>
      </rPr>
      <t xml:space="preserve">AI</t>
    </r>
    <r>
      <rPr>
        <sz val="9"/>
        <rFont val="Noto Sans CJK SC"/>
        <family val="2"/>
      </rPr>
      <t xml:space="preserve">セキュリティの社内コミュニケーション強化により、経営として説明可能な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</si>
  <si>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Yu Gothic"/>
        <family val="0"/>
        <charset val="1"/>
      </rPr>
      <t xml:space="preserve">AI</t>
    </r>
    <r>
      <rPr>
        <sz val="9"/>
        <rFont val="Noto Sans CJK SC"/>
        <family val="2"/>
      </rPr>
      <t xml:space="preserve">のリスクとセキュリティに関する説明責任を負う役員級の責任者を任命し、取締役会への定期報告ラインを確立する。</t>
    </r>
  </si>
  <si>
    <r>
      <rPr>
        <sz val="9"/>
        <rFont val="Yu Gothic"/>
        <family val="0"/>
        <charset val="1"/>
      </rPr>
      <t xml:space="preserve">NIST AI RMF, ISO 42001, Five Eyes</t>
    </r>
    <r>
      <rPr>
        <sz val="9"/>
        <rFont val="Noto Sans CJK SC"/>
        <family val="2"/>
      </rPr>
      <t xml:space="preserve">声明</t>
    </r>
    <r>
      <rPr>
        <sz val="9"/>
        <rFont val="Yu Gothic"/>
        <family val="0"/>
        <charset val="1"/>
      </rPr>
      <t xml:space="preserve">, SANS AIMM</t>
    </r>
  </si>
  <si>
    <r>
      <rPr>
        <sz val="9"/>
        <rFont val="Yu Gothic"/>
        <family val="0"/>
        <charset val="1"/>
      </rPr>
      <t xml:space="preserve">AI</t>
    </r>
    <r>
      <rPr>
        <sz val="9"/>
        <rFont val="Noto Sans CJK SC"/>
        <family val="2"/>
      </rPr>
      <t xml:space="preserve">統括責任者（</t>
    </r>
    <r>
      <rPr>
        <sz val="9"/>
        <rFont val="Yu Gothic"/>
        <family val="0"/>
        <charset val="1"/>
      </rPr>
      <t xml:space="preserve">CAIO/AI</t>
    </r>
    <r>
      <rPr>
        <sz val="9"/>
        <rFont val="Noto Sans CJK SC"/>
        <family val="2"/>
      </rPr>
      <t xml:space="preserve">セキュリティ責任者）の任命により、経営として説明可能な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</si>
  <si>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Yu Gothic"/>
        <family val="0"/>
        <charset val="1"/>
      </rPr>
      <t xml:space="preserve">AI</t>
    </r>
    <r>
      <rPr>
        <sz val="9"/>
        <rFont val="Noto Sans CJK SC"/>
        <family val="2"/>
      </rPr>
      <t xml:space="preserve">脅威の進展速度に見合うセキュリティ投資（人員・ツール・訓練）を経営レベルで確保し、毎年見直す。</t>
    </r>
  </si>
  <si>
    <r>
      <rPr>
        <sz val="9"/>
        <rFont val="Yu Gothic"/>
        <family val="0"/>
        <charset val="1"/>
      </rPr>
      <t xml:space="preserve">Five Eyes</t>
    </r>
    <r>
      <rPr>
        <sz val="9"/>
        <rFont val="Noto Sans CJK SC"/>
        <family val="2"/>
      </rPr>
      <t xml:space="preserve">声明</t>
    </r>
    <r>
      <rPr>
        <sz val="9"/>
        <rFont val="Yu Gothic"/>
        <family val="0"/>
        <charset val="1"/>
      </rPr>
      <t xml:space="preserve">, NIST AI RMF, CSA AICM</t>
    </r>
  </si>
  <si>
    <r>
      <rPr>
        <sz val="9"/>
        <rFont val="Yu Gothic"/>
        <family val="0"/>
        <charset val="1"/>
      </rPr>
      <t xml:space="preserve">AI</t>
    </r>
    <r>
      <rPr>
        <sz val="9"/>
        <rFont val="Noto Sans CJK SC"/>
        <family val="2"/>
      </rPr>
      <t xml:space="preserve">セキュリティ予算・リソースの確保により、経営として説明可能な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</si>
  <si>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Noto Sans CJK SC"/>
        <family val="2"/>
      </rPr>
      <t xml:space="preserve">企画・開発・評価・運用・廃棄の各フェーズにおける実行責任・説明責任・協業・報告先を</t>
    </r>
    <r>
      <rPr>
        <sz val="9"/>
        <rFont val="Yu Gothic"/>
        <family val="0"/>
        <charset val="1"/>
      </rPr>
      <t xml:space="preserve">RACI</t>
    </r>
    <r>
      <rPr>
        <sz val="9"/>
        <rFont val="Noto Sans CJK SC"/>
        <family val="2"/>
      </rPr>
      <t xml:space="preserve">として文書化する。</t>
    </r>
  </si>
  <si>
    <r>
      <rPr>
        <sz val="9"/>
        <rFont val="Yu Gothic"/>
        <family val="0"/>
        <charset val="1"/>
      </rPr>
      <t xml:space="preserve">ISO 42001, NIST AI RMF, ASD</t>
    </r>
    <r>
      <rPr>
        <sz val="9"/>
        <rFont val="Noto Sans CJK SC"/>
        <family val="2"/>
      </rPr>
      <t xml:space="preserve">エージェント</t>
    </r>
    <r>
      <rPr>
        <sz val="9"/>
        <rFont val="Yu Gothic"/>
        <family val="0"/>
        <charset val="1"/>
      </rPr>
      <t xml:space="preserve">AI</t>
    </r>
  </si>
  <si>
    <r>
      <rPr>
        <sz val="9"/>
        <rFont val="Yu Gothic"/>
        <family val="0"/>
        <charset val="1"/>
      </rPr>
      <t xml:space="preserve">AI</t>
    </r>
    <r>
      <rPr>
        <sz val="9"/>
        <rFont val="Noto Sans CJK SC"/>
        <family val="2"/>
      </rPr>
      <t xml:space="preserve">ライフサイクル全体の</t>
    </r>
    <r>
      <rPr>
        <sz val="9"/>
        <rFont val="Yu Gothic"/>
        <family val="0"/>
        <charset val="1"/>
      </rPr>
      <t xml:space="preserve">RACI</t>
    </r>
    <r>
      <rPr>
        <sz val="9"/>
        <rFont val="Noto Sans CJK SC"/>
        <family val="2"/>
      </rPr>
      <t xml:space="preserve">定義により、経営として説明可能な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</si>
  <si>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Noto Sans CJK SC"/>
        <family val="2"/>
      </rPr>
      <t xml:space="preserve">セキュリティ審査と</t>
    </r>
    <r>
      <rPr>
        <sz val="9"/>
        <rFont val="Yu Gothic"/>
        <family val="0"/>
        <charset val="1"/>
      </rPr>
      <t xml:space="preserve">AI</t>
    </r>
    <r>
      <rPr>
        <sz val="9"/>
        <rFont val="Noto Sans CJK SC"/>
        <family val="2"/>
      </rPr>
      <t xml:space="preserve">倫理・責任ある</t>
    </r>
    <r>
      <rPr>
        <sz val="9"/>
        <rFont val="Yu Gothic"/>
        <family val="0"/>
        <charset val="1"/>
      </rPr>
      <t xml:space="preserve">AI</t>
    </r>
    <r>
      <rPr>
        <sz val="9"/>
        <rFont val="Noto Sans CJK SC"/>
        <family val="2"/>
      </rPr>
      <t xml:space="preserve">審査の役割分担と連携手順を定義し、二重審査の漏れと重複を防ぐ。</t>
    </r>
  </si>
  <si>
    <r>
      <rPr>
        <sz val="9"/>
        <rFont val="Yu Gothic"/>
        <family val="0"/>
        <charset val="1"/>
      </rPr>
      <t xml:space="preserve">AI</t>
    </r>
    <r>
      <rPr>
        <sz val="9"/>
        <rFont val="Noto Sans CJK SC"/>
        <family val="2"/>
      </rPr>
      <t xml:space="preserve">事業者</t>
    </r>
    <r>
      <rPr>
        <sz val="9"/>
        <rFont val="Yu Gothic"/>
        <family val="0"/>
        <charset val="1"/>
      </rPr>
      <t xml:space="preserve">GL, ISO 42001, NIST AI RMF</t>
    </r>
  </si>
  <si>
    <r>
      <rPr>
        <sz val="9"/>
        <rFont val="Yu Gothic"/>
        <family val="0"/>
        <charset val="1"/>
      </rPr>
      <t xml:space="preserve">AI</t>
    </r>
    <r>
      <rPr>
        <sz val="9"/>
        <rFont val="Noto Sans CJK SC"/>
        <family val="2"/>
      </rPr>
      <t xml:space="preserve">倫理審査との連携プロセスにより、経営として説明可能な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</si>
  <si>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Yu Gothic"/>
        <family val="0"/>
        <charset val="1"/>
      </rPr>
      <t xml:space="preserve">AI</t>
    </r>
    <r>
      <rPr>
        <sz val="9"/>
        <rFont val="Noto Sans CJK SC"/>
        <family val="2"/>
      </rPr>
      <t xml:space="preserve">利用方針・開発方針・調達方針・データ利用方針を階層的な規程体系として整備し、相互参照と版管理を行う。</t>
    </r>
  </si>
  <si>
    <r>
      <rPr>
        <sz val="9"/>
        <rFont val="Yu Gothic"/>
        <family val="0"/>
        <charset val="1"/>
      </rPr>
      <t xml:space="preserve">AI</t>
    </r>
    <r>
      <rPr>
        <sz val="9"/>
        <rFont val="Noto Sans CJK SC"/>
        <family val="2"/>
      </rPr>
      <t xml:space="preserve">方針・規程体系に関するリスクを低減し、</t>
    </r>
    <r>
      <rPr>
        <sz val="9"/>
        <rFont val="Yu Gothic"/>
        <family val="0"/>
        <charset val="1"/>
      </rPr>
      <t xml:space="preserve">AIMF GV</t>
    </r>
    <r>
      <rPr>
        <sz val="9"/>
        <rFont val="Noto Sans CJK SC"/>
        <family val="2"/>
      </rPr>
      <t xml:space="preserve">区分（</t>
    </r>
    <r>
      <rPr>
        <sz val="9"/>
        <rFont val="Yu Gothic"/>
        <family val="0"/>
        <charset val="1"/>
      </rPr>
      <t xml:space="preserve">POL</t>
    </r>
    <r>
      <rPr>
        <sz val="9"/>
        <rFont val="Noto Sans CJK SC"/>
        <family val="2"/>
      </rPr>
      <t xml:space="preserve">カテゴリ）の要求に対応する。</t>
    </r>
  </si>
  <si>
    <t xml:space="preserve">ISO 42001, NIST AI RMF, SANS AIMM</t>
  </si>
  <si>
    <r>
      <rPr>
        <sz val="9"/>
        <rFont val="Yu Gothic"/>
        <family val="0"/>
        <charset val="1"/>
      </rPr>
      <t xml:space="preserve">AI</t>
    </r>
    <r>
      <rPr>
        <sz val="9"/>
        <rFont val="Noto Sans CJK SC"/>
        <family val="2"/>
      </rPr>
      <t xml:space="preserve">ポリシースイートの体系化により、経営として説明可能な</t>
    </r>
    <r>
      <rPr>
        <sz val="9"/>
        <rFont val="Yu Gothic"/>
        <family val="0"/>
        <charset val="1"/>
      </rPr>
      <t xml:space="preserve">AI</t>
    </r>
    <r>
      <rPr>
        <sz val="9"/>
        <rFont val="Noto Sans CJK SC"/>
        <family val="2"/>
      </rPr>
      <t xml:space="preserve">ガバナンス体制を示せる状態になります。</t>
    </r>
  </si>
  <si>
    <t xml:space="preserve">機密情報・個人情報の入力制限、プロンプトの取扱い、出力の業務利用条件を利用者向け細則として定める。</t>
  </si>
  <si>
    <t xml:space="preserve">中</t>
  </si>
  <si>
    <r>
      <rPr>
        <sz val="9"/>
        <rFont val="Noto Sans CJK SC"/>
        <family val="2"/>
      </rPr>
      <t xml:space="preserve">デジタル庁</t>
    </r>
    <r>
      <rPr>
        <sz val="9"/>
        <rFont val="Yu Gothic"/>
        <family val="0"/>
        <charset val="1"/>
      </rPr>
      <t xml:space="preserve">GL, AI</t>
    </r>
    <r>
      <rPr>
        <sz val="9"/>
        <rFont val="Noto Sans CJK SC"/>
        <family val="2"/>
      </rPr>
      <t xml:space="preserve">事業者</t>
    </r>
    <r>
      <rPr>
        <sz val="9"/>
        <rFont val="Yu Gothic"/>
        <family val="0"/>
        <charset val="1"/>
      </rPr>
      <t xml:space="preserve">GL,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t>
    </r>
  </si>
  <si>
    <t xml:space="preserve">中期</t>
  </si>
  <si>
    <r>
      <rPr>
        <sz val="9"/>
        <rFont val="Noto Sans CJK SC"/>
        <family val="2"/>
      </rPr>
      <t xml:space="preserve">生成</t>
    </r>
    <r>
      <rPr>
        <sz val="9"/>
        <rFont val="Yu Gothic"/>
        <family val="0"/>
        <charset val="1"/>
      </rPr>
      <t xml:space="preserve">AI</t>
    </r>
    <r>
      <rPr>
        <sz val="9"/>
        <rFont val="Noto Sans CJK SC"/>
        <family val="2"/>
      </rPr>
      <t xml:space="preserve">利用細則（入力禁止情報・プロンプト取扱規程）により、経営として説明可能な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</si>
  <si>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Noto Sans CJK SC"/>
        <family val="2"/>
      </rPr>
      <t xml:space="preserve">利用を許可する</t>
    </r>
    <r>
      <rPr>
        <sz val="9"/>
        <rFont val="Yu Gothic"/>
        <family val="0"/>
        <charset val="1"/>
      </rPr>
      <t xml:space="preserve">AI</t>
    </r>
    <r>
      <rPr>
        <sz val="9"/>
        <rFont val="Noto Sans CJK SC"/>
        <family val="2"/>
      </rPr>
      <t xml:space="preserve">サービス・モデルのカタログを維持し、カタログ外利用の例外承認・期限付き許可プロセスを運用する。</t>
    </r>
  </si>
  <si>
    <r>
      <rPr>
        <sz val="9"/>
        <rFont val="Yu Gothic"/>
        <family val="0"/>
        <charset val="1"/>
      </rPr>
      <t xml:space="preserve">CIS v8.1, NIST AI RMF, </t>
    </r>
    <r>
      <rPr>
        <sz val="9"/>
        <rFont val="Noto Sans CJK SC"/>
        <family val="2"/>
      </rPr>
      <t xml:space="preserve">デジタル庁</t>
    </r>
    <r>
      <rPr>
        <sz val="9"/>
        <rFont val="Yu Gothic"/>
        <family val="0"/>
        <charset val="1"/>
      </rPr>
      <t xml:space="preserve">GL</t>
    </r>
  </si>
  <si>
    <r>
      <rPr>
        <sz val="9"/>
        <rFont val="Noto Sans CJK SC"/>
        <family val="2"/>
      </rPr>
      <t xml:space="preserve">承認済み</t>
    </r>
    <r>
      <rPr>
        <sz val="9"/>
        <rFont val="Yu Gothic"/>
        <family val="0"/>
        <charset val="1"/>
      </rPr>
      <t xml:space="preserve">AI</t>
    </r>
    <r>
      <rPr>
        <sz val="9"/>
        <rFont val="Noto Sans CJK SC"/>
        <family val="2"/>
      </rPr>
      <t xml:space="preserve">サービスカタログと例外管理により、経営として説明可能な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</si>
  <si>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Noto Sans CJK SC"/>
        <family val="2"/>
      </rPr>
      <t xml:space="preserve">外部</t>
    </r>
    <r>
      <rPr>
        <sz val="9"/>
        <rFont val="Yu Gothic"/>
        <family val="0"/>
        <charset val="1"/>
      </rPr>
      <t xml:space="preserve">AI</t>
    </r>
    <r>
      <rPr>
        <sz val="9"/>
        <rFont val="Noto Sans CJK SC"/>
        <family val="2"/>
      </rPr>
      <t xml:space="preserve">サービスの利用規約（商用利用条件・出力の権利・レート制限）の遵守状況を管理し、規約変更を追跡する。</t>
    </r>
  </si>
  <si>
    <r>
      <rPr>
        <sz val="9"/>
        <rFont val="Yu Gothic"/>
        <family val="0"/>
        <charset val="1"/>
      </rPr>
      <t xml:space="preserve">AI</t>
    </r>
    <r>
      <rPr>
        <sz val="9"/>
        <rFont val="Noto Sans CJK SC"/>
        <family val="2"/>
      </rPr>
      <t xml:space="preserve">事業者</t>
    </r>
    <r>
      <rPr>
        <sz val="9"/>
        <rFont val="Yu Gothic"/>
        <family val="0"/>
        <charset val="1"/>
      </rPr>
      <t xml:space="preserve">GL, ISO 42001</t>
    </r>
  </si>
  <si>
    <r>
      <rPr>
        <sz val="9"/>
        <rFont val="Yu Gothic"/>
        <family val="0"/>
        <charset val="1"/>
      </rPr>
      <t xml:space="preserve">AI</t>
    </r>
    <r>
      <rPr>
        <sz val="9"/>
        <rFont val="Noto Sans CJK SC"/>
        <family val="2"/>
      </rPr>
      <t xml:space="preserve">サービス利用規約・提供条件の遵守管理により、経営として説明可能な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</si>
  <si>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Noto Sans CJK SC"/>
        <family val="2"/>
      </rPr>
      <t xml:space="preserve">エージェント・マルチエージェント等の技術進化を踏まえ、</t>
    </r>
    <r>
      <rPr>
        <sz val="9"/>
        <rFont val="Yu Gothic"/>
        <family val="0"/>
        <charset val="1"/>
      </rPr>
      <t xml:space="preserve">AI</t>
    </r>
    <r>
      <rPr>
        <sz val="9"/>
        <rFont val="Noto Sans CJK SC"/>
        <family val="2"/>
      </rPr>
      <t xml:space="preserve">ポリシー群を少なくとも年次および重大変化時に見直す。</t>
    </r>
  </si>
  <si>
    <r>
      <rPr>
        <sz val="9"/>
        <rFont val="Yu Gothic"/>
        <family val="0"/>
        <charset val="1"/>
      </rPr>
      <t xml:space="preserve">ISO 42001, NIST AI RMF, Five Eyes</t>
    </r>
    <r>
      <rPr>
        <sz val="9"/>
        <rFont val="Noto Sans CJK SC"/>
        <family val="2"/>
      </rPr>
      <t xml:space="preserve">声明</t>
    </r>
  </si>
  <si>
    <r>
      <rPr>
        <sz val="9"/>
        <rFont val="Noto Sans CJK SC"/>
        <family val="2"/>
      </rPr>
      <t xml:space="preserve">ポリシーの技術進化への追随レビューにより、経営として説明可能な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</si>
  <si>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Noto Sans CJK SC"/>
        <family val="2"/>
      </rPr>
      <t xml:space="preserve">リスク基準（受容可能なリスクレベル）、</t>
    </r>
    <r>
      <rPr>
        <sz val="9"/>
        <rFont val="Yu Gothic"/>
        <family val="0"/>
        <charset val="1"/>
      </rPr>
      <t xml:space="preserve">AI</t>
    </r>
    <r>
      <rPr>
        <sz val="9"/>
        <rFont val="Noto Sans CJK SC"/>
        <family val="2"/>
      </rPr>
      <t xml:space="preserve">リスク登録簿、リスク対応（回避・低減・移転・受容）の判断プロセスを文書化し、</t>
    </r>
    <r>
      <rPr>
        <sz val="9"/>
        <rFont val="Yu Gothic"/>
        <family val="0"/>
        <charset val="1"/>
      </rPr>
      <t xml:space="preserve">AI</t>
    </r>
    <r>
      <rPr>
        <sz val="9"/>
        <rFont val="Noto Sans CJK SC"/>
        <family val="2"/>
      </rPr>
      <t xml:space="preserve">ライフサイクル全体で反復的に運用する。</t>
    </r>
  </si>
  <si>
    <r>
      <rPr>
        <sz val="9"/>
        <rFont val="Yu Gothic"/>
        <family val="0"/>
        <charset val="1"/>
      </rPr>
      <t xml:space="preserve">AI</t>
    </r>
    <r>
      <rPr>
        <sz val="9"/>
        <rFont val="Noto Sans CJK SC"/>
        <family val="2"/>
      </rPr>
      <t xml:space="preserve">リスクマネジメントに関するリスクを低減し、</t>
    </r>
    <r>
      <rPr>
        <sz val="9"/>
        <rFont val="Yu Gothic"/>
        <family val="0"/>
        <charset val="1"/>
      </rPr>
      <t xml:space="preserve">AIMF GV</t>
    </r>
    <r>
      <rPr>
        <sz val="9"/>
        <rFont val="Noto Sans CJK SC"/>
        <family val="2"/>
      </rPr>
      <t xml:space="preserve">区分（</t>
    </r>
    <r>
      <rPr>
        <sz val="9"/>
        <rFont val="Yu Gothic"/>
        <family val="0"/>
        <charset val="1"/>
      </rPr>
      <t xml:space="preserve">RSM</t>
    </r>
    <r>
      <rPr>
        <sz val="9"/>
        <rFont val="Noto Sans CJK SC"/>
        <family val="2"/>
      </rPr>
      <t xml:space="preserve">カテゴリ）の要求に対応する。</t>
    </r>
  </si>
  <si>
    <r>
      <rPr>
        <sz val="9"/>
        <rFont val="Yu Gothic"/>
        <family val="0"/>
        <charset val="1"/>
      </rPr>
      <t xml:space="preserve">NIST AI RMF, ISO 42001, EU AI Act, AI</t>
    </r>
    <r>
      <rPr>
        <sz val="9"/>
        <rFont val="Noto Sans CJK SC"/>
        <family val="2"/>
      </rPr>
      <t xml:space="preserve">事業者</t>
    </r>
    <r>
      <rPr>
        <sz val="9"/>
        <rFont val="Yu Gothic"/>
        <family val="0"/>
        <charset val="1"/>
      </rPr>
      <t xml:space="preserve">GL, CSA AICM</t>
    </r>
  </si>
  <si>
    <r>
      <rPr>
        <sz val="9"/>
        <rFont val="Yu Gothic"/>
        <family val="0"/>
        <charset val="1"/>
      </rPr>
      <t xml:space="preserve">AI</t>
    </r>
    <r>
      <rPr>
        <sz val="9"/>
        <rFont val="Noto Sans CJK SC"/>
        <family val="2"/>
      </rPr>
      <t xml:space="preserve">リスクマネジメントプロセスの体系化により、経営として説明可能な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</si>
  <si>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Noto Sans CJK SC"/>
        <family val="2"/>
      </rPr>
      <t xml:space="preserve">個人・社会への影響（安全性、基本的権利、プライバシー）を評価する</t>
    </r>
    <r>
      <rPr>
        <sz val="9"/>
        <rFont val="Yu Gothic"/>
        <family val="0"/>
        <charset val="1"/>
      </rPr>
      <t xml:space="preserve">AI</t>
    </r>
    <r>
      <rPr>
        <sz val="9"/>
        <rFont val="Noto Sans CJK SC"/>
        <family val="2"/>
      </rPr>
      <t xml:space="preserve">システム影響評価を、高影響ユースケースの企画段階で実施し文書化する。</t>
    </r>
  </si>
  <si>
    <r>
      <rPr>
        <sz val="9"/>
        <rFont val="Yu Gothic"/>
        <family val="0"/>
        <charset val="1"/>
      </rPr>
      <t xml:space="preserve">ISO 42001, NIST AI RMF, EU AI Act, AI</t>
    </r>
    <r>
      <rPr>
        <sz val="9"/>
        <rFont val="Noto Sans CJK SC"/>
        <family val="2"/>
      </rPr>
      <t xml:space="preserve">事業者</t>
    </r>
    <r>
      <rPr>
        <sz val="9"/>
        <rFont val="Yu Gothic"/>
        <family val="0"/>
        <charset val="1"/>
      </rPr>
      <t xml:space="preserve">GL</t>
    </r>
  </si>
  <si>
    <r>
      <rPr>
        <sz val="9"/>
        <rFont val="Yu Gothic"/>
        <family val="0"/>
        <charset val="1"/>
      </rPr>
      <t xml:space="preserve">AI</t>
    </r>
    <r>
      <rPr>
        <sz val="9"/>
        <rFont val="Noto Sans CJK SC"/>
        <family val="2"/>
      </rPr>
      <t xml:space="preserve">システム影響評価（</t>
    </r>
    <r>
      <rPr>
        <sz val="9"/>
        <rFont val="Yu Gothic"/>
        <family val="0"/>
        <charset val="1"/>
      </rPr>
      <t xml:space="preserve">AIIA</t>
    </r>
    <r>
      <rPr>
        <sz val="9"/>
        <rFont val="Noto Sans CJK SC"/>
        <family val="2"/>
      </rPr>
      <t xml:space="preserve">）の実施により、経営として説明可能な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</si>
  <si>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Noto Sans CJK SC"/>
        <family val="2"/>
      </rPr>
      <t xml:space="preserve">ユースケースごとにリスク区分（</t>
    </r>
    <r>
      <rPr>
        <sz val="9"/>
        <rFont val="Yu Gothic"/>
        <family val="0"/>
        <charset val="1"/>
      </rPr>
      <t xml:space="preserve">EU AI Act</t>
    </r>
    <r>
      <rPr>
        <sz val="9"/>
        <rFont val="Noto Sans CJK SC"/>
        <family val="2"/>
      </rPr>
      <t xml:space="preserve">の禁止・高リスク・限定リスク・最小リスク等）を判定し、区分に応じた管理策の適用レベルを決定する。</t>
    </r>
  </si>
  <si>
    <r>
      <rPr>
        <sz val="9"/>
        <rFont val="Yu Gothic"/>
        <family val="0"/>
        <charset val="1"/>
      </rPr>
      <t xml:space="preserve">EU AI Act, NIST AI RMF, AI</t>
    </r>
    <r>
      <rPr>
        <sz val="9"/>
        <rFont val="Noto Sans CJK SC"/>
        <family val="2"/>
      </rPr>
      <t xml:space="preserve">事業者</t>
    </r>
    <r>
      <rPr>
        <sz val="9"/>
        <rFont val="Yu Gothic"/>
        <family val="0"/>
        <charset val="1"/>
      </rPr>
      <t xml:space="preserve">GL</t>
    </r>
  </si>
  <si>
    <r>
      <rPr>
        <sz val="9"/>
        <rFont val="Yu Gothic"/>
        <family val="0"/>
        <charset val="1"/>
      </rPr>
      <t xml:space="preserve">AI</t>
    </r>
    <r>
      <rPr>
        <sz val="9"/>
        <rFont val="Noto Sans CJK SC"/>
        <family val="2"/>
      </rPr>
      <t xml:space="preserve">システムのリスク分類・階層化により、経営として説明可能な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</si>
  <si>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Noto Sans CJK SC"/>
        <family val="2"/>
      </rPr>
      <t xml:space="preserve">特定した</t>
    </r>
    <r>
      <rPr>
        <sz val="9"/>
        <rFont val="Yu Gothic"/>
        <family val="0"/>
        <charset val="1"/>
      </rPr>
      <t xml:space="preserve">AI</t>
    </r>
    <r>
      <rPr>
        <sz val="9"/>
        <rFont val="Noto Sans CJK SC"/>
        <family val="2"/>
      </rPr>
      <t xml:space="preserve">リスクを登録簿として一元管理し、リスクオーナー・対応状況・再評価期限を追跡する。</t>
    </r>
  </si>
  <si>
    <t xml:space="preserve">ISO 23894, ISO 42001, NIST AI RMF</t>
  </si>
  <si>
    <r>
      <rPr>
        <sz val="9"/>
        <rFont val="Yu Gothic"/>
        <family val="0"/>
        <charset val="1"/>
      </rPr>
      <t xml:space="preserve">AI</t>
    </r>
    <r>
      <rPr>
        <sz val="9"/>
        <rFont val="Noto Sans CJK SC"/>
        <family val="2"/>
      </rPr>
      <t xml:space="preserve">リスク登録簿の整備・維持により、経営として説明可能な</t>
    </r>
    <r>
      <rPr>
        <sz val="9"/>
        <rFont val="Yu Gothic"/>
        <family val="0"/>
        <charset val="1"/>
      </rPr>
      <t xml:space="preserve">AI</t>
    </r>
    <r>
      <rPr>
        <sz val="9"/>
        <rFont val="Noto Sans CJK SC"/>
        <family val="2"/>
      </rPr>
      <t xml:space="preserve">ガバナンス体制を示せる状態になります。</t>
    </r>
  </si>
  <si>
    <t xml:space="preserve">リスク受容基準を定義し、残存リスクの受容判断を権限者による文書化された承認として運用する。</t>
  </si>
  <si>
    <t xml:space="preserve">ISO 23894, EU AI Act, ISO 42001</t>
  </si>
  <si>
    <r>
      <rPr>
        <sz val="9"/>
        <rFont val="Noto Sans CJK SC"/>
        <family val="2"/>
      </rPr>
      <t xml:space="preserve">リスク受容基準と残存リスクの承認により、経営として説明可能な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</si>
  <si>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Yu Gothic"/>
        <family val="0"/>
        <charset val="1"/>
      </rPr>
      <t xml:space="preserve">MITRE ATLAS</t>
    </r>
    <r>
      <rPr>
        <sz val="9"/>
        <rFont val="Noto Sans CJK SC"/>
        <family val="2"/>
      </rPr>
      <t xml:space="preserve">の</t>
    </r>
    <r>
      <rPr>
        <sz val="9"/>
        <rFont val="Yu Gothic"/>
        <family val="0"/>
        <charset val="1"/>
      </rPr>
      <t xml:space="preserve">TTP</t>
    </r>
    <r>
      <rPr>
        <sz val="9"/>
        <rFont val="Noto Sans CJK SC"/>
        <family val="2"/>
      </rPr>
      <t xml:space="preserve">と</t>
    </r>
    <r>
      <rPr>
        <sz val="9"/>
        <rFont val="Yu Gothic"/>
        <family val="0"/>
        <charset val="1"/>
      </rPr>
      <t xml:space="preserve">ENISA</t>
    </r>
    <r>
      <rPr>
        <sz val="9"/>
        <rFont val="Noto Sans CJK SC"/>
        <family val="2"/>
      </rPr>
      <t xml:space="preserve">脅威ランドスケープを用いて、脅威主導（</t>
    </r>
    <r>
      <rPr>
        <sz val="9"/>
        <rFont val="Yu Gothic"/>
        <family val="0"/>
        <charset val="1"/>
      </rPr>
      <t xml:space="preserve">threat-informed</t>
    </r>
    <r>
      <rPr>
        <sz val="9"/>
        <rFont val="Noto Sans CJK SC"/>
        <family val="2"/>
      </rPr>
      <t xml:space="preserve">）のリスク評価を実施する。</t>
    </r>
  </si>
  <si>
    <t xml:space="preserve">MITRE ATLAS, ENISA, NIST AI RMF</t>
  </si>
  <si>
    <r>
      <rPr>
        <sz val="9"/>
        <rFont val="Noto Sans CJK SC"/>
        <family val="2"/>
      </rPr>
      <t xml:space="preserve">脅威情報に基づく</t>
    </r>
    <r>
      <rPr>
        <sz val="9"/>
        <rFont val="Yu Gothic"/>
        <family val="0"/>
        <charset val="1"/>
      </rPr>
      <t xml:space="preserve">AI</t>
    </r>
    <r>
      <rPr>
        <sz val="9"/>
        <rFont val="Noto Sans CJK SC"/>
        <family val="2"/>
      </rPr>
      <t xml:space="preserve">リスク評価により、経営として説明可能な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</si>
  <si>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Noto Sans CJK SC"/>
        <family val="2"/>
      </rPr>
      <t xml:space="preserve">エージェント</t>
    </r>
    <r>
      <rPr>
        <sz val="9"/>
        <rFont val="Yu Gothic"/>
        <family val="0"/>
        <charset val="1"/>
      </rPr>
      <t xml:space="preserve">AI</t>
    </r>
    <r>
      <rPr>
        <sz val="9"/>
        <rFont val="Noto Sans CJK SC"/>
        <family val="2"/>
      </rPr>
      <t xml:space="preserve">は低リスク・非機微業務から段階的に導入する原則を定め、広範・無制限なアクセス付与を導入判断の段階で禁止する。</t>
    </r>
  </si>
  <si>
    <r>
      <rPr>
        <sz val="9"/>
        <rFont val="Yu Gothic"/>
        <family val="0"/>
        <charset val="1"/>
      </rPr>
      <t xml:space="preserve">ASD</t>
    </r>
    <r>
      <rPr>
        <sz val="9"/>
        <rFont val="Noto Sans CJK SC"/>
        <family val="2"/>
      </rPr>
      <t xml:space="preserve">エージェント</t>
    </r>
    <r>
      <rPr>
        <sz val="9"/>
        <rFont val="Yu Gothic"/>
        <family val="0"/>
        <charset val="1"/>
      </rPr>
      <t xml:space="preserve">AI, OWASP ASI10, NIST AI RMF</t>
    </r>
  </si>
  <si>
    <r>
      <rPr>
        <sz val="9"/>
        <rFont val="Noto Sans CJK SC"/>
        <family val="2"/>
      </rPr>
      <t xml:space="preserve">エージェント</t>
    </r>
    <r>
      <rPr>
        <sz val="9"/>
        <rFont val="Yu Gothic"/>
        <family val="0"/>
        <charset val="1"/>
      </rPr>
      <t xml:space="preserve">AI</t>
    </r>
    <r>
      <rPr>
        <sz val="9"/>
        <rFont val="Noto Sans CJK SC"/>
        <family val="2"/>
      </rPr>
      <t xml:space="preserve">導入前の限定リスク評価により、経営として説明可能な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</si>
  <si>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Yu Gothic"/>
        <family val="0"/>
        <charset val="1"/>
      </rPr>
      <t xml:space="preserve">AI</t>
    </r>
    <r>
      <rPr>
        <sz val="9"/>
        <rFont val="Noto Sans CJK SC"/>
        <family val="2"/>
      </rPr>
      <t xml:space="preserve">リスクの主要リスク指標（</t>
    </r>
    <r>
      <rPr>
        <sz val="9"/>
        <rFont val="Yu Gothic"/>
        <family val="0"/>
        <charset val="1"/>
      </rPr>
      <t xml:space="preserve">KRI</t>
    </r>
    <r>
      <rPr>
        <sz val="9"/>
        <rFont val="Noto Sans CJK SC"/>
        <family val="2"/>
      </rPr>
      <t xml:space="preserve">）と閾値超過時のエスカレーション先・期限を定義し、経営報告に組み込む。</t>
    </r>
  </si>
  <si>
    <r>
      <rPr>
        <sz val="9"/>
        <rFont val="Yu Gothic"/>
        <family val="0"/>
        <charset val="1"/>
      </rPr>
      <t xml:space="preserve">NIST AI RMF, ISO 42001, Five Eyes</t>
    </r>
    <r>
      <rPr>
        <sz val="9"/>
        <rFont val="Noto Sans CJK SC"/>
        <family val="2"/>
      </rPr>
      <t xml:space="preserve">声明</t>
    </r>
  </si>
  <si>
    <r>
      <rPr>
        <sz val="9"/>
        <rFont val="Yu Gothic"/>
        <family val="0"/>
        <charset val="1"/>
      </rPr>
      <t xml:space="preserve">AI</t>
    </r>
    <r>
      <rPr>
        <sz val="9"/>
        <rFont val="Noto Sans CJK SC"/>
        <family val="2"/>
      </rPr>
      <t xml:space="preserve">リスク</t>
    </r>
    <r>
      <rPr>
        <sz val="9"/>
        <rFont val="Yu Gothic"/>
        <family val="0"/>
        <charset val="1"/>
      </rPr>
      <t xml:space="preserve">KRI</t>
    </r>
    <r>
      <rPr>
        <sz val="9"/>
        <rFont val="Noto Sans CJK SC"/>
        <family val="2"/>
      </rPr>
      <t xml:space="preserve">とエスカレーション閾値により、経営として説明可能な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</si>
  <si>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Yu Gothic"/>
        <family val="0"/>
        <charset val="1"/>
      </rPr>
      <t xml:space="preserve">EU AI Act</t>
    </r>
    <r>
      <rPr>
        <sz val="9"/>
        <rFont val="Noto Sans CJK SC"/>
        <family val="2"/>
      </rPr>
      <t xml:space="preserve">等の</t>
    </r>
    <r>
      <rPr>
        <sz val="9"/>
        <rFont val="Yu Gothic"/>
        <family val="0"/>
        <charset val="1"/>
      </rPr>
      <t xml:space="preserve">AI</t>
    </r>
    <r>
      <rPr>
        <sz val="9"/>
        <rFont val="Noto Sans CJK SC"/>
        <family val="2"/>
      </rPr>
      <t xml:space="preserve">関連法規制、業界標準、個人情報保護法・</t>
    </r>
    <r>
      <rPr>
        <sz val="9"/>
        <rFont val="Yu Gothic"/>
        <family val="0"/>
        <charset val="1"/>
      </rPr>
      <t xml:space="preserve">PIA</t>
    </r>
    <r>
      <rPr>
        <sz val="9"/>
        <rFont val="Noto Sans CJK SC"/>
        <family val="2"/>
      </rPr>
      <t xml:space="preserve">への遵守状況を定期確認し、体制と対策をアップデートする。</t>
    </r>
  </si>
  <si>
    <r>
      <rPr>
        <sz val="9"/>
        <rFont val="Noto Sans CJK SC"/>
        <family val="2"/>
      </rPr>
      <t xml:space="preserve">法規制・コンプライアンスに関するリスクを低減し、</t>
    </r>
    <r>
      <rPr>
        <sz val="9"/>
        <rFont val="Yu Gothic"/>
        <family val="0"/>
        <charset val="1"/>
      </rPr>
      <t xml:space="preserve">AIMF GV</t>
    </r>
    <r>
      <rPr>
        <sz val="9"/>
        <rFont val="Noto Sans CJK SC"/>
        <family val="2"/>
      </rPr>
      <t xml:space="preserve">区分（</t>
    </r>
    <r>
      <rPr>
        <sz val="9"/>
        <rFont val="Yu Gothic"/>
        <family val="0"/>
        <charset val="1"/>
      </rPr>
      <t xml:space="preserve">LGL</t>
    </r>
    <r>
      <rPr>
        <sz val="9"/>
        <rFont val="Noto Sans CJK SC"/>
        <family val="2"/>
      </rPr>
      <t xml:space="preserve">カテゴリ）の要求に対応する。</t>
    </r>
  </si>
  <si>
    <r>
      <rPr>
        <sz val="9"/>
        <rFont val="Yu Gothic"/>
        <family val="0"/>
        <charset val="1"/>
      </rPr>
      <t xml:space="preserve">AI</t>
    </r>
    <r>
      <rPr>
        <sz val="9"/>
        <rFont val="Noto Sans CJK SC"/>
        <family val="2"/>
      </rPr>
      <t xml:space="preserve">事業者</t>
    </r>
    <r>
      <rPr>
        <sz val="9"/>
        <rFont val="Yu Gothic"/>
        <family val="0"/>
        <charset val="1"/>
      </rPr>
      <t xml:space="preserve">GL, NIST AI RMF, ISO 42001, EU AI Act, CSA AICM</t>
    </r>
  </si>
  <si>
    <r>
      <rPr>
        <sz val="9"/>
        <rFont val="Yu Gothic"/>
        <family val="0"/>
        <charset val="1"/>
      </rPr>
      <t xml:space="preserve">AI</t>
    </r>
    <r>
      <rPr>
        <sz val="9"/>
        <rFont val="Noto Sans CJK SC"/>
        <family val="2"/>
      </rPr>
      <t xml:space="preserve">法規制遵守の継続的確認により、経営として説明可能な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</si>
  <si>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Yu Gothic"/>
        <family val="0"/>
        <charset val="1"/>
      </rPr>
      <t xml:space="preserve">AI</t>
    </r>
    <r>
      <rPr>
        <sz val="9"/>
        <rFont val="Noto Sans CJK SC"/>
        <family val="2"/>
      </rPr>
      <t xml:space="preserve">生成物の商用利用における著作権侵害リスクを検証し、ベンダー契約でデータ非学習（</t>
    </r>
    <r>
      <rPr>
        <sz val="9"/>
        <rFont val="Yu Gothic"/>
        <family val="0"/>
        <charset val="1"/>
      </rPr>
      <t xml:space="preserve">Opt-out</t>
    </r>
    <r>
      <rPr>
        <sz val="9"/>
        <rFont val="Noto Sans CJK SC"/>
        <family val="2"/>
      </rPr>
      <t xml:space="preserve">）の法的確証を得る。</t>
    </r>
  </si>
  <si>
    <r>
      <rPr>
        <sz val="9"/>
        <rFont val="Noto Sans CJK SC"/>
        <family val="2"/>
      </rPr>
      <t xml:space="preserve">知的財産（著作権・特許）リスク評価により、経営として説明可能な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</si>
  <si>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Noto Sans CJK SC"/>
        <family val="2"/>
      </rPr>
      <t xml:space="preserve">放置ファイルが</t>
    </r>
    <r>
      <rPr>
        <sz val="9"/>
        <rFont val="Yu Gothic"/>
        <family val="0"/>
        <charset val="1"/>
      </rPr>
      <t xml:space="preserve">RAG</t>
    </r>
    <r>
      <rPr>
        <sz val="9"/>
        <rFont val="Noto Sans CJK SC"/>
        <family val="2"/>
      </rPr>
      <t xml:space="preserve">経由で発見・要約・漏洩するリスクを防ぐため、ストレージ内の不要資産の自動削除・データ最小化を厳格化する。</t>
    </r>
  </si>
  <si>
    <r>
      <rPr>
        <sz val="9"/>
        <rFont val="Yu Gothic"/>
        <family val="0"/>
        <charset val="1"/>
      </rPr>
      <t xml:space="preserve">OWASP AISVS, CSA AICM, ISO 42001,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t>
    </r>
  </si>
  <si>
    <r>
      <rPr>
        <sz val="9"/>
        <rFont val="Noto Sans CJK SC"/>
        <family val="2"/>
      </rPr>
      <t xml:space="preserve">シャドーデータの徹底的なクレンジングにより、経営として説明可能な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</si>
  <si>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Noto Sans CJK SC"/>
        <family val="2"/>
      </rPr>
      <t xml:space="preserve">自社</t>
    </r>
    <r>
      <rPr>
        <sz val="9"/>
        <rFont val="Yu Gothic"/>
        <family val="0"/>
        <charset val="1"/>
      </rPr>
      <t xml:space="preserve">AI</t>
    </r>
    <r>
      <rPr>
        <sz val="9"/>
        <rFont val="Noto Sans CJK SC"/>
        <family val="2"/>
      </rPr>
      <t xml:space="preserve">システムの役割（提供者</t>
    </r>
    <r>
      <rPr>
        <sz val="9"/>
        <rFont val="Yu Gothic"/>
        <family val="0"/>
        <charset val="1"/>
      </rPr>
      <t xml:space="preserve">/</t>
    </r>
    <r>
      <rPr>
        <sz val="9"/>
        <rFont val="Noto Sans CJK SC"/>
        <family val="2"/>
      </rPr>
      <t xml:space="preserve">利用者）とリスク区分を判定し、</t>
    </r>
    <r>
      <rPr>
        <sz val="9"/>
        <rFont val="Yu Gothic"/>
        <family val="0"/>
        <charset val="1"/>
      </rPr>
      <t xml:space="preserve">2026</t>
    </r>
    <r>
      <rPr>
        <sz val="9"/>
        <rFont val="Noto Sans CJK SC"/>
        <family val="2"/>
      </rPr>
      <t xml:space="preserve">年</t>
    </r>
    <r>
      <rPr>
        <sz val="9"/>
        <rFont val="Yu Gothic"/>
        <family val="0"/>
        <charset val="1"/>
      </rPr>
      <t xml:space="preserve">8</t>
    </r>
    <r>
      <rPr>
        <sz val="9"/>
        <rFont val="Noto Sans CJK SC"/>
        <family val="2"/>
      </rPr>
      <t xml:space="preserve">月からの高リスク</t>
    </r>
    <r>
      <rPr>
        <sz val="9"/>
        <rFont val="Yu Gothic"/>
        <family val="0"/>
        <charset val="1"/>
      </rPr>
      <t xml:space="preserve">AI</t>
    </r>
    <r>
      <rPr>
        <sz val="9"/>
        <rFont val="Noto Sans CJK SC"/>
        <family val="2"/>
      </rPr>
      <t xml:space="preserve">義務・第</t>
    </r>
    <r>
      <rPr>
        <sz val="9"/>
        <rFont val="Yu Gothic"/>
        <family val="0"/>
        <charset val="1"/>
      </rPr>
      <t xml:space="preserve">50</t>
    </r>
    <r>
      <rPr>
        <sz val="9"/>
        <rFont val="Noto Sans CJK SC"/>
        <family val="2"/>
      </rPr>
      <t xml:space="preserve">条透明性義務への対応計画を運用する。</t>
    </r>
  </si>
  <si>
    <r>
      <rPr>
        <sz val="9"/>
        <rFont val="Yu Gothic"/>
        <family val="0"/>
        <charset val="1"/>
      </rPr>
      <t xml:space="preserve">EU AI Act, AI</t>
    </r>
    <r>
      <rPr>
        <sz val="9"/>
        <rFont val="Noto Sans CJK SC"/>
        <family val="2"/>
      </rPr>
      <t xml:space="preserve">事業者</t>
    </r>
    <r>
      <rPr>
        <sz val="9"/>
        <rFont val="Yu Gothic"/>
        <family val="0"/>
        <charset val="1"/>
      </rPr>
      <t xml:space="preserve">GL</t>
    </r>
  </si>
  <si>
    <r>
      <rPr>
        <sz val="9"/>
        <rFont val="Yu Gothic"/>
        <family val="0"/>
        <charset val="1"/>
      </rPr>
      <t xml:space="preserve">EU AI Act</t>
    </r>
    <r>
      <rPr>
        <sz val="9"/>
        <rFont val="Noto Sans CJK SC"/>
        <family val="2"/>
      </rPr>
      <t xml:space="preserve">遵守プログラムにより、経営として説明可能な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</si>
  <si>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Yu Gothic"/>
        <family val="0"/>
        <charset val="1"/>
      </rPr>
      <t xml:space="preserve">AI</t>
    </r>
    <r>
      <rPr>
        <sz val="9"/>
        <rFont val="Noto Sans CJK SC"/>
        <family val="2"/>
      </rPr>
      <t xml:space="preserve">サービス利用に伴う個人データの越境移転と各国</t>
    </r>
    <r>
      <rPr>
        <sz val="9"/>
        <rFont val="Yu Gothic"/>
        <family val="0"/>
        <charset val="1"/>
      </rPr>
      <t xml:space="preserve">AI</t>
    </r>
    <r>
      <rPr>
        <sz val="9"/>
        <rFont val="Noto Sans CJK SC"/>
        <family val="2"/>
      </rPr>
      <t xml:space="preserve">規制の域外適用を評価し、契約・技術的措置を講じる。</t>
    </r>
  </si>
  <si>
    <r>
      <rPr>
        <sz val="9"/>
        <rFont val="Yu Gothic"/>
        <family val="0"/>
        <charset val="1"/>
      </rPr>
      <t xml:space="preserve">AI</t>
    </r>
    <r>
      <rPr>
        <sz val="9"/>
        <rFont val="Noto Sans CJK SC"/>
        <family val="2"/>
      </rPr>
      <t xml:space="preserve">事業者</t>
    </r>
    <r>
      <rPr>
        <sz val="9"/>
        <rFont val="Yu Gothic"/>
        <family val="0"/>
        <charset val="1"/>
      </rPr>
      <t xml:space="preserve">GL, EU AI Act, ISO 42001</t>
    </r>
  </si>
  <si>
    <r>
      <rPr>
        <sz val="9"/>
        <rFont val="Noto Sans CJK SC"/>
        <family val="2"/>
      </rPr>
      <t xml:space="preserve">越境データ移転・域外適用の評価により、経営として説明可能な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</si>
  <si>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Yu Gothic"/>
        <family val="0"/>
        <charset val="1"/>
      </rPr>
      <t xml:space="preserve">AI</t>
    </r>
    <r>
      <rPr>
        <sz val="9"/>
        <rFont val="Noto Sans CJK SC"/>
        <family val="2"/>
      </rPr>
      <t xml:space="preserve">マネジメントシステム（</t>
    </r>
    <r>
      <rPr>
        <sz val="9"/>
        <rFont val="Yu Gothic"/>
        <family val="0"/>
        <charset val="1"/>
      </rPr>
      <t xml:space="preserve">AIMS</t>
    </r>
    <r>
      <rPr>
        <sz val="9"/>
        <rFont val="Noto Sans CJK SC"/>
        <family val="2"/>
      </rPr>
      <t xml:space="preserve">）の適合性・有効性を内部監査で定期検証し、経営層によるマネジメントレビューへ報告する。</t>
    </r>
  </si>
  <si>
    <r>
      <rPr>
        <sz val="9"/>
        <rFont val="Noto Sans CJK SC"/>
        <family val="2"/>
      </rPr>
      <t xml:space="preserve">監査・保証・成熟度評価に関するリスクを低減し、</t>
    </r>
    <r>
      <rPr>
        <sz val="9"/>
        <rFont val="Yu Gothic"/>
        <family val="0"/>
        <charset val="1"/>
      </rPr>
      <t xml:space="preserve">AIMF GV</t>
    </r>
    <r>
      <rPr>
        <sz val="9"/>
        <rFont val="Noto Sans CJK SC"/>
        <family val="2"/>
      </rPr>
      <t xml:space="preserve">区分（</t>
    </r>
    <r>
      <rPr>
        <sz val="9"/>
        <rFont val="Yu Gothic"/>
        <family val="0"/>
        <charset val="1"/>
      </rPr>
      <t xml:space="preserve">AUD</t>
    </r>
    <r>
      <rPr>
        <sz val="9"/>
        <rFont val="Noto Sans CJK SC"/>
        <family val="2"/>
      </rPr>
      <t xml:space="preserve">カテゴリ）の要求に対応する。</t>
    </r>
  </si>
  <si>
    <t xml:space="preserve">ISO 42001, CSA AICM, EU AI Act</t>
  </si>
  <si>
    <r>
      <rPr>
        <sz val="9"/>
        <rFont val="Noto Sans CJK SC"/>
        <family val="2"/>
      </rPr>
      <t xml:space="preserve">内部監査・マネジメントレビューにより、経営として説明可能な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</si>
  <si>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Noto Sans CJK SC"/>
        <family val="2"/>
      </rPr>
      <t xml:space="preserve">モデル管理・ガードレール・エージェント統制を対象とする</t>
    </r>
    <r>
      <rPr>
        <sz val="9"/>
        <rFont val="Yu Gothic"/>
        <family val="0"/>
        <charset val="1"/>
      </rPr>
      <t xml:space="preserve">AI</t>
    </r>
    <r>
      <rPr>
        <sz val="9"/>
        <rFont val="Noto Sans CJK SC"/>
        <family val="2"/>
      </rPr>
      <t xml:space="preserve">固有の監査手続とチェックリストを整備し、監査計画に組み込む。</t>
    </r>
  </si>
  <si>
    <t xml:space="preserve">ISO 42001, CSA AICM</t>
  </si>
  <si>
    <r>
      <rPr>
        <sz val="9"/>
        <rFont val="Yu Gothic"/>
        <family val="0"/>
        <charset val="1"/>
      </rPr>
      <t xml:space="preserve">AI</t>
    </r>
    <r>
      <rPr>
        <sz val="9"/>
        <rFont val="Noto Sans CJK SC"/>
        <family val="2"/>
      </rPr>
      <t xml:space="preserve">固有の内部監査手続の整備により、経営として説明可能な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</si>
  <si>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Yu Gothic"/>
        <family val="0"/>
        <charset val="1"/>
      </rPr>
      <t xml:space="preserve">ISO/IEC 42001</t>
    </r>
    <r>
      <rPr>
        <sz val="9"/>
        <rFont val="Noto Sans CJK SC"/>
        <family val="2"/>
      </rPr>
      <t xml:space="preserve">認証や</t>
    </r>
    <r>
      <rPr>
        <sz val="9"/>
        <rFont val="Yu Gothic"/>
        <family val="0"/>
        <charset val="1"/>
      </rPr>
      <t xml:space="preserve">AI</t>
    </r>
    <r>
      <rPr>
        <sz val="9"/>
        <rFont val="Noto Sans CJK SC"/>
        <family val="2"/>
      </rPr>
      <t xml:space="preserve">セキュリティ第三者評価の取得を通じ、統制の有効性を外部視点で検証する。</t>
    </r>
  </si>
  <si>
    <r>
      <rPr>
        <sz val="9"/>
        <rFont val="Yu Gothic"/>
        <family val="0"/>
        <charset val="1"/>
      </rPr>
      <t xml:space="preserve">ISO 42001, SANS AIMM, AI</t>
    </r>
    <r>
      <rPr>
        <sz val="9"/>
        <rFont val="Noto Sans CJK SC"/>
        <family val="2"/>
      </rPr>
      <t xml:space="preserve">事業者</t>
    </r>
    <r>
      <rPr>
        <sz val="9"/>
        <rFont val="Yu Gothic"/>
        <family val="0"/>
        <charset val="1"/>
      </rPr>
      <t xml:space="preserve">GL</t>
    </r>
  </si>
  <si>
    <r>
      <rPr>
        <sz val="9"/>
        <rFont val="Noto Sans CJK SC"/>
        <family val="2"/>
      </rPr>
      <t xml:space="preserve">第三者認証・外部評価の取得により、経営として説明可能な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</si>
  <si>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Yu Gothic"/>
        <family val="0"/>
        <charset val="1"/>
      </rPr>
      <t xml:space="preserve">SANS AI Maturity Model</t>
    </r>
    <r>
      <rPr>
        <sz val="9"/>
        <rFont val="Noto Sans CJK SC"/>
        <family val="2"/>
      </rPr>
      <t xml:space="preserve">等を用いてガバナンス・データ・モデル開発・運用の成熟度を定期評価し、改善ロードマップへ反映する。</t>
    </r>
  </si>
  <si>
    <t xml:space="preserve">SANS AIMM, NIST AI RMF</t>
  </si>
  <si>
    <r>
      <rPr>
        <sz val="9"/>
        <rFont val="Yu Gothic"/>
        <family val="0"/>
        <charset val="1"/>
      </rPr>
      <t xml:space="preserve">AI</t>
    </r>
    <r>
      <rPr>
        <sz val="9"/>
        <rFont val="Noto Sans CJK SC"/>
        <family val="2"/>
      </rPr>
      <t xml:space="preserve">セキュリティ成熟度の定期評価により、経営として説明可能な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</si>
  <si>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Yu Gothic"/>
        <family val="0"/>
        <charset val="1"/>
      </rPr>
      <t xml:space="preserve">AI</t>
    </r>
    <r>
      <rPr>
        <sz val="9"/>
        <rFont val="Noto Sans CJK SC"/>
        <family val="2"/>
      </rPr>
      <t xml:space="preserve">との対話であることの開示、</t>
    </r>
    <r>
      <rPr>
        <sz val="9"/>
        <rFont val="Yu Gothic"/>
        <family val="0"/>
        <charset val="1"/>
      </rPr>
      <t xml:space="preserve">AI</t>
    </r>
    <r>
      <rPr>
        <sz val="9"/>
        <rFont val="Noto Sans CJK SC"/>
        <family val="2"/>
      </rPr>
      <t xml:space="preserve">生成コンテンツの表示（ラベリング）、システムの能力・限界に関する利用者向け情報提供を制度化する。</t>
    </r>
  </si>
  <si>
    <r>
      <rPr>
        <sz val="9"/>
        <rFont val="Noto Sans CJK SC"/>
        <family val="2"/>
      </rPr>
      <t xml:space="preserve">透明性・説明責任に関するリスクを低減し、</t>
    </r>
    <r>
      <rPr>
        <sz val="9"/>
        <rFont val="Yu Gothic"/>
        <family val="0"/>
        <charset val="1"/>
      </rPr>
      <t xml:space="preserve">AIMF GV</t>
    </r>
    <r>
      <rPr>
        <sz val="9"/>
        <rFont val="Noto Sans CJK SC"/>
        <family val="2"/>
      </rPr>
      <t xml:space="preserve">区分（</t>
    </r>
    <r>
      <rPr>
        <sz val="9"/>
        <rFont val="Yu Gothic"/>
        <family val="0"/>
        <charset val="1"/>
      </rPr>
      <t xml:space="preserve">TRA</t>
    </r>
    <r>
      <rPr>
        <sz val="9"/>
        <rFont val="Noto Sans CJK SC"/>
        <family val="2"/>
      </rPr>
      <t xml:space="preserve">カテゴリ）の要求に対応する。</t>
    </r>
  </si>
  <si>
    <r>
      <rPr>
        <sz val="9"/>
        <rFont val="Yu Gothic"/>
        <family val="0"/>
        <charset val="1"/>
      </rPr>
      <t xml:space="preserve">EU AI Act, AI</t>
    </r>
    <r>
      <rPr>
        <sz val="9"/>
        <rFont val="Noto Sans CJK SC"/>
        <family val="2"/>
      </rPr>
      <t xml:space="preserve">事業者</t>
    </r>
    <r>
      <rPr>
        <sz val="9"/>
        <rFont val="Yu Gothic"/>
        <family val="0"/>
        <charset val="1"/>
      </rPr>
      <t xml:space="preserve">GL, ISO 42001</t>
    </r>
  </si>
  <si>
    <r>
      <rPr>
        <sz val="9"/>
        <rFont val="Noto Sans CJK SC"/>
        <family val="2"/>
      </rPr>
      <t xml:space="preserve">透明性・利用者への情報提供により、経営として説明可能な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</si>
  <si>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Yu Gothic"/>
        <family val="0"/>
        <charset val="1"/>
      </rPr>
      <t xml:space="preserve">AI</t>
    </r>
    <r>
      <rPr>
        <sz val="9"/>
        <rFont val="Noto Sans CJK SC"/>
        <family val="2"/>
      </rPr>
      <t xml:space="preserve">システムごとに設計意図、学習データ概要、性能・限界、評価結果を記載した技術文書（モデルカード／システムカード）を整備・維持する。</t>
    </r>
  </si>
  <si>
    <r>
      <rPr>
        <sz val="9"/>
        <rFont val="Yu Gothic"/>
        <family val="0"/>
        <charset val="1"/>
      </rPr>
      <t xml:space="preserve">EU AI Act, ISO 42001, NCSC/CISA, AI</t>
    </r>
    <r>
      <rPr>
        <sz val="9"/>
        <rFont val="Noto Sans CJK SC"/>
        <family val="2"/>
      </rPr>
      <t xml:space="preserve">事業者</t>
    </r>
    <r>
      <rPr>
        <sz val="9"/>
        <rFont val="Yu Gothic"/>
        <family val="0"/>
        <charset val="1"/>
      </rPr>
      <t xml:space="preserve">GL</t>
    </r>
  </si>
  <si>
    <r>
      <rPr>
        <sz val="9"/>
        <rFont val="Noto Sans CJK SC"/>
        <family val="2"/>
      </rPr>
      <t xml:space="preserve">技術文書・モデルカードの整備により、経営として説明可能な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</si>
  <si>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Yu Gothic"/>
        <family val="0"/>
        <charset val="1"/>
      </rPr>
      <t xml:space="preserve">AI</t>
    </r>
    <r>
      <rPr>
        <sz val="9"/>
        <rFont val="Noto Sans CJK SC"/>
        <family val="2"/>
      </rPr>
      <t xml:space="preserve">生成・加工コンテンツに機械可読な来歴情報（</t>
    </r>
    <r>
      <rPr>
        <sz val="9"/>
        <rFont val="Yu Gothic"/>
        <family val="0"/>
        <charset val="1"/>
      </rPr>
      <t xml:space="preserve">C2PA</t>
    </r>
    <r>
      <rPr>
        <sz val="9"/>
        <rFont val="Noto Sans CJK SC"/>
        <family val="2"/>
      </rPr>
      <t xml:space="preserve">等）と可視表示を付与する方針と実装標準を定める。</t>
    </r>
  </si>
  <si>
    <r>
      <rPr>
        <sz val="9"/>
        <rFont val="Yu Gothic"/>
        <family val="0"/>
        <charset val="1"/>
      </rPr>
      <t xml:space="preserve">AI</t>
    </r>
    <r>
      <rPr>
        <sz val="9"/>
        <rFont val="Noto Sans CJK SC"/>
        <family val="2"/>
      </rPr>
      <t xml:space="preserve">生成コンテンツの来歴表示（</t>
    </r>
    <r>
      <rPr>
        <sz val="9"/>
        <rFont val="Yu Gothic"/>
        <family val="0"/>
        <charset val="1"/>
      </rPr>
      <t xml:space="preserve">C2PA</t>
    </r>
    <r>
      <rPr>
        <sz val="9"/>
        <rFont val="Noto Sans CJK SC"/>
        <family val="2"/>
      </rPr>
      <t xml:space="preserve">等）により、経営として説明可能な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</si>
  <si>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Yu Gothic"/>
        <family val="0"/>
        <charset val="1"/>
      </rPr>
      <t xml:space="preserve">AI</t>
    </r>
    <r>
      <rPr>
        <sz val="9"/>
        <rFont val="Noto Sans CJK SC"/>
        <family val="2"/>
      </rPr>
      <t xml:space="preserve">の判断・出力に対する苦情・異議申立ての受付窓口と対応</t>
    </r>
    <r>
      <rPr>
        <sz val="9"/>
        <rFont val="Yu Gothic"/>
        <family val="0"/>
        <charset val="1"/>
      </rPr>
      <t xml:space="preserve">SLA</t>
    </r>
    <r>
      <rPr>
        <sz val="9"/>
        <rFont val="Noto Sans CJK SC"/>
        <family val="2"/>
      </rPr>
      <t xml:space="preserve">、記録・分析のプロセスを整備する。</t>
    </r>
  </si>
  <si>
    <r>
      <rPr>
        <sz val="9"/>
        <rFont val="Yu Gothic"/>
        <family val="0"/>
        <charset val="1"/>
      </rPr>
      <t xml:space="preserve">EU AI Act, ISO 42001, AI</t>
    </r>
    <r>
      <rPr>
        <sz val="9"/>
        <rFont val="Noto Sans CJK SC"/>
        <family val="2"/>
      </rPr>
      <t xml:space="preserve">事業者</t>
    </r>
    <r>
      <rPr>
        <sz val="9"/>
        <rFont val="Yu Gothic"/>
        <family val="0"/>
        <charset val="1"/>
      </rPr>
      <t xml:space="preserve">GL</t>
    </r>
  </si>
  <si>
    <r>
      <rPr>
        <sz val="9"/>
        <rFont val="Noto Sans CJK SC"/>
        <family val="2"/>
      </rPr>
      <t xml:space="preserve">利用者からの苦情・異議申立て窓口により、経営として説明可能な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</si>
  <si>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Yu Gothic"/>
        <family val="0"/>
        <charset val="1"/>
      </rPr>
      <t xml:space="preserve">AI</t>
    </r>
    <r>
      <rPr>
        <sz val="9"/>
        <rFont val="Noto Sans CJK SC"/>
        <family val="2"/>
      </rPr>
      <t xml:space="preserve">ガバナンス体制・リスク管理の取組みを統合報告書・透明性レポート等で開示し、ステークホルダーの信頼を醸成する。</t>
    </r>
  </si>
  <si>
    <r>
      <rPr>
        <sz val="9"/>
        <rFont val="Yu Gothic"/>
        <family val="0"/>
        <charset val="1"/>
      </rPr>
      <t xml:space="preserve">NIST AI RMF, AI</t>
    </r>
    <r>
      <rPr>
        <sz val="9"/>
        <rFont val="Noto Sans CJK SC"/>
        <family val="2"/>
      </rPr>
      <t xml:space="preserve">事業者</t>
    </r>
    <r>
      <rPr>
        <sz val="9"/>
        <rFont val="Yu Gothic"/>
        <family val="0"/>
        <charset val="1"/>
      </rPr>
      <t xml:space="preserve">GL</t>
    </r>
  </si>
  <si>
    <r>
      <rPr>
        <sz val="9"/>
        <rFont val="Noto Sans CJK SC"/>
        <family val="2"/>
      </rPr>
      <t xml:space="preserve">対外的な</t>
    </r>
    <r>
      <rPr>
        <sz val="9"/>
        <rFont val="Yu Gothic"/>
        <family val="0"/>
        <charset val="1"/>
      </rPr>
      <t xml:space="preserve">AI</t>
    </r>
    <r>
      <rPr>
        <sz val="9"/>
        <rFont val="Noto Sans CJK SC"/>
        <family val="2"/>
      </rPr>
      <t xml:space="preserve">ガバナンス開示により、経営として説明可能な</t>
    </r>
    <r>
      <rPr>
        <sz val="9"/>
        <rFont val="Yu Gothic"/>
        <family val="0"/>
        <charset val="1"/>
      </rPr>
      <t xml:space="preserve">AI</t>
    </r>
    <r>
      <rPr>
        <sz val="9"/>
        <rFont val="Noto Sans CJK SC"/>
        <family val="2"/>
      </rPr>
      <t xml:space="preserve">ガバナンス体制を示せる状態になります。</t>
    </r>
  </si>
  <si>
    <r>
      <rPr>
        <sz val="9"/>
        <rFont val="Noto Sans CJK SC"/>
        <family val="2"/>
      </rPr>
      <t xml:space="preserve">社内で利用・開発される</t>
    </r>
    <r>
      <rPr>
        <sz val="9"/>
        <rFont val="Yu Gothic"/>
        <family val="0"/>
        <charset val="1"/>
      </rPr>
      <t xml:space="preserve">LLM</t>
    </r>
    <r>
      <rPr>
        <sz val="9"/>
        <rFont val="Noto Sans CJK SC"/>
        <family val="2"/>
      </rPr>
      <t xml:space="preserve">、プラットフォーム、外部ツールを可視化・管理し、シャドー</t>
    </r>
    <r>
      <rPr>
        <sz val="9"/>
        <rFont val="Yu Gothic"/>
        <family val="0"/>
        <charset val="1"/>
      </rPr>
      <t xml:space="preserve">AI</t>
    </r>
    <r>
      <rPr>
        <sz val="9"/>
        <rFont val="Noto Sans CJK SC"/>
        <family val="2"/>
      </rPr>
      <t xml:space="preserve">を排除する。</t>
    </r>
  </si>
  <si>
    <r>
      <rPr>
        <sz val="9"/>
        <rFont val="Yu Gothic"/>
        <family val="0"/>
        <charset val="1"/>
      </rPr>
      <t xml:space="preserve">AI</t>
    </r>
    <r>
      <rPr>
        <sz val="9"/>
        <rFont val="Noto Sans CJK SC"/>
        <family val="2"/>
      </rPr>
      <t xml:space="preserve">資産・コンテキスト・インフラの可視化と棚卸しに関するリスクを低減し、</t>
    </r>
    <r>
      <rPr>
        <sz val="9"/>
        <rFont val="Yu Gothic"/>
        <family val="0"/>
        <charset val="1"/>
      </rPr>
      <t xml:space="preserve">AIMF ID</t>
    </r>
    <r>
      <rPr>
        <sz val="9"/>
        <rFont val="Noto Sans CJK SC"/>
        <family val="2"/>
      </rPr>
      <t xml:space="preserve">区分（</t>
    </r>
    <r>
      <rPr>
        <sz val="9"/>
        <rFont val="Yu Gothic"/>
        <family val="0"/>
        <charset val="1"/>
      </rPr>
      <t xml:space="preserve">AST</t>
    </r>
    <r>
      <rPr>
        <sz val="9"/>
        <rFont val="Noto Sans CJK SC"/>
        <family val="2"/>
      </rPr>
      <t xml:space="preserve">カテゴリ）の要求に対応する。</t>
    </r>
  </si>
  <si>
    <r>
      <rPr>
        <sz val="9"/>
        <rFont val="Yu Gothic"/>
        <family val="0"/>
        <charset val="1"/>
      </rPr>
      <t xml:space="preserve">NIST AI RMF, ISO 42001, OWASP AISVS, CSA AICM, NCSC/CISA,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t>
    </r>
  </si>
  <si>
    <r>
      <rPr>
        <sz val="9"/>
        <rFont val="Noto Sans CJK SC"/>
        <family val="2"/>
      </rPr>
      <t xml:space="preserve">セキュリティ部門</t>
    </r>
    <r>
      <rPr>
        <sz val="9"/>
        <rFont val="Yu Gothic"/>
        <family val="0"/>
        <charset val="1"/>
      </rPr>
      <t xml:space="preserve">/IT</t>
    </r>
    <r>
      <rPr>
        <sz val="9"/>
        <rFont val="Noto Sans CJK SC"/>
        <family val="2"/>
      </rPr>
      <t xml:space="preserve">資産管理</t>
    </r>
  </si>
  <si>
    <t xml:space="preserve">台帳・インベントリ、評価記録、脅威モデル、契約書</t>
  </si>
  <si>
    <r>
      <rPr>
        <sz val="9"/>
        <rFont val="Yu Gothic"/>
        <family val="0"/>
        <charset val="1"/>
      </rPr>
      <t xml:space="preserve">AI</t>
    </r>
    <r>
      <rPr>
        <sz val="9"/>
        <rFont val="Noto Sans CJK SC"/>
        <family val="2"/>
      </rPr>
      <t xml:space="preserve">モデル・サービス管理台帳の整備により、守るべき</t>
    </r>
    <r>
      <rPr>
        <sz val="9"/>
        <rFont val="Yu Gothic"/>
        <family val="0"/>
        <charset val="1"/>
      </rPr>
      <t xml:space="preserve">AI</t>
    </r>
    <r>
      <rPr>
        <sz val="9"/>
        <rFont val="Noto Sans CJK SC"/>
        <family val="2"/>
      </rPr>
      <t xml:space="preserve">資産とリスクの全体像を可視化できます。</t>
    </r>
  </si>
  <si>
    <t xml:space="preserve">台帳・評価票・契約条項</t>
  </si>
  <si>
    <r>
      <rPr>
        <sz val="9"/>
        <rFont val="Yu Gothic"/>
        <family val="0"/>
        <charset val="1"/>
      </rPr>
      <t xml:space="preserve">RAG</t>
    </r>
    <r>
      <rPr>
        <sz val="9"/>
        <rFont val="Noto Sans CJK SC"/>
        <family val="2"/>
      </rPr>
      <t xml:space="preserve">が参照する社内ドキュメント、ファイルサーバー、</t>
    </r>
    <r>
      <rPr>
        <sz val="9"/>
        <rFont val="Yu Gothic"/>
        <family val="0"/>
        <charset val="1"/>
      </rPr>
      <t xml:space="preserve">DB</t>
    </r>
    <r>
      <rPr>
        <sz val="9"/>
        <rFont val="Noto Sans CJK SC"/>
        <family val="2"/>
      </rPr>
      <t xml:space="preserve">の所在と機密区分を明確にする。</t>
    </r>
  </si>
  <si>
    <r>
      <rPr>
        <sz val="9"/>
        <rFont val="Yu Gothic"/>
        <family val="0"/>
        <charset val="1"/>
      </rPr>
      <t xml:space="preserve">OWASP AISVS, ISO 42001, CSA AICM,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 NIST AI RMF</t>
    </r>
  </si>
  <si>
    <r>
      <rPr>
        <sz val="9"/>
        <rFont val="Yu Gothic"/>
        <family val="0"/>
        <charset val="1"/>
      </rPr>
      <t xml:space="preserve">RAG</t>
    </r>
    <r>
      <rPr>
        <sz val="9"/>
        <rFont val="Noto Sans CJK SC"/>
        <family val="2"/>
      </rPr>
      <t xml:space="preserve">知識ベース・データソースの棚卸しにより、守るべき</t>
    </r>
    <r>
      <rPr>
        <sz val="9"/>
        <rFont val="Yu Gothic"/>
        <family val="0"/>
        <charset val="1"/>
      </rPr>
      <t xml:space="preserve">AI</t>
    </r>
    <r>
      <rPr>
        <sz val="9"/>
        <rFont val="Noto Sans CJK SC"/>
        <family val="2"/>
      </rPr>
      <t xml:space="preserve">資産とリスクの全体像を可視化できます。</t>
    </r>
  </si>
  <si>
    <r>
      <rPr>
        <sz val="9"/>
        <rFont val="Noto Sans CJK SC"/>
        <family val="2"/>
      </rPr>
      <t xml:space="preserve">自律エージェントがアクセス可能な</t>
    </r>
    <r>
      <rPr>
        <sz val="9"/>
        <rFont val="Yu Gothic"/>
        <family val="0"/>
        <charset val="1"/>
      </rPr>
      <t xml:space="preserve">API</t>
    </r>
    <r>
      <rPr>
        <sz val="9"/>
        <rFont val="Noto Sans CJK SC"/>
        <family val="2"/>
      </rPr>
      <t xml:space="preserve">・</t>
    </r>
    <r>
      <rPr>
        <sz val="9"/>
        <rFont val="Yu Gothic"/>
        <family val="0"/>
        <charset val="1"/>
      </rPr>
      <t xml:space="preserve">DB</t>
    </r>
    <r>
      <rPr>
        <sz val="9"/>
        <rFont val="Noto Sans CJK SC"/>
        <family val="2"/>
      </rPr>
      <t xml:space="preserve">・システム操作権限とコンポーネント間の論理接続関係をマッピングする。</t>
    </r>
  </si>
  <si>
    <t xml:space="preserve">高</t>
  </si>
  <si>
    <t xml:space="preserve">OWASP AISVS, CSA AICM, NIST AI RMF, NCSC/CISA</t>
  </si>
  <si>
    <t xml:space="preserve">長期</t>
  </si>
  <si>
    <r>
      <rPr>
        <sz val="9"/>
        <rFont val="Yu Gothic"/>
        <family val="0"/>
        <charset val="1"/>
      </rPr>
      <t xml:space="preserve">AI</t>
    </r>
    <r>
      <rPr>
        <sz val="9"/>
        <rFont val="Noto Sans CJK SC"/>
        <family val="2"/>
      </rPr>
      <t xml:space="preserve">エージェントの権限・ツールトポロジー管理により、守るべき</t>
    </r>
    <r>
      <rPr>
        <sz val="9"/>
        <rFont val="Yu Gothic"/>
        <family val="0"/>
        <charset val="1"/>
      </rPr>
      <t xml:space="preserve">AI</t>
    </r>
    <r>
      <rPr>
        <sz val="9"/>
        <rFont val="Noto Sans CJK SC"/>
        <family val="2"/>
      </rPr>
      <t xml:space="preserve">資産とリスクの全体像を可視化できます。</t>
    </r>
  </si>
  <si>
    <r>
      <rPr>
        <sz val="9"/>
        <rFont val="Noto Sans CJK SC"/>
        <family val="2"/>
      </rPr>
      <t xml:space="preserve">学習・推論に利用される</t>
    </r>
    <r>
      <rPr>
        <sz val="9"/>
        <rFont val="Yu Gothic"/>
        <family val="0"/>
        <charset val="1"/>
      </rPr>
      <t xml:space="preserve">GPU</t>
    </r>
    <r>
      <rPr>
        <sz val="9"/>
        <rFont val="Noto Sans CJK SC"/>
        <family val="2"/>
      </rPr>
      <t xml:space="preserve">インスタンス、ベクトル</t>
    </r>
    <r>
      <rPr>
        <sz val="9"/>
        <rFont val="Yu Gothic"/>
        <family val="0"/>
        <charset val="1"/>
      </rPr>
      <t xml:space="preserve">DB</t>
    </r>
    <r>
      <rPr>
        <sz val="9"/>
        <rFont val="Noto Sans CJK SC"/>
        <family val="2"/>
      </rPr>
      <t xml:space="preserve">、オブジェクトストレージ等のインフラ資産を一元管理する。</t>
    </r>
  </si>
  <si>
    <t xml:space="preserve">CSA AICM, ISO 42001, NCSC/CISA, NIST AI RMF</t>
  </si>
  <si>
    <r>
      <rPr>
        <sz val="9"/>
        <rFont val="Yu Gothic"/>
        <family val="0"/>
        <charset val="1"/>
      </rPr>
      <t xml:space="preserve">AI</t>
    </r>
    <r>
      <rPr>
        <sz val="9"/>
        <rFont val="Noto Sans CJK SC"/>
        <family val="2"/>
      </rPr>
      <t xml:space="preserve">インフラ資産（</t>
    </r>
    <r>
      <rPr>
        <sz val="9"/>
        <rFont val="Yu Gothic"/>
        <family val="0"/>
        <charset val="1"/>
      </rPr>
      <t xml:space="preserve">GPU</t>
    </r>
    <r>
      <rPr>
        <sz val="9"/>
        <rFont val="Noto Sans CJK SC"/>
        <family val="2"/>
      </rPr>
      <t xml:space="preserve">・計算リソース・ストレージ）の棚卸しにより、守るべき</t>
    </r>
    <r>
      <rPr>
        <sz val="9"/>
        <rFont val="Yu Gothic"/>
        <family val="0"/>
        <charset val="1"/>
      </rPr>
      <t xml:space="preserve">AI</t>
    </r>
    <r>
      <rPr>
        <sz val="9"/>
        <rFont val="Noto Sans CJK SC"/>
        <family val="2"/>
      </rPr>
      <t xml:space="preserve">資産とリスクの全体像を可視化できます。</t>
    </r>
  </si>
  <si>
    <t xml:space="preserve">システムプロンプト・プロンプトテンプレート・エージェント指示書を版管理された資産として台帳化し、オーナーを定める。</t>
  </si>
  <si>
    <t xml:space="preserve">OWASP AISVS, OWASP LLM10</t>
  </si>
  <si>
    <r>
      <rPr>
        <sz val="9"/>
        <rFont val="Noto Sans CJK SC"/>
        <family val="2"/>
      </rPr>
      <t xml:space="preserve">プロンプト・システムプロンプト資産の台帳管理により、守るべき</t>
    </r>
    <r>
      <rPr>
        <sz val="9"/>
        <rFont val="Yu Gothic"/>
        <family val="0"/>
        <charset val="1"/>
      </rPr>
      <t xml:space="preserve">AI</t>
    </r>
    <r>
      <rPr>
        <sz val="9"/>
        <rFont val="Noto Sans CJK SC"/>
        <family val="2"/>
      </rPr>
      <t xml:space="preserve">資産とリスクの全体像を可視化できます。</t>
    </r>
  </si>
  <si>
    <r>
      <rPr>
        <sz val="9"/>
        <rFont val="Noto Sans CJK SC"/>
        <family val="2"/>
      </rPr>
      <t xml:space="preserve">入力から出力・第三者送信までのデータフロー（プロンプト・</t>
    </r>
    <r>
      <rPr>
        <sz val="9"/>
        <rFont val="Yu Gothic"/>
        <family val="0"/>
        <charset val="1"/>
      </rPr>
      <t xml:space="preserve">RAG</t>
    </r>
    <r>
      <rPr>
        <sz val="9"/>
        <rFont val="Noto Sans CJK SC"/>
        <family val="2"/>
      </rPr>
      <t xml:space="preserve">・ログ・学習フィードバック）を可視化し、機微データの通過点を特定する。</t>
    </r>
  </si>
  <si>
    <t xml:space="preserve">ISO 42001, CIS v8.1, ENISA</t>
  </si>
  <si>
    <r>
      <rPr>
        <sz val="9"/>
        <rFont val="Yu Gothic"/>
        <family val="0"/>
        <charset val="1"/>
      </rPr>
      <t xml:space="preserve">AI</t>
    </r>
    <r>
      <rPr>
        <sz val="9"/>
        <rFont val="Noto Sans CJK SC"/>
        <family val="2"/>
      </rPr>
      <t xml:space="preserve">データフローマッピングにより、守るべき</t>
    </r>
    <r>
      <rPr>
        <sz val="9"/>
        <rFont val="Yu Gothic"/>
        <family val="0"/>
        <charset val="1"/>
      </rPr>
      <t xml:space="preserve">AI</t>
    </r>
    <r>
      <rPr>
        <sz val="9"/>
        <rFont val="Noto Sans CJK SC"/>
        <family val="2"/>
      </rPr>
      <t xml:space="preserve">資産とリスクの全体像を可視化できます。</t>
    </r>
  </si>
  <si>
    <r>
      <rPr>
        <sz val="9"/>
        <rFont val="Noto Sans CJK SC"/>
        <family val="2"/>
      </rPr>
      <t xml:space="preserve">ネットワーク・</t>
    </r>
    <r>
      <rPr>
        <sz val="9"/>
        <rFont val="Yu Gothic"/>
        <family val="0"/>
        <charset val="1"/>
      </rPr>
      <t xml:space="preserve">SaaS</t>
    </r>
    <r>
      <rPr>
        <sz val="9"/>
        <rFont val="Noto Sans CJK SC"/>
        <family val="2"/>
      </rPr>
      <t xml:space="preserve">利用ログ・端末から未承認</t>
    </r>
    <r>
      <rPr>
        <sz val="9"/>
        <rFont val="Yu Gothic"/>
        <family val="0"/>
        <charset val="1"/>
      </rPr>
      <t xml:space="preserve">AI</t>
    </r>
    <r>
      <rPr>
        <sz val="9"/>
        <rFont val="Noto Sans CJK SC"/>
        <family val="2"/>
      </rPr>
      <t xml:space="preserve">サービスの利用を継続的に検出し、カタログ登録または遮断につなげる。</t>
    </r>
  </si>
  <si>
    <r>
      <rPr>
        <sz val="9"/>
        <rFont val="Noto Sans CJK SC"/>
        <family val="2"/>
      </rPr>
      <t xml:space="preserve">シャドー</t>
    </r>
    <r>
      <rPr>
        <sz val="9"/>
        <rFont val="Yu Gothic"/>
        <family val="0"/>
        <charset val="1"/>
      </rPr>
      <t xml:space="preserve">AI</t>
    </r>
    <r>
      <rPr>
        <sz val="9"/>
        <rFont val="Noto Sans CJK SC"/>
        <family val="2"/>
      </rPr>
      <t xml:space="preserve">・未承認利用の継続的検出により、守るべき</t>
    </r>
    <r>
      <rPr>
        <sz val="9"/>
        <rFont val="Yu Gothic"/>
        <family val="0"/>
        <charset val="1"/>
      </rPr>
      <t xml:space="preserve">AI</t>
    </r>
    <r>
      <rPr>
        <sz val="9"/>
        <rFont val="Noto Sans CJK SC"/>
        <family val="2"/>
      </rPr>
      <t xml:space="preserve">資産とリスクの全体像を可視化できます。</t>
    </r>
  </si>
  <si>
    <r>
      <rPr>
        <sz val="9"/>
        <rFont val="Noto Sans CJK SC"/>
        <family val="2"/>
      </rPr>
      <t xml:space="preserve">端末常駐</t>
    </r>
    <r>
      <rPr>
        <sz val="9"/>
        <rFont val="Yu Gothic"/>
        <family val="0"/>
        <charset val="1"/>
      </rPr>
      <t xml:space="preserve">AI</t>
    </r>
    <r>
      <rPr>
        <sz val="9"/>
        <rFont val="Noto Sans CJK SC"/>
        <family val="2"/>
      </rPr>
      <t xml:space="preserve">アシスタント・ブラウザ拡張・</t>
    </r>
    <r>
      <rPr>
        <sz val="9"/>
        <rFont val="Yu Gothic"/>
        <family val="0"/>
        <charset val="1"/>
      </rPr>
      <t xml:space="preserve">IDE</t>
    </r>
    <r>
      <rPr>
        <sz val="9"/>
        <rFont val="Noto Sans CJK SC"/>
        <family val="2"/>
      </rPr>
      <t xml:space="preserve">組込</t>
    </r>
    <r>
      <rPr>
        <sz val="9"/>
        <rFont val="Yu Gothic"/>
        <family val="0"/>
        <charset val="1"/>
      </rPr>
      <t xml:space="preserve">AI</t>
    </r>
    <r>
      <rPr>
        <sz val="9"/>
        <rFont val="Noto Sans CJK SC"/>
        <family val="2"/>
      </rPr>
      <t xml:space="preserve">の利用実態を把握し、データ送信先を含めて管理対象化する。</t>
    </r>
  </si>
  <si>
    <r>
      <rPr>
        <sz val="9"/>
        <rFont val="Yu Gothic"/>
        <family val="0"/>
        <charset val="1"/>
      </rPr>
      <t xml:space="preserve">CIS v8.1, ASD</t>
    </r>
    <r>
      <rPr>
        <sz val="9"/>
        <rFont val="Noto Sans CJK SC"/>
        <family val="2"/>
      </rPr>
      <t xml:space="preserve">エージェント</t>
    </r>
    <r>
      <rPr>
        <sz val="9"/>
        <rFont val="Yu Gothic"/>
        <family val="0"/>
        <charset val="1"/>
      </rPr>
      <t xml:space="preserve">AI</t>
    </r>
  </si>
  <si>
    <r>
      <rPr>
        <sz val="9"/>
        <rFont val="Noto Sans CJK SC"/>
        <family val="2"/>
      </rPr>
      <t xml:space="preserve">エンドポイント</t>
    </r>
    <r>
      <rPr>
        <sz val="9"/>
        <rFont val="Yu Gothic"/>
        <family val="0"/>
        <charset val="1"/>
      </rPr>
      <t xml:space="preserve">AI</t>
    </r>
    <r>
      <rPr>
        <sz val="9"/>
        <rFont val="Noto Sans CJK SC"/>
        <family val="2"/>
      </rPr>
      <t xml:space="preserve">機能・ブラウザ拡張の把握により、守るべき</t>
    </r>
    <r>
      <rPr>
        <sz val="9"/>
        <rFont val="Yu Gothic"/>
        <family val="0"/>
        <charset val="1"/>
      </rPr>
      <t xml:space="preserve">AI</t>
    </r>
    <r>
      <rPr>
        <sz val="9"/>
        <rFont val="Noto Sans CJK SC"/>
        <family val="2"/>
      </rPr>
      <t xml:space="preserve">資産とリスクの全体像を可視化できます。</t>
    </r>
  </si>
  <si>
    <r>
      <rPr>
        <sz val="9"/>
        <rFont val="Noto Sans CJK SC"/>
        <family val="2"/>
      </rPr>
      <t xml:space="preserve">全</t>
    </r>
    <r>
      <rPr>
        <sz val="9"/>
        <rFont val="Yu Gothic"/>
        <family val="0"/>
        <charset val="1"/>
      </rPr>
      <t xml:space="preserve">AI</t>
    </r>
    <r>
      <rPr>
        <sz val="9"/>
        <rFont val="Noto Sans CJK SC"/>
        <family val="2"/>
      </rPr>
      <t xml:space="preserve">ユースケースを目的・対象データ・利用部門とともに登録し、事業側オーナー（リスクオーナー）を明確化する。</t>
    </r>
  </si>
  <si>
    <r>
      <rPr>
        <sz val="9"/>
        <rFont val="Noto Sans CJK SC"/>
        <family val="2"/>
      </rPr>
      <t xml:space="preserve">ユースケース・事業コンテキスト管理に関するリスクを低減し、</t>
    </r>
    <r>
      <rPr>
        <sz val="9"/>
        <rFont val="Yu Gothic"/>
        <family val="0"/>
        <charset val="1"/>
      </rPr>
      <t xml:space="preserve">AIMF ID</t>
    </r>
    <r>
      <rPr>
        <sz val="9"/>
        <rFont val="Noto Sans CJK SC"/>
        <family val="2"/>
      </rPr>
      <t xml:space="preserve">区分（</t>
    </r>
    <r>
      <rPr>
        <sz val="9"/>
        <rFont val="Yu Gothic"/>
        <family val="0"/>
        <charset val="1"/>
      </rPr>
      <t xml:space="preserve">CTX</t>
    </r>
    <r>
      <rPr>
        <sz val="9"/>
        <rFont val="Noto Sans CJK SC"/>
        <family val="2"/>
      </rPr>
      <t xml:space="preserve">カテゴリ）の要求に対応する。</t>
    </r>
  </si>
  <si>
    <t xml:space="preserve">NIST AI RMF, ISO 42001</t>
  </si>
  <si>
    <r>
      <rPr>
        <sz val="9"/>
        <rFont val="Yu Gothic"/>
        <family val="0"/>
        <charset val="1"/>
      </rPr>
      <t xml:space="preserve">AI</t>
    </r>
    <r>
      <rPr>
        <sz val="9"/>
        <rFont val="Noto Sans CJK SC"/>
        <family val="2"/>
      </rPr>
      <t xml:space="preserve">ユースケース登録と事業オーナーの明確化により、守るべき</t>
    </r>
    <r>
      <rPr>
        <sz val="9"/>
        <rFont val="Yu Gothic"/>
        <family val="0"/>
        <charset val="1"/>
      </rPr>
      <t xml:space="preserve">AI</t>
    </r>
    <r>
      <rPr>
        <sz val="9"/>
        <rFont val="Noto Sans CJK SC"/>
        <family val="2"/>
      </rPr>
      <t xml:space="preserve">資産とリスクの全体像を可視化できます。</t>
    </r>
  </si>
  <si>
    <t xml:space="preserve">業務依存度・影響度・自律性の程度からユースケースのクリティカリティを判定し、統制の適用レベルを差別化する。</t>
  </si>
  <si>
    <r>
      <rPr>
        <sz val="9"/>
        <rFont val="Yu Gothic"/>
        <family val="0"/>
        <charset val="1"/>
      </rPr>
      <t xml:space="preserve">NIST AI RMF, ASD</t>
    </r>
    <r>
      <rPr>
        <sz val="9"/>
        <rFont val="Noto Sans CJK SC"/>
        <family val="2"/>
      </rPr>
      <t xml:space="preserve">エージェント</t>
    </r>
    <r>
      <rPr>
        <sz val="9"/>
        <rFont val="Yu Gothic"/>
        <family val="0"/>
        <charset val="1"/>
      </rPr>
      <t xml:space="preserve">AI, Five Eyes</t>
    </r>
    <r>
      <rPr>
        <sz val="9"/>
        <rFont val="Noto Sans CJK SC"/>
        <family val="2"/>
      </rPr>
      <t xml:space="preserve">声明</t>
    </r>
  </si>
  <si>
    <r>
      <rPr>
        <sz val="9"/>
        <rFont val="Noto Sans CJK SC"/>
        <family val="2"/>
      </rPr>
      <t xml:space="preserve">ユースケースのクリティカリティ判定により、守るべき</t>
    </r>
    <r>
      <rPr>
        <sz val="9"/>
        <rFont val="Yu Gothic"/>
        <family val="0"/>
        <charset val="1"/>
      </rPr>
      <t xml:space="preserve">AI</t>
    </r>
    <r>
      <rPr>
        <sz val="9"/>
        <rFont val="Noto Sans CJK SC"/>
        <family val="2"/>
      </rPr>
      <t xml:space="preserve">資産とリスクの全体像を可視化できます。</t>
    </r>
  </si>
  <si>
    <r>
      <rPr>
        <sz val="9"/>
        <rFont val="Yu Gothic"/>
        <family val="0"/>
        <charset val="1"/>
      </rPr>
      <t xml:space="preserve">AI</t>
    </r>
    <r>
      <rPr>
        <sz val="9"/>
        <rFont val="Noto Sans CJK SC"/>
        <family val="2"/>
      </rPr>
      <t xml:space="preserve">システム停止・品質劣化時の業務影響と許容停止時間（</t>
    </r>
    <r>
      <rPr>
        <sz val="9"/>
        <rFont val="Yu Gothic"/>
        <family val="0"/>
        <charset val="1"/>
      </rPr>
      <t xml:space="preserve">RTO</t>
    </r>
    <r>
      <rPr>
        <sz val="9"/>
        <rFont val="Noto Sans CJK SC"/>
        <family val="2"/>
      </rPr>
      <t xml:space="preserve">相当）を分析し、復旧優先度を定める。</t>
    </r>
  </si>
  <si>
    <t xml:space="preserve">CIS v8.1, CSA AICM</t>
  </si>
  <si>
    <r>
      <rPr>
        <sz val="9"/>
        <rFont val="Yu Gothic"/>
        <family val="0"/>
        <charset val="1"/>
      </rPr>
      <t xml:space="preserve">AI</t>
    </r>
    <r>
      <rPr>
        <sz val="9"/>
        <rFont val="Noto Sans CJK SC"/>
        <family val="2"/>
      </rPr>
      <t xml:space="preserve">障害時の業務影響分析（</t>
    </r>
    <r>
      <rPr>
        <sz val="9"/>
        <rFont val="Yu Gothic"/>
        <family val="0"/>
        <charset val="1"/>
      </rPr>
      <t xml:space="preserve">BIA</t>
    </r>
    <r>
      <rPr>
        <sz val="9"/>
        <rFont val="Noto Sans CJK SC"/>
        <family val="2"/>
      </rPr>
      <t xml:space="preserve">）により、守るべき</t>
    </r>
    <r>
      <rPr>
        <sz val="9"/>
        <rFont val="Yu Gothic"/>
        <family val="0"/>
        <charset val="1"/>
      </rPr>
      <t xml:space="preserve">AI</t>
    </r>
    <r>
      <rPr>
        <sz val="9"/>
        <rFont val="Noto Sans CJK SC"/>
        <family val="2"/>
      </rPr>
      <t xml:space="preserve">資産とリスクの全体像を可視化できます。</t>
    </r>
  </si>
  <si>
    <r>
      <rPr>
        <sz val="9"/>
        <rFont val="Yu Gothic"/>
        <family val="0"/>
        <charset val="1"/>
      </rPr>
      <t xml:space="preserve">AI</t>
    </r>
    <r>
      <rPr>
        <sz val="9"/>
        <rFont val="Noto Sans CJK SC"/>
        <family val="2"/>
      </rPr>
      <t xml:space="preserve">依存業務について、非</t>
    </r>
    <r>
      <rPr>
        <sz val="9"/>
        <rFont val="Yu Gothic"/>
        <family val="0"/>
        <charset val="1"/>
      </rPr>
      <t xml:space="preserve">AI</t>
    </r>
    <r>
      <rPr>
        <sz val="9"/>
        <rFont val="Noto Sans CJK SC"/>
        <family val="2"/>
      </rPr>
      <t xml:space="preserve">の代替プロセス維持の要否と、低価値プロセスの削減・非</t>
    </r>
    <r>
      <rPr>
        <sz val="9"/>
        <rFont val="Yu Gothic"/>
        <family val="0"/>
        <charset val="1"/>
      </rPr>
      <t xml:space="preserve">AI</t>
    </r>
    <r>
      <rPr>
        <sz val="9"/>
        <rFont val="Noto Sans CJK SC"/>
        <family val="2"/>
      </rPr>
      <t xml:space="preserve">化がより低リスクとなる場合の選択肢を評価する。</t>
    </r>
  </si>
  <si>
    <r>
      <rPr>
        <sz val="9"/>
        <rFont val="Yu Gothic"/>
        <family val="0"/>
        <charset val="1"/>
      </rPr>
      <t xml:space="preserve">ASD</t>
    </r>
    <r>
      <rPr>
        <sz val="9"/>
        <rFont val="Noto Sans CJK SC"/>
        <family val="2"/>
      </rPr>
      <t xml:space="preserve">エージェント</t>
    </r>
    <r>
      <rPr>
        <sz val="9"/>
        <rFont val="Yu Gothic"/>
        <family val="0"/>
        <charset val="1"/>
      </rPr>
      <t xml:space="preserve">AI, NIST AI RMF</t>
    </r>
  </si>
  <si>
    <r>
      <rPr>
        <sz val="9"/>
        <rFont val="Noto Sans CJK SC"/>
        <family val="2"/>
      </rPr>
      <t xml:space="preserve">非</t>
    </r>
    <r>
      <rPr>
        <sz val="9"/>
        <rFont val="Yu Gothic"/>
        <family val="0"/>
        <charset val="1"/>
      </rPr>
      <t xml:space="preserve">AI</t>
    </r>
    <r>
      <rPr>
        <sz val="9"/>
        <rFont val="Noto Sans CJK SC"/>
        <family val="2"/>
      </rPr>
      <t xml:space="preserve">代替手段の維持判断により、守るべき</t>
    </r>
    <r>
      <rPr>
        <sz val="9"/>
        <rFont val="Yu Gothic"/>
        <family val="0"/>
        <charset val="1"/>
      </rPr>
      <t xml:space="preserve">AI</t>
    </r>
    <r>
      <rPr>
        <sz val="9"/>
        <rFont val="Noto Sans CJK SC"/>
        <family val="2"/>
      </rPr>
      <t xml:space="preserve">資産とリスクの全体像を可視化できます。</t>
    </r>
  </si>
  <si>
    <r>
      <rPr>
        <sz val="9"/>
        <rFont val="Noto Sans CJK SC"/>
        <family val="2"/>
      </rPr>
      <t xml:space="preserve">外部</t>
    </r>
    <r>
      <rPr>
        <sz val="9"/>
        <rFont val="Yu Gothic"/>
        <family val="0"/>
        <charset val="1"/>
      </rPr>
      <t xml:space="preserve">AI</t>
    </r>
    <r>
      <rPr>
        <sz val="9"/>
        <rFont val="Noto Sans CJK SC"/>
        <family val="2"/>
      </rPr>
      <t xml:space="preserve">サービスプロバイダーのデータ保持ポリシー（学習への再利用有無）、信頼性、セキュリティレベルを定期評価する。</t>
    </r>
  </si>
  <si>
    <r>
      <rPr>
        <sz val="9"/>
        <rFont val="Noto Sans CJK SC"/>
        <family val="2"/>
      </rPr>
      <t xml:space="preserve">サプライチェーンリスク管理に関するリスクを低減し、</t>
    </r>
    <r>
      <rPr>
        <sz val="9"/>
        <rFont val="Yu Gothic"/>
        <family val="0"/>
        <charset val="1"/>
      </rPr>
      <t xml:space="preserve">AIMF ID</t>
    </r>
    <r>
      <rPr>
        <sz val="9"/>
        <rFont val="Noto Sans CJK SC"/>
        <family val="2"/>
      </rPr>
      <t xml:space="preserve">区分（</t>
    </r>
    <r>
      <rPr>
        <sz val="9"/>
        <rFont val="Yu Gothic"/>
        <family val="0"/>
        <charset val="1"/>
      </rPr>
      <t xml:space="preserve">SCM</t>
    </r>
    <r>
      <rPr>
        <sz val="9"/>
        <rFont val="Noto Sans CJK SC"/>
        <family val="2"/>
      </rPr>
      <t xml:space="preserve">カテゴリ）の要求に対応する。</t>
    </r>
  </si>
  <si>
    <r>
      <rPr>
        <sz val="9"/>
        <rFont val="Yu Gothic"/>
        <family val="0"/>
        <charset val="1"/>
      </rPr>
      <t xml:space="preserve">NIST AI RMF, ISO 42001, CSA AICM, EU AI Act, OWASP AISVS, AI</t>
    </r>
    <r>
      <rPr>
        <sz val="9"/>
        <rFont val="Noto Sans CJK SC"/>
        <family val="2"/>
      </rPr>
      <t xml:space="preserve">事業者</t>
    </r>
    <r>
      <rPr>
        <sz val="9"/>
        <rFont val="Yu Gothic"/>
        <family val="0"/>
        <charset val="1"/>
      </rPr>
      <t xml:space="preserve">GL, NCSC/CISA</t>
    </r>
  </si>
  <si>
    <r>
      <rPr>
        <sz val="9"/>
        <rFont val="Yu Gothic"/>
        <family val="0"/>
        <charset val="1"/>
      </rPr>
      <t xml:space="preserve">AI</t>
    </r>
    <r>
      <rPr>
        <sz val="9"/>
        <rFont val="Noto Sans CJK SC"/>
        <family val="2"/>
      </rPr>
      <t xml:space="preserve">セキュリティのベンダー評価と管理により、守るべき</t>
    </r>
    <r>
      <rPr>
        <sz val="9"/>
        <rFont val="Yu Gothic"/>
        <family val="0"/>
        <charset val="1"/>
      </rPr>
      <t xml:space="preserve">AI</t>
    </r>
    <r>
      <rPr>
        <sz val="9"/>
        <rFont val="Noto Sans CJK SC"/>
        <family val="2"/>
      </rPr>
      <t xml:space="preserve">資産とリスクの全体像を可視化できます。</t>
    </r>
  </si>
  <si>
    <r>
      <rPr>
        <sz val="9"/>
        <rFont val="Yu Gothic"/>
        <family val="0"/>
        <charset val="1"/>
      </rPr>
      <t xml:space="preserve">AI</t>
    </r>
    <r>
      <rPr>
        <sz val="9"/>
        <rFont val="Noto Sans CJK SC"/>
        <family val="2"/>
      </rPr>
      <t xml:space="preserve">システムを構成する</t>
    </r>
    <r>
      <rPr>
        <sz val="9"/>
        <rFont val="Yu Gothic"/>
        <family val="0"/>
        <charset val="1"/>
      </rPr>
      <t xml:space="preserve">OSS</t>
    </r>
    <r>
      <rPr>
        <sz val="9"/>
        <rFont val="Noto Sans CJK SC"/>
        <family val="2"/>
      </rPr>
      <t xml:space="preserve">ライブラリ・パッケージの依存関係を</t>
    </r>
    <r>
      <rPr>
        <sz val="9"/>
        <rFont val="Yu Gothic"/>
        <family val="0"/>
        <charset val="1"/>
      </rPr>
      <t xml:space="preserve">SBOM</t>
    </r>
    <r>
      <rPr>
        <sz val="9"/>
        <rFont val="Noto Sans CJK SC"/>
        <family val="2"/>
      </rPr>
      <t xml:space="preserve">として</t>
    </r>
    <r>
      <rPr>
        <sz val="9"/>
        <rFont val="Yu Gothic"/>
        <family val="0"/>
        <charset val="1"/>
      </rPr>
      <t xml:space="preserve">CI/CD</t>
    </r>
    <r>
      <rPr>
        <sz val="9"/>
        <rFont val="Noto Sans CJK SC"/>
        <family val="2"/>
      </rPr>
      <t xml:space="preserve">上で自動生成・管理する。</t>
    </r>
  </si>
  <si>
    <r>
      <rPr>
        <sz val="9"/>
        <rFont val="Yu Gothic"/>
        <family val="0"/>
        <charset val="1"/>
      </rPr>
      <t xml:space="preserve">OWASP AISVS, CSA AICM, NCSC/CISA, NIST AI RMF,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t>
    </r>
  </si>
  <si>
    <r>
      <rPr>
        <sz val="9"/>
        <rFont val="Yu Gothic"/>
        <family val="0"/>
        <charset val="1"/>
      </rPr>
      <t xml:space="preserve">SBOM</t>
    </r>
    <r>
      <rPr>
        <sz val="9"/>
        <rFont val="Noto Sans CJK SC"/>
        <family val="2"/>
      </rPr>
      <t xml:space="preserve">の自動生成・継続的管理により、守るべき</t>
    </r>
    <r>
      <rPr>
        <sz val="9"/>
        <rFont val="Yu Gothic"/>
        <family val="0"/>
        <charset val="1"/>
      </rPr>
      <t xml:space="preserve">AI</t>
    </r>
    <r>
      <rPr>
        <sz val="9"/>
        <rFont val="Noto Sans CJK SC"/>
        <family val="2"/>
      </rPr>
      <t xml:space="preserve">資産とリスクの全体像を可視化できます。</t>
    </r>
  </si>
  <si>
    <r>
      <rPr>
        <sz val="9"/>
        <rFont val="Noto Sans CJK SC"/>
        <family val="2"/>
      </rPr>
      <t xml:space="preserve">モデルのバージョン・重み、ファインチューニング／</t>
    </r>
    <r>
      <rPr>
        <sz val="9"/>
        <rFont val="Yu Gothic"/>
        <family val="0"/>
        <charset val="1"/>
      </rPr>
      <t xml:space="preserve">RAG</t>
    </r>
    <r>
      <rPr>
        <sz val="9"/>
        <rFont val="Noto Sans CJK SC"/>
        <family val="2"/>
      </rPr>
      <t xml:space="preserve">のベースデータセット、システムプロンプト構成を</t>
    </r>
    <r>
      <rPr>
        <sz val="9"/>
        <rFont val="Yu Gothic"/>
        <family val="0"/>
        <charset val="1"/>
      </rPr>
      <t xml:space="preserve">AI-BOM</t>
    </r>
    <r>
      <rPr>
        <sz val="9"/>
        <rFont val="Noto Sans CJK SC"/>
        <family val="2"/>
      </rPr>
      <t xml:space="preserve">としてカタログ化し、出自とデータ汚染リスクを追跡可能にする。</t>
    </r>
  </si>
  <si>
    <t xml:space="preserve">OWASP AISVS, NIST AI RMF, EU AI Act, ISO 42001, CSA AICM, NCSC/CISA</t>
  </si>
  <si>
    <r>
      <rPr>
        <sz val="9"/>
        <rFont val="Yu Gothic"/>
        <family val="0"/>
        <charset val="1"/>
      </rPr>
      <t xml:space="preserve">AI-BOM</t>
    </r>
    <r>
      <rPr>
        <sz val="9"/>
        <rFont val="Noto Sans CJK SC"/>
        <family val="2"/>
      </rPr>
      <t xml:space="preserve">による</t>
    </r>
    <r>
      <rPr>
        <sz val="9"/>
        <rFont val="Yu Gothic"/>
        <family val="0"/>
        <charset val="1"/>
      </rPr>
      <t xml:space="preserve">AI</t>
    </r>
    <r>
      <rPr>
        <sz val="9"/>
        <rFont val="Noto Sans CJK SC"/>
        <family val="2"/>
      </rPr>
      <t xml:space="preserve">特有資産の管理により、守るべき</t>
    </r>
    <r>
      <rPr>
        <sz val="9"/>
        <rFont val="Yu Gothic"/>
        <family val="0"/>
        <charset val="1"/>
      </rPr>
      <t xml:space="preserve">AI</t>
    </r>
    <r>
      <rPr>
        <sz val="9"/>
        <rFont val="Noto Sans CJK SC"/>
        <family val="2"/>
      </rPr>
      <t xml:space="preserve">資産とリスクの全体像を可視化できます。</t>
    </r>
  </si>
  <si>
    <t xml:space="preserve">取得するモデル・データセットの供給元・改変履歴・署名を検証し、来歴不明な資産の本番利用を禁止する。</t>
  </si>
  <si>
    <t xml:space="preserve">OWASP AISVS, MITRE ATLAS, NCSC/CISA</t>
  </si>
  <si>
    <r>
      <rPr>
        <sz val="9"/>
        <rFont val="Noto Sans CJK SC"/>
        <family val="2"/>
      </rPr>
      <t xml:space="preserve">モデル・データセット供給元の来歴検証により、守るべき</t>
    </r>
    <r>
      <rPr>
        <sz val="9"/>
        <rFont val="Yu Gothic"/>
        <family val="0"/>
        <charset val="1"/>
      </rPr>
      <t xml:space="preserve">AI</t>
    </r>
    <r>
      <rPr>
        <sz val="9"/>
        <rFont val="Noto Sans CJK SC"/>
        <family val="2"/>
      </rPr>
      <t xml:space="preserve">資産とリスクの全体像を可視化できます。</t>
    </r>
  </si>
  <si>
    <r>
      <rPr>
        <sz val="9"/>
        <rFont val="Noto Sans CJK SC"/>
        <family val="2"/>
      </rPr>
      <t xml:space="preserve">エージェントが接続する</t>
    </r>
    <r>
      <rPr>
        <sz val="9"/>
        <rFont val="Yu Gothic"/>
        <family val="0"/>
        <charset val="1"/>
      </rPr>
      <t xml:space="preserve">MCP</t>
    </r>
    <r>
      <rPr>
        <sz val="9"/>
        <rFont val="Noto Sans CJK SC"/>
        <family val="2"/>
      </rPr>
      <t xml:space="preserve">サーバー・プラグイン・外部ツールを供給元・権限要求・挙動の観点で審査し、承認リストで管理する。</t>
    </r>
  </si>
  <si>
    <r>
      <rPr>
        <sz val="9"/>
        <rFont val="Yu Gothic"/>
        <family val="0"/>
        <charset val="1"/>
      </rPr>
      <t xml:space="preserve">OWASP ASI10, OWASP AISVS, ASD</t>
    </r>
    <r>
      <rPr>
        <sz val="9"/>
        <rFont val="Noto Sans CJK SC"/>
        <family val="2"/>
      </rPr>
      <t xml:space="preserve">エージェント</t>
    </r>
    <r>
      <rPr>
        <sz val="9"/>
        <rFont val="Yu Gothic"/>
        <family val="0"/>
        <charset val="1"/>
      </rPr>
      <t xml:space="preserve">AI</t>
    </r>
  </si>
  <si>
    <r>
      <rPr>
        <sz val="9"/>
        <rFont val="Yu Gothic"/>
        <family val="0"/>
        <charset val="1"/>
      </rPr>
      <t xml:space="preserve">MCP</t>
    </r>
    <r>
      <rPr>
        <sz val="9"/>
        <rFont val="Noto Sans CJK SC"/>
        <family val="2"/>
      </rPr>
      <t xml:space="preserve">サーバー・プラグイン・エージェントツールの事前審査により、守るべき</t>
    </r>
    <r>
      <rPr>
        <sz val="9"/>
        <rFont val="Yu Gothic"/>
        <family val="0"/>
        <charset val="1"/>
      </rPr>
      <t xml:space="preserve">AI</t>
    </r>
    <r>
      <rPr>
        <sz val="9"/>
        <rFont val="Noto Sans CJK SC"/>
        <family val="2"/>
      </rPr>
      <t xml:space="preserve">資産とリスクの全体像を可視化できます。</t>
    </r>
  </si>
  <si>
    <t xml:space="preserve">単一モデルプロバイダー・単一リージョンへの依存度を評価し、重要ユースケースの代替可能性を確保する。</t>
  </si>
  <si>
    <r>
      <rPr>
        <sz val="9"/>
        <rFont val="Yu Gothic"/>
        <family val="0"/>
        <charset val="1"/>
      </rPr>
      <t xml:space="preserve">ISO 42001, Five Eyes</t>
    </r>
    <r>
      <rPr>
        <sz val="9"/>
        <rFont val="Noto Sans CJK SC"/>
        <family val="2"/>
      </rPr>
      <t xml:space="preserve">声明</t>
    </r>
    <r>
      <rPr>
        <sz val="9"/>
        <rFont val="Yu Gothic"/>
        <family val="0"/>
        <charset val="1"/>
      </rPr>
      <t xml:space="preserve">, CSA AICM</t>
    </r>
  </si>
  <si>
    <r>
      <rPr>
        <sz val="9"/>
        <rFont val="Yu Gothic"/>
        <family val="0"/>
        <charset val="1"/>
      </rPr>
      <t xml:space="preserve">AI</t>
    </r>
    <r>
      <rPr>
        <sz val="9"/>
        <rFont val="Noto Sans CJK SC"/>
        <family val="2"/>
      </rPr>
      <t xml:space="preserve">サービスの集中リスク評価により、守るべき</t>
    </r>
    <r>
      <rPr>
        <sz val="9"/>
        <rFont val="Yu Gothic"/>
        <family val="0"/>
        <charset val="1"/>
      </rPr>
      <t xml:space="preserve">AI</t>
    </r>
    <r>
      <rPr>
        <sz val="9"/>
        <rFont val="Noto Sans CJK SC"/>
        <family val="2"/>
      </rPr>
      <t xml:space="preserve">資産とリスクの全体像を可視化できます。</t>
    </r>
  </si>
  <si>
    <t xml:space="preserve">データ非学習（オプトアウト）、インシデント通知義務、監査権、責任分界を含む契約条項の標準を整備する。</t>
  </si>
  <si>
    <r>
      <rPr>
        <sz val="9"/>
        <rFont val="Yu Gothic"/>
        <family val="0"/>
        <charset val="1"/>
      </rPr>
      <t xml:space="preserve">AI</t>
    </r>
    <r>
      <rPr>
        <sz val="9"/>
        <rFont val="Noto Sans CJK SC"/>
        <family val="2"/>
      </rPr>
      <t xml:space="preserve">事業者</t>
    </r>
    <r>
      <rPr>
        <sz val="9"/>
        <rFont val="Yu Gothic"/>
        <family val="0"/>
        <charset val="1"/>
      </rPr>
      <t xml:space="preserve">GL, ISO 42001, EU AI Act</t>
    </r>
  </si>
  <si>
    <r>
      <rPr>
        <sz val="9"/>
        <rFont val="Yu Gothic"/>
        <family val="0"/>
        <charset val="1"/>
      </rPr>
      <t xml:space="preserve">AI</t>
    </r>
    <r>
      <rPr>
        <sz val="9"/>
        <rFont val="Noto Sans CJK SC"/>
        <family val="2"/>
      </rPr>
      <t xml:space="preserve">調達契約のセキュリティ・責任分界条項により、守るべき</t>
    </r>
    <r>
      <rPr>
        <sz val="9"/>
        <rFont val="Yu Gothic"/>
        <family val="0"/>
        <charset val="1"/>
      </rPr>
      <t xml:space="preserve">AI</t>
    </r>
    <r>
      <rPr>
        <sz val="9"/>
        <rFont val="Noto Sans CJK SC"/>
        <family val="2"/>
      </rPr>
      <t xml:space="preserve">資産とリスクの全体像を可視化できます。</t>
    </r>
  </si>
  <si>
    <t xml:space="preserve">オープンウェイトモデル採用時の評価基準（既知脆弱性・混入リスク・ライセンス・サポート体制）を定め、審査記録を残す。</t>
  </si>
  <si>
    <r>
      <rPr>
        <sz val="9"/>
        <rFont val="Yu Gothic"/>
        <family val="0"/>
        <charset val="1"/>
      </rPr>
      <t xml:space="preserve">NCSC/CISA,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 NIST AI RMF</t>
    </r>
  </si>
  <si>
    <r>
      <rPr>
        <sz val="9"/>
        <rFont val="Noto Sans CJK SC"/>
        <family val="2"/>
      </rPr>
      <t xml:space="preserve">オープンウェイトモデル利用時の評価基準により、守るべき</t>
    </r>
    <r>
      <rPr>
        <sz val="9"/>
        <rFont val="Yu Gothic"/>
        <family val="0"/>
        <charset val="1"/>
      </rPr>
      <t xml:space="preserve">AI</t>
    </r>
    <r>
      <rPr>
        <sz val="9"/>
        <rFont val="Noto Sans CJK SC"/>
        <family val="2"/>
      </rPr>
      <t xml:space="preserve">資産とリスクの全体像を可視化できます。</t>
    </r>
  </si>
  <si>
    <t xml:space="preserve">学習・ファインチューニングに用いるデータの品質基準、ラベリング／アノテーションのセキュリティ、バイアス評価、来歴管理のプロセスを確立する。</t>
  </si>
  <si>
    <r>
      <rPr>
        <sz val="9"/>
        <rFont val="Noto Sans CJK SC"/>
        <family val="2"/>
      </rPr>
      <t xml:space="preserve">データガバナンスに関するリスクを低減し、</t>
    </r>
    <r>
      <rPr>
        <sz val="9"/>
        <rFont val="Yu Gothic"/>
        <family val="0"/>
        <charset val="1"/>
      </rPr>
      <t xml:space="preserve">AIMF ID</t>
    </r>
    <r>
      <rPr>
        <sz val="9"/>
        <rFont val="Noto Sans CJK SC"/>
        <family val="2"/>
      </rPr>
      <t xml:space="preserve">区分（</t>
    </r>
    <r>
      <rPr>
        <sz val="9"/>
        <rFont val="Yu Gothic"/>
        <family val="0"/>
        <charset val="1"/>
      </rPr>
      <t xml:space="preserve">DGV</t>
    </r>
    <r>
      <rPr>
        <sz val="9"/>
        <rFont val="Noto Sans CJK SC"/>
        <family val="2"/>
      </rPr>
      <t xml:space="preserve">カテゴリ）の要求に対応する。</t>
    </r>
  </si>
  <si>
    <r>
      <rPr>
        <sz val="9"/>
        <rFont val="Yu Gothic"/>
        <family val="0"/>
        <charset val="1"/>
      </rPr>
      <t xml:space="preserve">OWASP AISVS, EU AI Act, ISO 42001, NIST AI RMF, NCSC/CISA,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 AI</t>
    </r>
    <r>
      <rPr>
        <sz val="9"/>
        <rFont val="Noto Sans CJK SC"/>
        <family val="2"/>
      </rPr>
      <t xml:space="preserve">事業者</t>
    </r>
    <r>
      <rPr>
        <sz val="9"/>
        <rFont val="Yu Gothic"/>
        <family val="0"/>
        <charset val="1"/>
      </rPr>
      <t xml:space="preserve">GL</t>
    </r>
  </si>
  <si>
    <r>
      <rPr>
        <sz val="9"/>
        <rFont val="Noto Sans CJK SC"/>
        <family val="2"/>
      </rPr>
      <t xml:space="preserve">学習・チューニングデータのガバナンスにより、守るべき</t>
    </r>
    <r>
      <rPr>
        <sz val="9"/>
        <rFont val="Yu Gothic"/>
        <family val="0"/>
        <charset val="1"/>
      </rPr>
      <t xml:space="preserve">AI</t>
    </r>
    <r>
      <rPr>
        <sz val="9"/>
        <rFont val="Noto Sans CJK SC"/>
        <family val="2"/>
      </rPr>
      <t xml:space="preserve">資産とリスクの全体像を可視化できます。</t>
    </r>
  </si>
  <si>
    <r>
      <rPr>
        <sz val="9"/>
        <rFont val="Noto Sans CJK SC"/>
        <family val="2"/>
      </rPr>
      <t xml:space="preserve">データ分類基準に</t>
    </r>
    <r>
      <rPr>
        <sz val="9"/>
        <rFont val="Yu Gothic"/>
        <family val="0"/>
        <charset val="1"/>
      </rPr>
      <t xml:space="preserve">AI</t>
    </r>
    <r>
      <rPr>
        <sz val="9"/>
        <rFont val="Noto Sans CJK SC"/>
        <family val="2"/>
      </rPr>
      <t xml:space="preserve">利用可否（学習可・</t>
    </r>
    <r>
      <rPr>
        <sz val="9"/>
        <rFont val="Yu Gothic"/>
        <family val="0"/>
        <charset val="1"/>
      </rPr>
      <t xml:space="preserve">RAG</t>
    </r>
    <r>
      <rPr>
        <sz val="9"/>
        <rFont val="Noto Sans CJK SC"/>
        <family val="2"/>
      </rPr>
      <t xml:space="preserve">可・入力禁止等）のラベルを追加し、全データストアに適用する。</t>
    </r>
  </si>
  <si>
    <r>
      <rPr>
        <sz val="9"/>
        <rFont val="Yu Gothic"/>
        <family val="0"/>
        <charset val="1"/>
      </rPr>
      <t xml:space="preserve">CIS v8.1, ISO 42001, </t>
    </r>
    <r>
      <rPr>
        <sz val="9"/>
        <rFont val="Noto Sans CJK SC"/>
        <family val="2"/>
      </rPr>
      <t xml:space="preserve">デジタル庁</t>
    </r>
    <r>
      <rPr>
        <sz val="9"/>
        <rFont val="Yu Gothic"/>
        <family val="0"/>
        <charset val="1"/>
      </rPr>
      <t xml:space="preserve">GL</t>
    </r>
  </si>
  <si>
    <r>
      <rPr>
        <sz val="9"/>
        <rFont val="Noto Sans CJK SC"/>
        <family val="2"/>
      </rPr>
      <t xml:space="preserve">データ分類と</t>
    </r>
    <r>
      <rPr>
        <sz val="9"/>
        <rFont val="Yu Gothic"/>
        <family val="0"/>
        <charset val="1"/>
      </rPr>
      <t xml:space="preserve">AI</t>
    </r>
    <r>
      <rPr>
        <sz val="9"/>
        <rFont val="Noto Sans CJK SC"/>
        <family val="2"/>
      </rPr>
      <t xml:space="preserve">利用可否ラベルにより、守るべき</t>
    </r>
    <r>
      <rPr>
        <sz val="9"/>
        <rFont val="Yu Gothic"/>
        <family val="0"/>
        <charset val="1"/>
      </rPr>
      <t xml:space="preserve">AI</t>
    </r>
    <r>
      <rPr>
        <sz val="9"/>
        <rFont val="Noto Sans CJK SC"/>
        <family val="2"/>
      </rPr>
      <t xml:space="preserve">資産とリスクの全体像を可視化できます。</t>
    </r>
  </si>
  <si>
    <r>
      <rPr>
        <sz val="9"/>
        <rFont val="Noto Sans CJK SC"/>
        <family val="2"/>
      </rPr>
      <t xml:space="preserve">学習・</t>
    </r>
    <r>
      <rPr>
        <sz val="9"/>
        <rFont val="Yu Gothic"/>
        <family val="0"/>
        <charset val="1"/>
      </rPr>
      <t xml:space="preserve">RAG</t>
    </r>
    <r>
      <rPr>
        <sz val="9"/>
        <rFont val="Noto Sans CJK SC"/>
        <family val="2"/>
      </rPr>
      <t xml:space="preserve">に投入するデータの取得元・加工履歴・同意状況を記録し、汚染発覚時の影響範囲特定を可能にする。</t>
    </r>
  </si>
  <si>
    <t xml:space="preserve">OWASP AISVS, EU AI Act, ISO 42001</t>
  </si>
  <si>
    <r>
      <rPr>
        <sz val="9"/>
        <rFont val="Noto Sans CJK SC"/>
        <family val="2"/>
      </rPr>
      <t xml:space="preserve">学習・</t>
    </r>
    <r>
      <rPr>
        <sz val="9"/>
        <rFont val="Yu Gothic"/>
        <family val="0"/>
        <charset val="1"/>
      </rPr>
      <t xml:space="preserve">RAG</t>
    </r>
    <r>
      <rPr>
        <sz val="9"/>
        <rFont val="Noto Sans CJK SC"/>
        <family val="2"/>
      </rPr>
      <t xml:space="preserve">データの来歴（プロビナンス）記録により、守るべき</t>
    </r>
    <r>
      <rPr>
        <sz val="9"/>
        <rFont val="Yu Gothic"/>
        <family val="0"/>
        <charset val="1"/>
      </rPr>
      <t xml:space="preserve">AI</t>
    </r>
    <r>
      <rPr>
        <sz val="9"/>
        <rFont val="Noto Sans CJK SC"/>
        <family val="2"/>
      </rPr>
      <t xml:space="preserve">資産とリスクの全体像を可視化できます。</t>
    </r>
  </si>
  <si>
    <t xml:space="preserve">合成データの生成方法・品質基準・元データのプライバシー漏えいリスク評価を定め、利用範囲を管理する。</t>
  </si>
  <si>
    <t xml:space="preserve">ISO 42001, NIST AI RMF</t>
  </si>
  <si>
    <r>
      <rPr>
        <sz val="9"/>
        <rFont val="Noto Sans CJK SC"/>
        <family val="2"/>
      </rPr>
      <t xml:space="preserve">合成データの生成・利用統制により、守るべき</t>
    </r>
    <r>
      <rPr>
        <sz val="9"/>
        <rFont val="Yu Gothic"/>
        <family val="0"/>
        <charset val="1"/>
      </rPr>
      <t xml:space="preserve">AI</t>
    </r>
    <r>
      <rPr>
        <sz val="9"/>
        <rFont val="Noto Sans CJK SC"/>
        <family val="2"/>
      </rPr>
      <t xml:space="preserve">資産とリスクの全体像を可視化できます。</t>
    </r>
  </si>
  <si>
    <r>
      <rPr>
        <sz val="9"/>
        <rFont val="Noto Sans CJK SC"/>
        <family val="2"/>
      </rPr>
      <t xml:space="preserve">保持期限超過データ・削除要求対象データが学習セット・ベクトル</t>
    </r>
    <r>
      <rPr>
        <sz val="9"/>
        <rFont val="Yu Gothic"/>
        <family val="0"/>
        <charset val="1"/>
      </rPr>
      <t xml:space="preserve">DB</t>
    </r>
    <r>
      <rPr>
        <sz val="9"/>
        <rFont val="Noto Sans CJK SC"/>
        <family val="2"/>
      </rPr>
      <t xml:space="preserve">・ログに残存しない削除フローを整備する。</t>
    </r>
  </si>
  <si>
    <t xml:space="preserve">CIS v8.1, ISO 42001, EU AI Act</t>
  </si>
  <si>
    <r>
      <rPr>
        <sz val="9"/>
        <rFont val="Noto Sans CJK SC"/>
        <family val="2"/>
      </rPr>
      <t xml:space="preserve">データ保持・削除ポリシーの</t>
    </r>
    <r>
      <rPr>
        <sz val="9"/>
        <rFont val="Yu Gothic"/>
        <family val="0"/>
        <charset val="1"/>
      </rPr>
      <t xml:space="preserve">AI</t>
    </r>
    <r>
      <rPr>
        <sz val="9"/>
        <rFont val="Noto Sans CJK SC"/>
        <family val="2"/>
      </rPr>
      <t xml:space="preserve">パイプライン適用により、守るべき</t>
    </r>
    <r>
      <rPr>
        <sz val="9"/>
        <rFont val="Yu Gothic"/>
        <family val="0"/>
        <charset val="1"/>
      </rPr>
      <t xml:space="preserve">AI</t>
    </r>
    <r>
      <rPr>
        <sz val="9"/>
        <rFont val="Noto Sans CJK SC"/>
        <family val="2"/>
      </rPr>
      <t xml:space="preserve">資産とリスクの全体像を可視化できます。</t>
    </r>
  </si>
  <si>
    <r>
      <rPr>
        <sz val="9"/>
        <rFont val="Noto Sans CJK SC"/>
        <family val="2"/>
      </rPr>
      <t xml:space="preserve">設計段階で</t>
    </r>
    <r>
      <rPr>
        <sz val="9"/>
        <rFont val="Yu Gothic"/>
        <family val="0"/>
        <charset val="1"/>
      </rPr>
      <t xml:space="preserve">ATLAS</t>
    </r>
    <r>
      <rPr>
        <sz val="9"/>
        <rFont val="Noto Sans CJK SC"/>
        <family val="2"/>
      </rPr>
      <t xml:space="preserve">の戦術・技術を用いた脅威モデリングを実施し、想定</t>
    </r>
    <r>
      <rPr>
        <sz val="9"/>
        <rFont val="Yu Gothic"/>
        <family val="0"/>
        <charset val="1"/>
      </rPr>
      <t xml:space="preserve">TTP</t>
    </r>
    <r>
      <rPr>
        <sz val="9"/>
        <rFont val="Noto Sans CJK SC"/>
        <family val="2"/>
      </rPr>
      <t xml:space="preserve">ごとの対策と検知の対応表を作成する。</t>
    </r>
  </si>
  <si>
    <r>
      <rPr>
        <sz val="9"/>
        <rFont val="Yu Gothic"/>
        <family val="0"/>
        <charset val="1"/>
      </rPr>
      <t xml:space="preserve">AI</t>
    </r>
    <r>
      <rPr>
        <sz val="9"/>
        <rFont val="Noto Sans CJK SC"/>
        <family val="2"/>
      </rPr>
      <t xml:space="preserve">脅威分析・脅威インテリジェンスに関するリスクを低減し、</t>
    </r>
    <r>
      <rPr>
        <sz val="9"/>
        <rFont val="Yu Gothic"/>
        <family val="0"/>
        <charset val="1"/>
      </rPr>
      <t xml:space="preserve">AIMF ID</t>
    </r>
    <r>
      <rPr>
        <sz val="9"/>
        <rFont val="Noto Sans CJK SC"/>
        <family val="2"/>
      </rPr>
      <t xml:space="preserve">区分（</t>
    </r>
    <r>
      <rPr>
        <sz val="9"/>
        <rFont val="Yu Gothic"/>
        <family val="0"/>
        <charset val="1"/>
      </rPr>
      <t xml:space="preserve">THR</t>
    </r>
    <r>
      <rPr>
        <sz val="9"/>
        <rFont val="Noto Sans CJK SC"/>
        <family val="2"/>
      </rPr>
      <t xml:space="preserve">カテゴリ）の要求に対応する。</t>
    </r>
  </si>
  <si>
    <t xml:space="preserve">MITRE ATLAS, NIST AI RMF, NCSC/CISA</t>
  </si>
  <si>
    <r>
      <rPr>
        <sz val="9"/>
        <rFont val="Yu Gothic"/>
        <family val="0"/>
        <charset val="1"/>
      </rPr>
      <t xml:space="preserve">MITRE ATLAS</t>
    </r>
    <r>
      <rPr>
        <sz val="9"/>
        <rFont val="Noto Sans CJK SC"/>
        <family val="2"/>
      </rPr>
      <t xml:space="preserve">に基づく</t>
    </r>
    <r>
      <rPr>
        <sz val="9"/>
        <rFont val="Yu Gothic"/>
        <family val="0"/>
        <charset val="1"/>
      </rPr>
      <t xml:space="preserve">AI</t>
    </r>
    <r>
      <rPr>
        <sz val="9"/>
        <rFont val="Noto Sans CJK SC"/>
        <family val="2"/>
      </rPr>
      <t xml:space="preserve">脅威モデリングにより、守るべき</t>
    </r>
    <r>
      <rPr>
        <sz val="9"/>
        <rFont val="Yu Gothic"/>
        <family val="0"/>
        <charset val="1"/>
      </rPr>
      <t xml:space="preserve">AI</t>
    </r>
    <r>
      <rPr>
        <sz val="9"/>
        <rFont val="Noto Sans CJK SC"/>
        <family val="2"/>
      </rPr>
      <t xml:space="preserve">資産とリスクの全体像を可視化できます。</t>
    </r>
  </si>
  <si>
    <t xml:space="preserve">ツール・メモリ・エージェント間通信・外部統合を含むエージェント固有の攻撃面を列挙し、設計・構成リスクを評価する。</t>
  </si>
  <si>
    <r>
      <rPr>
        <sz val="9"/>
        <rFont val="Yu Gothic"/>
        <family val="0"/>
        <charset val="1"/>
      </rPr>
      <t xml:space="preserve">ASD</t>
    </r>
    <r>
      <rPr>
        <sz val="9"/>
        <rFont val="Noto Sans CJK SC"/>
        <family val="2"/>
      </rPr>
      <t xml:space="preserve">エージェント</t>
    </r>
    <r>
      <rPr>
        <sz val="9"/>
        <rFont val="Yu Gothic"/>
        <family val="0"/>
        <charset val="1"/>
      </rPr>
      <t xml:space="preserve">AI, OWASP ASI10, OWASP AISVS</t>
    </r>
  </si>
  <si>
    <r>
      <rPr>
        <sz val="9"/>
        <rFont val="Noto Sans CJK SC"/>
        <family val="2"/>
      </rPr>
      <t xml:space="preserve">エージェントシステムのアタックサーフェス分析により、守るべき</t>
    </r>
    <r>
      <rPr>
        <sz val="9"/>
        <rFont val="Yu Gothic"/>
        <family val="0"/>
        <charset val="1"/>
      </rPr>
      <t xml:space="preserve">AI</t>
    </r>
    <r>
      <rPr>
        <sz val="9"/>
        <rFont val="Noto Sans CJK SC"/>
        <family val="2"/>
      </rPr>
      <t xml:space="preserve">資産とリスクの全体像を可視化できます。</t>
    </r>
  </si>
  <si>
    <r>
      <rPr>
        <sz val="9"/>
        <rFont val="Yu Gothic"/>
        <family val="0"/>
        <charset val="1"/>
      </rPr>
      <t xml:space="preserve">AI</t>
    </r>
    <r>
      <rPr>
        <sz val="9"/>
        <rFont val="Noto Sans CJK SC"/>
        <family val="2"/>
      </rPr>
      <t xml:space="preserve">固有の脅威情報（新たな脱獄手法・悪性モデル・攻撃キャンペーン）を収集し、業界・当局との共有に参加する。</t>
    </r>
  </si>
  <si>
    <r>
      <rPr>
        <sz val="9"/>
        <rFont val="Yu Gothic"/>
        <family val="0"/>
        <charset val="1"/>
      </rPr>
      <t xml:space="preserve">ENISA, Five Eyes</t>
    </r>
    <r>
      <rPr>
        <sz val="9"/>
        <rFont val="Noto Sans CJK SC"/>
        <family val="2"/>
      </rPr>
      <t xml:space="preserve">声明</t>
    </r>
    <r>
      <rPr>
        <sz val="9"/>
        <rFont val="Yu Gothic"/>
        <family val="0"/>
        <charset val="1"/>
      </rPr>
      <t xml:space="preserve">, MITRE ATLAS</t>
    </r>
  </si>
  <si>
    <r>
      <rPr>
        <sz val="9"/>
        <rFont val="Yu Gothic"/>
        <family val="0"/>
        <charset val="1"/>
      </rPr>
      <t xml:space="preserve">AI</t>
    </r>
    <r>
      <rPr>
        <sz val="9"/>
        <rFont val="Noto Sans CJK SC"/>
        <family val="2"/>
      </rPr>
      <t xml:space="preserve">脅威インテリジェンスの収集・共有により、守るべき</t>
    </r>
    <r>
      <rPr>
        <sz val="9"/>
        <rFont val="Yu Gothic"/>
        <family val="0"/>
        <charset val="1"/>
      </rPr>
      <t xml:space="preserve">AI</t>
    </r>
    <r>
      <rPr>
        <sz val="9"/>
        <rFont val="Noto Sans CJK SC"/>
        <family val="2"/>
      </rPr>
      <t xml:space="preserve">資産とリスクの全体像を可視化できます。</t>
    </r>
  </si>
  <si>
    <t xml:space="preserve">自組織のユースケースに即した脅威シナリオを整備し、レッドチーミング・机上演習・検知ルール開発の共通素材とする。</t>
  </si>
  <si>
    <t xml:space="preserve">MITRE ATLAS, NCSC/CISA, CIS v8.1</t>
  </si>
  <si>
    <r>
      <rPr>
        <sz val="9"/>
        <rFont val="Yu Gothic"/>
        <family val="0"/>
        <charset val="1"/>
      </rPr>
      <t xml:space="preserve">AI</t>
    </r>
    <r>
      <rPr>
        <sz val="9"/>
        <rFont val="Noto Sans CJK SC"/>
        <family val="2"/>
      </rPr>
      <t xml:space="preserve">脅威シナリオライブラリの整備により、守るべき</t>
    </r>
    <r>
      <rPr>
        <sz val="9"/>
        <rFont val="Yu Gothic"/>
        <family val="0"/>
        <charset val="1"/>
      </rPr>
      <t xml:space="preserve">AI</t>
    </r>
    <r>
      <rPr>
        <sz val="9"/>
        <rFont val="Noto Sans CJK SC"/>
        <family val="2"/>
      </rPr>
      <t xml:space="preserve">資産とリスクの全体像を可視化できます。</t>
    </r>
  </si>
  <si>
    <r>
      <rPr>
        <sz val="9"/>
        <rFont val="Yu Gothic"/>
        <family val="0"/>
        <charset val="1"/>
      </rPr>
      <t xml:space="preserve">SBOM/AI-BOM</t>
    </r>
    <r>
      <rPr>
        <sz val="9"/>
        <rFont val="Noto Sans CJK SC"/>
        <family val="2"/>
      </rPr>
      <t xml:space="preserve">経由で検知された脆弱性が自社環境で実際に悪用可能かを、脅威インテリジェンス連携（</t>
    </r>
    <r>
      <rPr>
        <sz val="9"/>
        <rFont val="Yu Gothic"/>
        <family val="0"/>
        <charset val="1"/>
      </rPr>
      <t xml:space="preserve">EPSS</t>
    </r>
    <r>
      <rPr>
        <sz val="9"/>
        <rFont val="Noto Sans CJK SC"/>
        <family val="2"/>
      </rPr>
      <t xml:space="preserve">等）で機械的に一次判断するフローを確立する。</t>
    </r>
  </si>
  <si>
    <r>
      <rPr>
        <sz val="9"/>
        <rFont val="Noto Sans CJK SC"/>
        <family val="2"/>
      </rPr>
      <t xml:space="preserve">迅速な脆弱性対応・リスク判断フローに関するリスクを低減し、</t>
    </r>
    <r>
      <rPr>
        <sz val="9"/>
        <rFont val="Yu Gothic"/>
        <family val="0"/>
        <charset val="1"/>
      </rPr>
      <t xml:space="preserve">AIMF PR</t>
    </r>
    <r>
      <rPr>
        <sz val="9"/>
        <rFont val="Noto Sans CJK SC"/>
        <family val="2"/>
      </rPr>
      <t xml:space="preserve">区分（</t>
    </r>
    <r>
      <rPr>
        <sz val="9"/>
        <rFont val="Yu Gothic"/>
        <family val="0"/>
        <charset val="1"/>
      </rPr>
      <t xml:space="preserve">VUL</t>
    </r>
    <r>
      <rPr>
        <sz val="9"/>
        <rFont val="Noto Sans CJK SC"/>
        <family val="2"/>
      </rPr>
      <t xml:space="preserve">カテゴリ）の要求に対応する。</t>
    </r>
  </si>
  <si>
    <r>
      <rPr>
        <sz val="9"/>
        <rFont val="Yu Gothic"/>
        <family val="0"/>
        <charset val="1"/>
      </rPr>
      <t xml:space="preserve">CSA AICM, NCSC/CISA, OWASP AISVS,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t>
    </r>
  </si>
  <si>
    <r>
      <rPr>
        <sz val="9"/>
        <rFont val="Noto Sans CJK SC"/>
        <family val="2"/>
      </rPr>
      <t xml:space="preserve">セキュリティ部門</t>
    </r>
    <r>
      <rPr>
        <sz val="9"/>
        <rFont val="Yu Gothic"/>
        <family val="0"/>
        <charset val="1"/>
      </rPr>
      <t xml:space="preserve">/AI</t>
    </r>
    <r>
      <rPr>
        <sz val="9"/>
        <rFont val="Noto Sans CJK SC"/>
        <family val="2"/>
      </rPr>
      <t xml:space="preserve">開発</t>
    </r>
    <r>
      <rPr>
        <sz val="9"/>
        <rFont val="Yu Gothic"/>
        <family val="0"/>
        <charset val="1"/>
      </rPr>
      <t xml:space="preserve">/IT</t>
    </r>
    <r>
      <rPr>
        <sz val="9"/>
        <rFont val="Noto Sans CJK SC"/>
        <family val="2"/>
      </rPr>
      <t xml:space="preserve">基盤</t>
    </r>
  </si>
  <si>
    <t xml:space="preserve">設計書、設定記録、評価レポート、教育記録</t>
  </si>
  <si>
    <r>
      <rPr>
        <sz val="9"/>
        <rFont val="Noto Sans CJK SC"/>
        <family val="2"/>
      </rPr>
      <t xml:space="preserve">脆弱性トリアージ自動化プロセスにより、</t>
    </r>
    <r>
      <rPr>
        <sz val="9"/>
        <rFont val="Yu Gothic"/>
        <family val="0"/>
        <charset val="1"/>
      </rPr>
      <t xml:space="preserve">AI</t>
    </r>
    <r>
      <rPr>
        <sz val="9"/>
        <rFont val="Noto Sans CJK SC"/>
        <family val="2"/>
      </rPr>
      <t xml:space="preserve">固有の攻撃・誤動作を未然に防ぐ実装統制が整います。</t>
    </r>
  </si>
  <si>
    <t xml:space="preserve">設定画面・テスト結果・パイプライン定義</t>
  </si>
  <si>
    <r>
      <rPr>
        <sz val="9"/>
        <rFont val="Yu Gothic"/>
        <family val="0"/>
        <charset val="1"/>
      </rPr>
      <t xml:space="preserve">AI</t>
    </r>
    <r>
      <rPr>
        <sz val="9"/>
        <rFont val="Noto Sans CJK SC"/>
        <family val="2"/>
      </rPr>
      <t xml:space="preserve">インフラをコードで管理し、パッチ適用・設定変更を</t>
    </r>
    <r>
      <rPr>
        <sz val="9"/>
        <rFont val="Yu Gothic"/>
        <family val="0"/>
        <charset val="1"/>
      </rPr>
      <t xml:space="preserve">GitOps</t>
    </r>
    <r>
      <rPr>
        <sz val="9"/>
        <rFont val="Noto Sans CJK SC"/>
        <family val="2"/>
      </rPr>
      <t xml:space="preserve">により一斉かつ即座にデプロイできる基盤を構築する。</t>
    </r>
  </si>
  <si>
    <t xml:space="preserve">CSA AICM, NCSC/CISA, OWASP AISVS</t>
  </si>
  <si>
    <r>
      <rPr>
        <sz val="9"/>
        <rFont val="Yu Gothic"/>
        <family val="0"/>
        <charset val="1"/>
      </rPr>
      <t xml:space="preserve">IaC</t>
    </r>
    <r>
      <rPr>
        <sz val="9"/>
        <rFont val="Noto Sans CJK SC"/>
        <family val="2"/>
      </rPr>
      <t xml:space="preserve">による迅速な脆弱性適用基盤により、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</si>
  <si>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脆弱性発見時に修正済みベースイメージからコンテナを再ビルドし、無停止で入れ替える運用（</t>
    </r>
    <r>
      <rPr>
        <sz val="9"/>
        <rFont val="Yu Gothic"/>
        <family val="0"/>
        <charset val="1"/>
      </rPr>
      <t xml:space="preserve">Immutable Infrastructure</t>
    </r>
    <r>
      <rPr>
        <sz val="9"/>
        <rFont val="Noto Sans CJK SC"/>
        <family val="2"/>
      </rPr>
      <t xml:space="preserve">）を自動化する。</t>
    </r>
  </si>
  <si>
    <r>
      <rPr>
        <sz val="9"/>
        <rFont val="Noto Sans CJK SC"/>
        <family val="2"/>
      </rPr>
      <t xml:space="preserve">コンテナイメージの自動パッチ適用パイプラインにより、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</si>
  <si>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即時パッチ適用が困難な</t>
    </r>
    <r>
      <rPr>
        <sz val="9"/>
        <rFont val="Yu Gothic"/>
        <family val="0"/>
        <charset val="1"/>
      </rPr>
      <t xml:space="preserve">AI</t>
    </r>
    <r>
      <rPr>
        <sz val="9"/>
        <rFont val="Noto Sans CJK SC"/>
        <family val="2"/>
      </rPr>
      <t xml:space="preserve">コンポーネントに対し、</t>
    </r>
    <r>
      <rPr>
        <sz val="9"/>
        <rFont val="Yu Gothic"/>
        <family val="0"/>
        <charset val="1"/>
      </rPr>
      <t xml:space="preserve">WAF</t>
    </r>
    <r>
      <rPr>
        <sz val="9"/>
        <rFont val="Noto Sans CJK SC"/>
        <family val="2"/>
      </rPr>
      <t xml:space="preserve">ルール・設定変更・アクセス制限による仮想パッチを適用し恒久対応まで防御する。</t>
    </r>
  </si>
  <si>
    <r>
      <rPr>
        <sz val="9"/>
        <rFont val="Yu Gothic"/>
        <family val="0"/>
        <charset val="1"/>
      </rPr>
      <t xml:space="preserve">CIS v8.1, Five Eyes</t>
    </r>
    <r>
      <rPr>
        <sz val="9"/>
        <rFont val="Noto Sans CJK SC"/>
        <family val="2"/>
      </rPr>
      <t xml:space="preserve">声明</t>
    </r>
    <r>
      <rPr>
        <sz val="9"/>
        <rFont val="Yu Gothic"/>
        <family val="0"/>
        <charset val="1"/>
      </rPr>
      <t xml:space="preserve">, CSA AICM</t>
    </r>
  </si>
  <si>
    <r>
      <rPr>
        <sz val="9"/>
        <rFont val="Noto Sans CJK SC"/>
        <family val="2"/>
      </rPr>
      <t xml:space="preserve">仮想パッチ・緩和策の適用により、</t>
    </r>
    <r>
      <rPr>
        <sz val="9"/>
        <rFont val="Yu Gothic"/>
        <family val="0"/>
        <charset val="1"/>
      </rPr>
      <t xml:space="preserve">AI</t>
    </r>
    <r>
      <rPr>
        <sz val="9"/>
        <rFont val="Noto Sans CJK SC"/>
        <family val="2"/>
      </rPr>
      <t xml:space="preserve">固有の攻撃・誤動作を未然に防ぐ実装統制が整います。</t>
    </r>
  </si>
  <si>
    <t xml:space="preserve">サポート終了のモデル・フレームワーク・ランタイムを特定し、移行計画または隔離・補完統制を義務付ける。</t>
  </si>
  <si>
    <r>
      <rPr>
        <sz val="9"/>
        <rFont val="Yu Gothic"/>
        <family val="0"/>
        <charset val="1"/>
      </rPr>
      <t xml:space="preserve">Five Eyes</t>
    </r>
    <r>
      <rPr>
        <sz val="9"/>
        <rFont val="Noto Sans CJK SC"/>
        <family val="2"/>
      </rPr>
      <t xml:space="preserve">声明</t>
    </r>
    <r>
      <rPr>
        <sz val="9"/>
        <rFont val="Yu Gothic"/>
        <family val="0"/>
        <charset val="1"/>
      </rPr>
      <t xml:space="preserve">, CIS v8.1, CSA AICM</t>
    </r>
  </si>
  <si>
    <r>
      <rPr>
        <sz val="9"/>
        <rFont val="Yu Gothic"/>
        <family val="0"/>
        <charset val="1"/>
      </rPr>
      <t xml:space="preserve">EOL</t>
    </r>
    <r>
      <rPr>
        <sz val="9"/>
        <rFont val="Noto Sans CJK SC"/>
        <family val="2"/>
      </rPr>
      <t xml:space="preserve">・レガシー</t>
    </r>
    <r>
      <rPr>
        <sz val="9"/>
        <rFont val="Yu Gothic"/>
        <family val="0"/>
        <charset val="1"/>
      </rPr>
      <t xml:space="preserve">AI</t>
    </r>
    <r>
      <rPr>
        <sz val="9"/>
        <rFont val="Noto Sans CJK SC"/>
        <family val="2"/>
      </rPr>
      <t xml:space="preserve">コンポーネントの管理により、</t>
    </r>
    <r>
      <rPr>
        <sz val="9"/>
        <rFont val="Yu Gothic"/>
        <family val="0"/>
        <charset val="1"/>
      </rPr>
      <t xml:space="preserve">AI</t>
    </r>
    <r>
      <rPr>
        <sz val="9"/>
        <rFont val="Noto Sans CJK SC"/>
        <family val="2"/>
      </rPr>
      <t xml:space="preserve">固有の攻撃・誤動作を未然に防ぐ実装統制が整います。</t>
    </r>
  </si>
  <si>
    <r>
      <rPr>
        <sz val="9"/>
        <rFont val="Yu Gothic"/>
        <family val="0"/>
        <charset val="1"/>
      </rPr>
      <t xml:space="preserve">LLM</t>
    </r>
    <r>
      <rPr>
        <sz val="9"/>
        <rFont val="Noto Sans CJK SC"/>
        <family val="2"/>
      </rPr>
      <t xml:space="preserve">推論サーバー、ベクトル</t>
    </r>
    <r>
      <rPr>
        <sz val="9"/>
        <rFont val="Yu Gothic"/>
        <family val="0"/>
        <charset val="1"/>
      </rPr>
      <t xml:space="preserve">DB</t>
    </r>
    <r>
      <rPr>
        <sz val="9"/>
        <rFont val="Noto Sans CJK SC"/>
        <family val="2"/>
      </rPr>
      <t xml:space="preserve">、オーケストレーターをパブリックインターネットから隔離し、</t>
    </r>
    <r>
      <rPr>
        <sz val="9"/>
        <rFont val="Yu Gothic"/>
        <family val="0"/>
        <charset val="1"/>
      </rPr>
      <t xml:space="preserve">VPC</t>
    </r>
    <r>
      <rPr>
        <sz val="9"/>
        <rFont val="Noto Sans CJK SC"/>
        <family val="2"/>
      </rPr>
      <t xml:space="preserve">エンドポイント・閉域網経由のみで通信を許可する。</t>
    </r>
  </si>
  <si>
    <r>
      <rPr>
        <sz val="9"/>
        <rFont val="Yu Gothic"/>
        <family val="0"/>
        <charset val="1"/>
      </rPr>
      <t xml:space="preserve">AI</t>
    </r>
    <r>
      <rPr>
        <sz val="9"/>
        <rFont val="Noto Sans CJK SC"/>
        <family val="2"/>
      </rPr>
      <t xml:space="preserve">インフラ・ネットワークの要塞化に関するリスクを低減し、</t>
    </r>
    <r>
      <rPr>
        <sz val="9"/>
        <rFont val="Yu Gothic"/>
        <family val="0"/>
        <charset val="1"/>
      </rPr>
      <t xml:space="preserve">AIMF PR</t>
    </r>
    <r>
      <rPr>
        <sz val="9"/>
        <rFont val="Noto Sans CJK SC"/>
        <family val="2"/>
      </rPr>
      <t xml:space="preserve">区分（</t>
    </r>
    <r>
      <rPr>
        <sz val="9"/>
        <rFont val="Yu Gothic"/>
        <family val="0"/>
        <charset val="1"/>
      </rPr>
      <t xml:space="preserve">INF</t>
    </r>
    <r>
      <rPr>
        <sz val="9"/>
        <rFont val="Noto Sans CJK SC"/>
        <family val="2"/>
      </rPr>
      <t xml:space="preserve">カテゴリ）の要求に対応する。</t>
    </r>
  </si>
  <si>
    <r>
      <rPr>
        <sz val="9"/>
        <rFont val="Yu Gothic"/>
        <family val="0"/>
        <charset val="1"/>
      </rPr>
      <t xml:space="preserve">OWASP AISVS, CSA AICM,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 NCSC/CISA</t>
    </r>
  </si>
  <si>
    <r>
      <rPr>
        <sz val="9"/>
        <rFont val="Yu Gothic"/>
        <family val="0"/>
        <charset val="1"/>
      </rPr>
      <t xml:space="preserve">AI</t>
    </r>
    <r>
      <rPr>
        <sz val="9"/>
        <rFont val="Noto Sans CJK SC"/>
        <family val="2"/>
      </rPr>
      <t xml:space="preserve">ネットワーク環境の閉域化により、</t>
    </r>
    <r>
      <rPr>
        <sz val="9"/>
        <rFont val="Yu Gothic"/>
        <family val="0"/>
        <charset val="1"/>
      </rPr>
      <t xml:space="preserve">AI</t>
    </r>
    <r>
      <rPr>
        <sz val="9"/>
        <rFont val="Noto Sans CJK SC"/>
        <family val="2"/>
      </rPr>
      <t xml:space="preserve">固有の攻撃・誤動作を未然に防ぐ実装統制が整います。</t>
    </r>
  </si>
  <si>
    <r>
      <rPr>
        <sz val="9"/>
        <rFont val="Yu Gothic"/>
        <family val="0"/>
        <charset val="1"/>
      </rPr>
      <t xml:space="preserve">Network Policy</t>
    </r>
    <r>
      <rPr>
        <sz val="9"/>
        <rFont val="Noto Sans CJK SC"/>
        <family val="2"/>
      </rPr>
      <t xml:space="preserve">による</t>
    </r>
    <r>
      <rPr>
        <sz val="9"/>
        <rFont val="Yu Gothic"/>
        <family val="0"/>
        <charset val="1"/>
      </rPr>
      <t xml:space="preserve">Pod</t>
    </r>
    <r>
      <rPr>
        <sz val="9"/>
        <rFont val="Noto Sans CJK SC"/>
        <family val="2"/>
      </rPr>
      <t xml:space="preserve">間通信制限、特権コンテナの禁止、イメージスキャンを義務付ける。</t>
    </r>
  </si>
  <si>
    <t xml:space="preserve">OWASP AISVS, CSA AICM, NCSC/CISA</t>
  </si>
  <si>
    <r>
      <rPr>
        <sz val="9"/>
        <rFont val="Noto Sans CJK SC"/>
        <family val="2"/>
      </rPr>
      <t xml:space="preserve">コンテナ・オーケストレーション基盤の堅牢化により、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</si>
  <si>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ベクトル</t>
    </r>
    <r>
      <rPr>
        <sz val="9"/>
        <rFont val="Yu Gothic"/>
        <family val="0"/>
        <charset val="1"/>
      </rPr>
      <t xml:space="preserve">DB</t>
    </r>
    <r>
      <rPr>
        <sz val="9"/>
        <rFont val="Noto Sans CJK SC"/>
        <family val="2"/>
      </rPr>
      <t xml:space="preserve">、オブジェクトストレージ内の生ドキュメント、モデル重みデータを強固なアルゴリズムで暗号化保管する。</t>
    </r>
  </si>
  <si>
    <r>
      <rPr>
        <sz val="9"/>
        <rFont val="Yu Gothic"/>
        <family val="0"/>
        <charset val="1"/>
      </rPr>
      <t xml:space="preserve">OWASP AISVS, CSA AICM, EU AI Act,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 NCSC/CISA</t>
    </r>
  </si>
  <si>
    <r>
      <rPr>
        <sz val="9"/>
        <rFont val="Noto Sans CJK SC"/>
        <family val="2"/>
      </rPr>
      <t xml:space="preserve">ストレージ・データの暗号化（データ・アット・レスト）により、</t>
    </r>
    <r>
      <rPr>
        <sz val="9"/>
        <rFont val="Yu Gothic"/>
        <family val="0"/>
        <charset val="1"/>
      </rPr>
      <t xml:space="preserve">AI</t>
    </r>
    <r>
      <rPr>
        <sz val="9"/>
        <rFont val="Noto Sans CJK SC"/>
        <family val="2"/>
      </rPr>
      <t xml:space="preserve">固有の攻撃・誤動作を未然に防ぐ実装統制が整います。</t>
    </r>
  </si>
  <si>
    <r>
      <rPr>
        <sz val="9"/>
        <rFont val="Yu Gothic"/>
        <family val="0"/>
        <charset val="1"/>
      </rPr>
      <t xml:space="preserve">GPU</t>
    </r>
    <r>
      <rPr>
        <sz val="9"/>
        <rFont val="Noto Sans CJK SC"/>
        <family val="2"/>
      </rPr>
      <t xml:space="preserve">共有環境におけるテナント間分離（</t>
    </r>
    <r>
      <rPr>
        <sz val="9"/>
        <rFont val="Yu Gothic"/>
        <family val="0"/>
        <charset val="1"/>
      </rPr>
      <t xml:space="preserve">MIG</t>
    </r>
    <r>
      <rPr>
        <sz val="9"/>
        <rFont val="Noto Sans CJK SC"/>
        <family val="2"/>
      </rPr>
      <t xml:space="preserve">・</t>
    </r>
    <r>
      <rPr>
        <sz val="9"/>
        <rFont val="Yu Gothic"/>
        <family val="0"/>
        <charset val="1"/>
      </rPr>
      <t xml:space="preserve">vGPU</t>
    </r>
    <r>
      <rPr>
        <sz val="9"/>
        <rFont val="Noto Sans CJK SC"/>
        <family val="2"/>
      </rPr>
      <t xml:space="preserve">分離・メモリサニタイズ）を実装し、サイドチャネル・残留データ経由の漏えいを防ぐ。</t>
    </r>
  </si>
  <si>
    <t xml:space="preserve">OWASP AISVS, CSA AICM</t>
  </si>
  <si>
    <r>
      <rPr>
        <sz val="9"/>
        <rFont val="Yu Gothic"/>
        <family val="0"/>
        <charset val="1"/>
      </rPr>
      <t xml:space="preserve">GPU</t>
    </r>
    <r>
      <rPr>
        <sz val="9"/>
        <rFont val="Noto Sans CJK SC"/>
        <family val="2"/>
      </rPr>
      <t xml:space="preserve">・アクセラレータのマルチテナント分離により、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</si>
  <si>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モデル</t>
    </r>
    <r>
      <rPr>
        <sz val="9"/>
        <rFont val="Yu Gothic"/>
        <family val="0"/>
        <charset val="1"/>
      </rPr>
      <t xml:space="preserve">API</t>
    </r>
    <r>
      <rPr>
        <sz val="9"/>
        <rFont val="Noto Sans CJK SC"/>
        <family val="2"/>
      </rPr>
      <t xml:space="preserve">を</t>
    </r>
    <r>
      <rPr>
        <sz val="9"/>
        <rFont val="Yu Gothic"/>
        <family val="0"/>
        <charset val="1"/>
      </rPr>
      <t xml:space="preserve">API</t>
    </r>
    <r>
      <rPr>
        <sz val="9"/>
        <rFont val="Noto Sans CJK SC"/>
        <family val="2"/>
      </rPr>
      <t xml:space="preserve">ゲートウェイ・</t>
    </r>
    <r>
      <rPr>
        <sz val="9"/>
        <rFont val="Yu Gothic"/>
        <family val="0"/>
        <charset val="1"/>
      </rPr>
      <t xml:space="preserve">WAF</t>
    </r>
    <r>
      <rPr>
        <sz val="9"/>
        <rFont val="Noto Sans CJK SC"/>
        <family val="2"/>
      </rPr>
      <t xml:space="preserve">配下に置き、認証・スキーマ検証・異常リクエスト遮断を強制する。</t>
    </r>
  </si>
  <si>
    <t xml:space="preserve">OWASP AISVS, CIS v8.1, CSA AICM</t>
  </si>
  <si>
    <r>
      <rPr>
        <sz val="9"/>
        <rFont val="Noto Sans CJK SC"/>
        <family val="2"/>
      </rPr>
      <t xml:space="preserve">推論エンドポイント・モデル</t>
    </r>
    <r>
      <rPr>
        <sz val="9"/>
        <rFont val="Yu Gothic"/>
        <family val="0"/>
        <charset val="1"/>
      </rPr>
      <t xml:space="preserve">API</t>
    </r>
    <r>
      <rPr>
        <sz val="9"/>
        <rFont val="Noto Sans CJK SC"/>
        <family val="2"/>
      </rPr>
      <t xml:space="preserve">の保護により、</t>
    </r>
    <r>
      <rPr>
        <sz val="9"/>
        <rFont val="Yu Gothic"/>
        <family val="0"/>
        <charset val="1"/>
      </rPr>
      <t xml:space="preserve">AI</t>
    </r>
    <r>
      <rPr>
        <sz val="9"/>
        <rFont val="Noto Sans CJK SC"/>
        <family val="2"/>
      </rPr>
      <t xml:space="preserve">固有の攻撃・誤動作を未然に防ぐ実装統制が整います。</t>
    </r>
  </si>
  <si>
    <t xml:space="preserve">学習・実験環境と本番推論環境をネットワーク・アイデンティティ・データの各レイヤーで分離し、実験環境から本番データへの直接アクセスを禁止する。</t>
  </si>
  <si>
    <t xml:space="preserve">NCSC/CISA, CIS v8.1, CSA AICM</t>
  </si>
  <si>
    <r>
      <rPr>
        <sz val="9"/>
        <rFont val="Noto Sans CJK SC"/>
        <family val="2"/>
      </rPr>
      <t xml:space="preserve">開発・学習環境と本番環境の分離により、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</si>
  <si>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ベクトル</t>
    </r>
    <r>
      <rPr>
        <sz val="9"/>
        <rFont val="Yu Gothic"/>
        <family val="0"/>
        <charset val="1"/>
      </rPr>
      <t xml:space="preserve">DB</t>
    </r>
    <r>
      <rPr>
        <sz val="9"/>
        <rFont val="Noto Sans CJK SC"/>
        <family val="2"/>
      </rPr>
      <t xml:space="preserve">・推論サーバー・オーケストレーターのセキュア設定基準を定義し、</t>
    </r>
    <r>
      <rPr>
        <sz val="9"/>
        <rFont val="Yu Gothic"/>
        <family val="0"/>
        <charset val="1"/>
      </rPr>
      <t xml:space="preserve">IaC</t>
    </r>
    <r>
      <rPr>
        <sz val="9"/>
        <rFont val="Noto Sans CJK SC"/>
        <family val="2"/>
      </rPr>
      <t xml:space="preserve">スキャンで逸脱を継続検出する。</t>
    </r>
  </si>
  <si>
    <r>
      <rPr>
        <sz val="9"/>
        <rFont val="Yu Gothic"/>
        <family val="0"/>
        <charset val="1"/>
      </rPr>
      <t xml:space="preserve">CIS v8.1, CSA AICM, ASD</t>
    </r>
    <r>
      <rPr>
        <sz val="9"/>
        <rFont val="Noto Sans CJK SC"/>
        <family val="2"/>
      </rPr>
      <t xml:space="preserve">エージェント</t>
    </r>
    <r>
      <rPr>
        <sz val="9"/>
        <rFont val="Yu Gothic"/>
        <family val="0"/>
        <charset val="1"/>
      </rPr>
      <t xml:space="preserve">AI</t>
    </r>
  </si>
  <si>
    <r>
      <rPr>
        <sz val="9"/>
        <rFont val="Yu Gothic"/>
        <family val="0"/>
        <charset val="1"/>
      </rPr>
      <t xml:space="preserve">AI</t>
    </r>
    <r>
      <rPr>
        <sz val="9"/>
        <rFont val="Noto Sans CJK SC"/>
        <family val="2"/>
      </rPr>
      <t xml:space="preserve">リソース設定のセキュリティベースラインにより、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</si>
  <si>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社内のアイデンティティ／ファイル権限と</t>
    </r>
    <r>
      <rPr>
        <sz val="9"/>
        <rFont val="Yu Gothic"/>
        <family val="0"/>
        <charset val="1"/>
      </rPr>
      <t xml:space="preserve">RAG</t>
    </r>
    <r>
      <rPr>
        <sz val="9"/>
        <rFont val="Noto Sans CJK SC"/>
        <family val="2"/>
      </rPr>
      <t xml:space="preserve">のベクトル</t>
    </r>
    <r>
      <rPr>
        <sz val="9"/>
        <rFont val="Yu Gothic"/>
        <family val="0"/>
        <charset val="1"/>
      </rPr>
      <t xml:space="preserve">DB</t>
    </r>
    <r>
      <rPr>
        <sz val="9"/>
        <rFont val="Noto Sans CJK SC"/>
        <family val="2"/>
      </rPr>
      <t xml:space="preserve">を完全同期し、閲覧権限を超えた情報のプロンプト混入をシステム的に防ぐ。</t>
    </r>
  </si>
  <si>
    <r>
      <rPr>
        <sz val="9"/>
        <rFont val="Noto Sans CJK SC"/>
        <family val="2"/>
      </rPr>
      <t xml:space="preserve">アイデンティティ・アクセス制御に関するリスクを低減し、</t>
    </r>
    <r>
      <rPr>
        <sz val="9"/>
        <rFont val="Yu Gothic"/>
        <family val="0"/>
        <charset val="1"/>
      </rPr>
      <t xml:space="preserve">AIMF PR</t>
    </r>
    <r>
      <rPr>
        <sz val="9"/>
        <rFont val="Noto Sans CJK SC"/>
        <family val="2"/>
      </rPr>
      <t xml:space="preserve">区分（</t>
    </r>
    <r>
      <rPr>
        <sz val="9"/>
        <rFont val="Yu Gothic"/>
        <family val="0"/>
        <charset val="1"/>
      </rPr>
      <t xml:space="preserve">IAM</t>
    </r>
    <r>
      <rPr>
        <sz val="9"/>
        <rFont val="Noto Sans CJK SC"/>
        <family val="2"/>
      </rPr>
      <t xml:space="preserve">カテゴリ）の要求に対応する。</t>
    </r>
  </si>
  <si>
    <r>
      <rPr>
        <sz val="9"/>
        <rFont val="Yu Gothic"/>
        <family val="0"/>
        <charset val="1"/>
      </rPr>
      <t xml:space="preserve">OWASP AISVS, CSA AICM,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 EU AI Act, NCSC/CISA, NIST AI RMF</t>
    </r>
  </si>
  <si>
    <r>
      <rPr>
        <sz val="9"/>
        <rFont val="Yu Gothic"/>
        <family val="0"/>
        <charset val="1"/>
      </rPr>
      <t xml:space="preserve">RAG</t>
    </r>
    <r>
      <rPr>
        <sz val="9"/>
        <rFont val="Noto Sans CJK SC"/>
        <family val="2"/>
      </rPr>
      <t xml:space="preserve">データアクセス権（</t>
    </r>
    <r>
      <rPr>
        <sz val="9"/>
        <rFont val="Yu Gothic"/>
        <family val="0"/>
        <charset val="1"/>
      </rPr>
      <t xml:space="preserve">ACL</t>
    </r>
    <r>
      <rPr>
        <sz val="9"/>
        <rFont val="Noto Sans CJK SC"/>
        <family val="2"/>
      </rPr>
      <t xml:space="preserve">）の同期により、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</si>
  <si>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自律エージェントに付与する</t>
    </r>
    <r>
      <rPr>
        <sz val="9"/>
        <rFont val="Yu Gothic"/>
        <family val="0"/>
        <charset val="1"/>
      </rPr>
      <t xml:space="preserve">API</t>
    </r>
    <r>
      <rPr>
        <sz val="9"/>
        <rFont val="Noto Sans CJK SC"/>
        <family val="2"/>
      </rPr>
      <t xml:space="preserve">キー・操作権限を担当業務に必要な最小限に制限する。</t>
    </r>
  </si>
  <si>
    <t xml:space="preserve">OWASP AISVS, CSA AICM, NCSC/CISA, EU AI Act</t>
  </si>
  <si>
    <r>
      <rPr>
        <sz val="9"/>
        <rFont val="Yu Gothic"/>
        <family val="0"/>
        <charset val="1"/>
      </rPr>
      <t xml:space="preserve">AI</t>
    </r>
    <r>
      <rPr>
        <sz val="9"/>
        <rFont val="Noto Sans CJK SC"/>
        <family val="2"/>
      </rPr>
      <t xml:space="preserve">エージェントへの最小権限原則の適用により、</t>
    </r>
    <r>
      <rPr>
        <sz val="9"/>
        <rFont val="Yu Gothic"/>
        <family val="0"/>
        <charset val="1"/>
      </rPr>
      <t xml:space="preserve">AI</t>
    </r>
    <r>
      <rPr>
        <sz val="9"/>
        <rFont val="Noto Sans CJK SC"/>
        <family val="2"/>
      </rPr>
      <t xml:space="preserve">固有の攻撃・誤動作を未然に防ぐ実装統制が整います。</t>
    </r>
  </si>
  <si>
    <t xml:space="preserve">各種キーをハードコードせず、シークレットマネージャーで暗号化し動的に呼び出す。</t>
  </si>
  <si>
    <r>
      <rPr>
        <sz val="9"/>
        <rFont val="Yu Gothic"/>
        <family val="0"/>
        <charset val="1"/>
      </rPr>
      <t xml:space="preserve">AI</t>
    </r>
    <r>
      <rPr>
        <sz val="9"/>
        <rFont val="Noto Sans CJK SC"/>
        <family val="2"/>
      </rPr>
      <t xml:space="preserve">クレデンシャル・</t>
    </r>
    <r>
      <rPr>
        <sz val="9"/>
        <rFont val="Yu Gothic"/>
        <family val="0"/>
        <charset val="1"/>
      </rPr>
      <t xml:space="preserve">API</t>
    </r>
    <r>
      <rPr>
        <sz val="9"/>
        <rFont val="Noto Sans CJK SC"/>
        <family val="2"/>
      </rPr>
      <t xml:space="preserve">キーの暗号化管理により、</t>
    </r>
    <r>
      <rPr>
        <sz val="9"/>
        <rFont val="Yu Gothic"/>
        <family val="0"/>
        <charset val="1"/>
      </rPr>
      <t xml:space="preserve">AI</t>
    </r>
    <r>
      <rPr>
        <sz val="9"/>
        <rFont val="Noto Sans CJK SC"/>
        <family val="2"/>
      </rPr>
      <t xml:space="preserve">固有の攻撃・誤動作を未然に防ぐ実装統制が整います。</t>
    </r>
  </si>
  <si>
    <r>
      <rPr>
        <sz val="9"/>
        <rFont val="Yu Gothic"/>
        <family val="0"/>
        <charset val="1"/>
      </rPr>
      <t xml:space="preserve">AI</t>
    </r>
    <r>
      <rPr>
        <sz val="9"/>
        <rFont val="Noto Sans CJK SC"/>
        <family val="2"/>
      </rPr>
      <t xml:space="preserve">基盤の管理者・モデルレジストリ・学習パイプラインへのアクセスにフィッシング耐性認証（</t>
    </r>
    <r>
      <rPr>
        <sz val="9"/>
        <rFont val="Yu Gothic"/>
        <family val="0"/>
        <charset val="1"/>
      </rPr>
      <t xml:space="preserve">AAL2</t>
    </r>
    <r>
      <rPr>
        <sz val="9"/>
        <rFont val="Noto Sans CJK SC"/>
        <family val="2"/>
      </rPr>
      <t xml:space="preserve">以上、パスキー</t>
    </r>
    <r>
      <rPr>
        <sz val="9"/>
        <rFont val="Yu Gothic"/>
        <family val="0"/>
        <charset val="1"/>
      </rPr>
      <t xml:space="preserve">/FIDO2</t>
    </r>
    <r>
      <rPr>
        <sz val="9"/>
        <rFont val="Noto Sans CJK SC"/>
        <family val="2"/>
      </rPr>
      <t xml:space="preserve">等）を義務付ける。</t>
    </r>
  </si>
  <si>
    <r>
      <rPr>
        <sz val="9"/>
        <rFont val="Yu Gothic"/>
        <family val="0"/>
        <charset val="1"/>
      </rPr>
      <t xml:space="preserve">NIST 800-63-4, CIS v8.1, Five Eyes</t>
    </r>
    <r>
      <rPr>
        <sz val="9"/>
        <rFont val="Noto Sans CJK SC"/>
        <family val="2"/>
      </rPr>
      <t xml:space="preserve">声明</t>
    </r>
  </si>
  <si>
    <r>
      <rPr>
        <sz val="9"/>
        <rFont val="Noto Sans CJK SC"/>
        <family val="2"/>
      </rPr>
      <t xml:space="preserve">フィッシング耐性</t>
    </r>
    <r>
      <rPr>
        <sz val="9"/>
        <rFont val="Yu Gothic"/>
        <family val="0"/>
        <charset val="1"/>
      </rPr>
      <t xml:space="preserve">MFA</t>
    </r>
    <r>
      <rPr>
        <sz val="9"/>
        <rFont val="Noto Sans CJK SC"/>
        <family val="2"/>
      </rPr>
      <t xml:space="preserve">の適用（</t>
    </r>
    <r>
      <rPr>
        <sz val="9"/>
        <rFont val="Yu Gothic"/>
        <family val="0"/>
        <charset val="1"/>
      </rPr>
      <t xml:space="preserve">AI</t>
    </r>
    <r>
      <rPr>
        <sz val="9"/>
        <rFont val="Noto Sans CJK SC"/>
        <family val="2"/>
      </rPr>
      <t xml:space="preserve">管理者・特権）により、</t>
    </r>
    <r>
      <rPr>
        <sz val="9"/>
        <rFont val="Yu Gothic"/>
        <family val="0"/>
        <charset val="1"/>
      </rPr>
      <t xml:space="preserve">AI</t>
    </r>
    <r>
      <rPr>
        <sz val="9"/>
        <rFont val="Noto Sans CJK SC"/>
        <family val="2"/>
      </rPr>
      <t xml:space="preserve">固有の攻撃・誤動作を未然に防ぐ実装統制が整います。</t>
    </r>
  </si>
  <si>
    <t xml:space="preserve">各エージェントに専用の非人間アイデンティティを発行し、作成・権限変更・棚卸し・廃止をライフサイクル管理する。</t>
  </si>
  <si>
    <t xml:space="preserve">OWASP ASI10, NIST 800-63-4, CSA AICM</t>
  </si>
  <si>
    <r>
      <rPr>
        <sz val="9"/>
        <rFont val="Noto Sans CJK SC"/>
        <family val="2"/>
      </rPr>
      <t xml:space="preserve">エージェント・サービスアカウントのライフサイクル管理により、</t>
    </r>
    <r>
      <rPr>
        <sz val="9"/>
        <rFont val="Yu Gothic"/>
        <family val="0"/>
        <charset val="1"/>
      </rPr>
      <t xml:space="preserve">AI</t>
    </r>
    <r>
      <rPr>
        <sz val="9"/>
        <rFont val="Noto Sans CJK SC"/>
        <family val="2"/>
      </rPr>
      <t xml:space="preserve">固有の攻撃・誤動作を未然に防ぐ実装統制が整います。</t>
    </r>
  </si>
  <si>
    <t xml:space="preserve">エージェントの認可を短命トークンとタスク単位のスコープに限定し、恒久的な広域クレデンシャルの付与を禁止する。</t>
  </si>
  <si>
    <r>
      <rPr>
        <sz val="9"/>
        <rFont val="Yu Gothic"/>
        <family val="0"/>
        <charset val="1"/>
      </rPr>
      <t xml:space="preserve">OWASP ASI10, ASD</t>
    </r>
    <r>
      <rPr>
        <sz val="9"/>
        <rFont val="Noto Sans CJK SC"/>
        <family val="2"/>
      </rPr>
      <t xml:space="preserve">エージェント</t>
    </r>
    <r>
      <rPr>
        <sz val="9"/>
        <rFont val="Yu Gothic"/>
        <family val="0"/>
        <charset val="1"/>
      </rPr>
      <t xml:space="preserve">AI</t>
    </r>
  </si>
  <si>
    <r>
      <rPr>
        <sz val="9"/>
        <rFont val="Noto Sans CJK SC"/>
        <family val="2"/>
      </rPr>
      <t xml:space="preserve">短命トークン・タスクバウンド認可により、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</si>
  <si>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エージェントによる実行時の権限昇格・スコープ拡大を禁止し、例外は人間承認付きの</t>
    </r>
    <r>
      <rPr>
        <sz val="9"/>
        <rFont val="Yu Gothic"/>
        <family val="0"/>
        <charset val="1"/>
      </rPr>
      <t xml:space="preserve">JIT</t>
    </r>
    <r>
      <rPr>
        <sz val="9"/>
        <rFont val="Noto Sans CJK SC"/>
        <family val="2"/>
      </rPr>
      <t xml:space="preserve">（</t>
    </r>
    <r>
      <rPr>
        <sz val="9"/>
        <rFont val="Yu Gothic"/>
        <family val="0"/>
        <charset val="1"/>
      </rPr>
      <t xml:space="preserve">Just-in-Time</t>
    </r>
    <r>
      <rPr>
        <sz val="9"/>
        <rFont val="Noto Sans CJK SC"/>
        <family val="2"/>
      </rPr>
      <t xml:space="preserve">）アクセスに限定する。</t>
    </r>
  </si>
  <si>
    <r>
      <rPr>
        <sz val="9"/>
        <rFont val="Yu Gothic"/>
        <family val="0"/>
        <charset val="1"/>
      </rPr>
      <t xml:space="preserve">OWASP ASI10, CIS v8.1, ASD</t>
    </r>
    <r>
      <rPr>
        <sz val="9"/>
        <rFont val="Noto Sans CJK SC"/>
        <family val="2"/>
      </rPr>
      <t xml:space="preserve">エージェント</t>
    </r>
    <r>
      <rPr>
        <sz val="9"/>
        <rFont val="Yu Gothic"/>
        <family val="0"/>
        <charset val="1"/>
      </rPr>
      <t xml:space="preserve">AI</t>
    </r>
  </si>
  <si>
    <r>
      <rPr>
        <sz val="9"/>
        <rFont val="Noto Sans CJK SC"/>
        <family val="2"/>
      </rPr>
      <t xml:space="preserve">動的な権限昇格の禁止と</t>
    </r>
    <r>
      <rPr>
        <sz val="9"/>
        <rFont val="Yu Gothic"/>
        <family val="0"/>
        <charset val="1"/>
      </rPr>
      <t xml:space="preserve">JIT</t>
    </r>
    <r>
      <rPr>
        <sz val="9"/>
        <rFont val="Noto Sans CJK SC"/>
        <family val="2"/>
      </rPr>
      <t xml:space="preserve">アクセスにより、</t>
    </r>
    <r>
      <rPr>
        <sz val="9"/>
        <rFont val="Yu Gothic"/>
        <family val="0"/>
        <charset val="1"/>
      </rPr>
      <t xml:space="preserve">AI</t>
    </r>
    <r>
      <rPr>
        <sz val="9"/>
        <rFont val="Noto Sans CJK SC"/>
        <family val="2"/>
      </rPr>
      <t xml:space="preserve">固有の攻撃・誤動作を未然に防ぐ実装統制が整います。</t>
    </r>
  </si>
  <si>
    <t xml:space="preserve">モデル・データセット・プロンプト・評価結果への操作権限をロール・属性ベースで設計し、職務分離を実装する。</t>
  </si>
  <si>
    <r>
      <rPr>
        <sz val="9"/>
        <rFont val="Yu Gothic"/>
        <family val="0"/>
        <charset val="1"/>
      </rPr>
      <t xml:space="preserve">AI</t>
    </r>
    <r>
      <rPr>
        <sz val="9"/>
        <rFont val="Noto Sans CJK SC"/>
        <family val="2"/>
      </rPr>
      <t xml:space="preserve">プラットフォームの</t>
    </r>
    <r>
      <rPr>
        <sz val="9"/>
        <rFont val="Yu Gothic"/>
        <family val="0"/>
        <charset val="1"/>
      </rPr>
      <t xml:space="preserve">RBAC/ABAC</t>
    </r>
    <r>
      <rPr>
        <sz val="9"/>
        <rFont val="Noto Sans CJK SC"/>
        <family val="2"/>
      </rPr>
      <t xml:space="preserve">設計により、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</si>
  <si>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プロンプト入力および出力経路に</t>
    </r>
    <r>
      <rPr>
        <sz val="9"/>
        <rFont val="Yu Gothic"/>
        <family val="0"/>
        <charset val="1"/>
      </rPr>
      <t xml:space="preserve">DLP</t>
    </r>
    <r>
      <rPr>
        <sz val="9"/>
        <rFont val="Noto Sans CJK SC"/>
        <family val="2"/>
      </rPr>
      <t xml:space="preserve">を適用し、機密情報・個人情報の外部</t>
    </r>
    <r>
      <rPr>
        <sz val="9"/>
        <rFont val="Yu Gothic"/>
        <family val="0"/>
        <charset val="1"/>
      </rPr>
      <t xml:space="preserve">AI</t>
    </r>
    <r>
      <rPr>
        <sz val="9"/>
        <rFont val="Noto Sans CJK SC"/>
        <family val="2"/>
      </rPr>
      <t xml:space="preserve">サービスへの送信と出力経由の漏えいを制御する。</t>
    </r>
  </si>
  <si>
    <r>
      <rPr>
        <sz val="9"/>
        <rFont val="Yu Gothic"/>
        <family val="0"/>
        <charset val="1"/>
      </rPr>
      <t xml:space="preserve">AI</t>
    </r>
    <r>
      <rPr>
        <sz val="9"/>
        <rFont val="Noto Sans CJK SC"/>
        <family val="2"/>
      </rPr>
      <t xml:space="preserve">データ保護に関するリスクを低減し、</t>
    </r>
    <r>
      <rPr>
        <sz val="9"/>
        <rFont val="Yu Gothic"/>
        <family val="0"/>
        <charset val="1"/>
      </rPr>
      <t xml:space="preserve">AIMF PR</t>
    </r>
    <r>
      <rPr>
        <sz val="9"/>
        <rFont val="Noto Sans CJK SC"/>
        <family val="2"/>
      </rPr>
      <t xml:space="preserve">区分（</t>
    </r>
    <r>
      <rPr>
        <sz val="9"/>
        <rFont val="Yu Gothic"/>
        <family val="0"/>
        <charset val="1"/>
      </rPr>
      <t xml:space="preserve">DAT</t>
    </r>
    <r>
      <rPr>
        <sz val="9"/>
        <rFont val="Noto Sans CJK SC"/>
        <family val="2"/>
      </rPr>
      <t xml:space="preserve">カテゴリ）の要求に対応する。</t>
    </r>
  </si>
  <si>
    <r>
      <rPr>
        <sz val="9"/>
        <rFont val="Yu Gothic"/>
        <family val="0"/>
        <charset val="1"/>
      </rPr>
      <t xml:space="preserve">CIS v8.1, </t>
    </r>
    <r>
      <rPr>
        <sz val="9"/>
        <rFont val="Noto Sans CJK SC"/>
        <family val="2"/>
      </rPr>
      <t xml:space="preserve">デジタル庁</t>
    </r>
    <r>
      <rPr>
        <sz val="9"/>
        <rFont val="Yu Gothic"/>
        <family val="0"/>
        <charset val="1"/>
      </rPr>
      <t xml:space="preserve">GL, OWASP AISVS</t>
    </r>
  </si>
  <si>
    <r>
      <rPr>
        <sz val="9"/>
        <rFont val="Noto Sans CJK SC"/>
        <family val="2"/>
      </rPr>
      <t xml:space="preserve">プロンプト・出力への</t>
    </r>
    <r>
      <rPr>
        <sz val="9"/>
        <rFont val="Yu Gothic"/>
        <family val="0"/>
        <charset val="1"/>
      </rPr>
      <t xml:space="preserve">DLP</t>
    </r>
    <r>
      <rPr>
        <sz val="9"/>
        <rFont val="Noto Sans CJK SC"/>
        <family val="2"/>
      </rPr>
      <t xml:space="preserve">統制により、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</si>
  <si>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学習・</t>
    </r>
    <r>
      <rPr>
        <sz val="9"/>
        <rFont val="Yu Gothic"/>
        <family val="0"/>
        <charset val="1"/>
      </rPr>
      <t xml:space="preserve">RAG</t>
    </r>
    <r>
      <rPr>
        <sz val="9"/>
        <rFont val="Noto Sans CJK SC"/>
        <family val="2"/>
      </rPr>
      <t xml:space="preserve">へ投入する個人データに仮名化・匿名化・トークナイゼーションを適用し、再識別リスクを評価する。</t>
    </r>
  </si>
  <si>
    <r>
      <rPr>
        <sz val="9"/>
        <rFont val="Noto Sans CJK SC"/>
        <family val="2"/>
      </rPr>
      <t xml:space="preserve">学習・</t>
    </r>
    <r>
      <rPr>
        <sz val="9"/>
        <rFont val="Yu Gothic"/>
        <family val="0"/>
        <charset val="1"/>
      </rPr>
      <t xml:space="preserve">RAG</t>
    </r>
    <r>
      <rPr>
        <sz val="9"/>
        <rFont val="Noto Sans CJK SC"/>
        <family val="2"/>
      </rPr>
      <t xml:space="preserve">投入前の仮名化・匿名化により、</t>
    </r>
    <r>
      <rPr>
        <sz val="9"/>
        <rFont val="Yu Gothic"/>
        <family val="0"/>
        <charset val="1"/>
      </rPr>
      <t xml:space="preserve">AI</t>
    </r>
    <r>
      <rPr>
        <sz val="9"/>
        <rFont val="Noto Sans CJK SC"/>
        <family val="2"/>
      </rPr>
      <t xml:space="preserve">固有の攻撃・誤動作を未然に防ぐ実装統制が整います。</t>
    </r>
  </si>
  <si>
    <t xml:space="preserve">機密データを参照して生成された出力に元データの機密区分を継承させ、取扱い・保存・共有の制限を適用する。</t>
  </si>
  <si>
    <t xml:space="preserve">CIS v8.1, ISO 42001, OWASP AISVS</t>
  </si>
  <si>
    <r>
      <rPr>
        <sz val="9"/>
        <rFont val="Noto Sans CJK SC"/>
        <family val="2"/>
      </rPr>
      <t xml:space="preserve">出力データへの機密区分の継承により、</t>
    </r>
    <r>
      <rPr>
        <sz val="9"/>
        <rFont val="Yu Gothic"/>
        <family val="0"/>
        <charset val="1"/>
      </rPr>
      <t xml:space="preserve">AI</t>
    </r>
    <r>
      <rPr>
        <sz val="9"/>
        <rFont val="Noto Sans CJK SC"/>
        <family val="2"/>
      </rPr>
      <t xml:space="preserve">固有の攻撃・誤動作を未然に防ぐ実装統制が整います。</t>
    </r>
  </si>
  <si>
    <t xml:space="preserve">モデル重み・チェックポイント・アダプタへのアクセスを職務上必要な主体に限定し、持出し検知と併せて知財流出を防ぐ。</t>
  </si>
  <si>
    <t xml:space="preserve">NCSC/CISA, OWASP AISVS, MITRE ATLAS</t>
  </si>
  <si>
    <r>
      <rPr>
        <sz val="9"/>
        <rFont val="Noto Sans CJK SC"/>
        <family val="2"/>
      </rPr>
      <t xml:space="preserve">モデル重み・チェックポイントの厳格アクセス管理により、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</si>
  <si>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高機微ユースケースにおいて、</t>
    </r>
    <r>
      <rPr>
        <sz val="9"/>
        <rFont val="Yu Gothic"/>
        <family val="0"/>
        <charset val="1"/>
      </rPr>
      <t xml:space="preserve">TEE</t>
    </r>
    <r>
      <rPr>
        <sz val="9"/>
        <rFont val="Noto Sans CJK SC"/>
        <family val="2"/>
      </rPr>
      <t xml:space="preserve">等の機密コンピューティングにより推論時のデータ・モデルをメモリ上でも保護する。</t>
    </r>
  </si>
  <si>
    <t xml:space="preserve">CSA AICM, NCSC/CISA</t>
  </si>
  <si>
    <r>
      <rPr>
        <sz val="9"/>
        <rFont val="Noto Sans CJK SC"/>
        <family val="2"/>
      </rPr>
      <t xml:space="preserve">機密コンピューティングによる推論保護により、</t>
    </r>
    <r>
      <rPr>
        <sz val="9"/>
        <rFont val="Yu Gothic"/>
        <family val="0"/>
        <charset val="1"/>
      </rPr>
      <t xml:space="preserve">AI</t>
    </r>
    <r>
      <rPr>
        <sz val="9"/>
        <rFont val="Noto Sans CJK SC"/>
        <family val="2"/>
      </rPr>
      <t xml:space="preserve">固有の攻撃・誤動作を未然に防ぐ実装統制が整います。</t>
    </r>
  </si>
  <si>
    <t xml:space="preserve">モデル・プロンプト・設定の変更管理、リリース前のセキュリティ／性能受入基準、承認ゲート、ロールバック手順を定義する。</t>
  </si>
  <si>
    <r>
      <rPr>
        <sz val="9"/>
        <rFont val="Noto Sans CJK SC"/>
        <family val="2"/>
      </rPr>
      <t xml:space="preserve">モデルライフサイクル・成果物完全性に関するリスクを低減し、</t>
    </r>
    <r>
      <rPr>
        <sz val="9"/>
        <rFont val="Yu Gothic"/>
        <family val="0"/>
        <charset val="1"/>
      </rPr>
      <t xml:space="preserve">AIMF PR</t>
    </r>
    <r>
      <rPr>
        <sz val="9"/>
        <rFont val="Noto Sans CJK SC"/>
        <family val="2"/>
      </rPr>
      <t xml:space="preserve">区分（</t>
    </r>
    <r>
      <rPr>
        <sz val="9"/>
        <rFont val="Yu Gothic"/>
        <family val="0"/>
        <charset val="1"/>
      </rPr>
      <t xml:space="preserve">MDL</t>
    </r>
    <r>
      <rPr>
        <sz val="9"/>
        <rFont val="Noto Sans CJK SC"/>
        <family val="2"/>
      </rPr>
      <t xml:space="preserve">カテゴリ）の要求に対応する。</t>
    </r>
  </si>
  <si>
    <r>
      <rPr>
        <sz val="9"/>
        <rFont val="Yu Gothic"/>
        <family val="0"/>
        <charset val="1"/>
      </rPr>
      <t xml:space="preserve">OWASP AISVS, ISO 42001, NCSC/CISA, EU AI Act, NIST AI RMF,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t>
    </r>
  </si>
  <si>
    <r>
      <rPr>
        <sz val="9"/>
        <rFont val="Noto Sans CJK SC"/>
        <family val="2"/>
      </rPr>
      <t xml:space="preserve">モデルライフサイクル管理・リリース前評価により、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</si>
  <si>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モデルファイルの署名・ハッシュ検証、安全でないデシリアライゼーション（</t>
    </r>
    <r>
      <rPr>
        <sz val="9"/>
        <rFont val="Yu Gothic"/>
        <family val="0"/>
        <charset val="1"/>
      </rPr>
      <t xml:space="preserve">pickle</t>
    </r>
    <r>
      <rPr>
        <sz val="9"/>
        <rFont val="Noto Sans CJK SC"/>
        <family val="2"/>
      </rPr>
      <t xml:space="preserve">等）対策、モデルリポジトリからの取得時の</t>
    </r>
    <r>
      <rPr>
        <sz val="9"/>
        <rFont val="Yu Gothic"/>
        <family val="0"/>
        <charset val="1"/>
      </rPr>
      <t xml:space="preserve">Trojan/</t>
    </r>
    <r>
      <rPr>
        <sz val="9"/>
        <rFont val="Noto Sans CJK SC"/>
        <family val="2"/>
      </rPr>
      <t xml:space="preserve">悪性レイヤースキャンを実装する。</t>
    </r>
  </si>
  <si>
    <r>
      <rPr>
        <sz val="9"/>
        <rFont val="Yu Gothic"/>
        <family val="0"/>
        <charset val="1"/>
      </rPr>
      <t xml:space="preserve">OWASP AISVS, NCSC/CISA, CSA AICM,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t>
    </r>
  </si>
  <si>
    <r>
      <rPr>
        <sz val="9"/>
        <rFont val="Noto Sans CJK SC"/>
        <family val="2"/>
      </rPr>
      <t xml:space="preserve">モデル成果物の完全性保護により、</t>
    </r>
    <r>
      <rPr>
        <sz val="9"/>
        <rFont val="Yu Gothic"/>
        <family val="0"/>
        <charset val="1"/>
      </rPr>
      <t xml:space="preserve">AI</t>
    </r>
    <r>
      <rPr>
        <sz val="9"/>
        <rFont val="Noto Sans CJK SC"/>
        <family val="2"/>
      </rPr>
      <t xml:space="preserve">固有の攻撃・誤動作を未然に防ぐ実装統制が整います。</t>
    </r>
  </si>
  <si>
    <t xml:space="preserve">学習ジョブの実行権限・データアクセス・成果物出力を統制し、パイプライン定義自体を版管理・レビュー対象とする。</t>
  </si>
  <si>
    <t xml:space="preserve">OWASP AISVS, NCSC/CISA, CIS v8.1</t>
  </si>
  <si>
    <r>
      <rPr>
        <sz val="9"/>
        <rFont val="Noto Sans CJK SC"/>
        <family val="2"/>
      </rPr>
      <t xml:space="preserve">セキュア学習パイプラインの統制により、</t>
    </r>
    <r>
      <rPr>
        <sz val="9"/>
        <rFont val="Yu Gothic"/>
        <family val="0"/>
        <charset val="1"/>
      </rPr>
      <t xml:space="preserve">AI</t>
    </r>
    <r>
      <rPr>
        <sz val="9"/>
        <rFont val="Noto Sans CJK SC"/>
        <family val="2"/>
      </rPr>
      <t xml:space="preserve">固有の攻撃・誤動作を未然に防ぐ実装統制が整います。</t>
    </r>
  </si>
  <si>
    <t xml:space="preserve">本番デプロイをレジストリ登録済み・承認済み・署名検証済みのモデルに限定し、レジストリ外モデルの実行を技術的に遮断する。</t>
  </si>
  <si>
    <t xml:space="preserve">OWASP AISVS, NCSC/CISA</t>
  </si>
  <si>
    <r>
      <rPr>
        <sz val="9"/>
        <rFont val="Noto Sans CJK SC"/>
        <family val="2"/>
      </rPr>
      <t xml:space="preserve">モデルレジストリ統制（承認済みモデルのみデプロイ）により、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</si>
  <si>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ファインチューニング・</t>
    </r>
    <r>
      <rPr>
        <sz val="9"/>
        <rFont val="Yu Gothic"/>
        <family val="0"/>
        <charset val="1"/>
      </rPr>
      <t xml:space="preserve">RLHF</t>
    </r>
    <r>
      <rPr>
        <sz val="9"/>
        <rFont val="Noto Sans CJK SC"/>
        <family val="2"/>
      </rPr>
      <t xml:space="preserve">・継続学習を変更管理の対象とし、実施前のデータ審査と実施後の安全性再評価を義務付ける。</t>
    </r>
  </si>
  <si>
    <t xml:space="preserve">OWASP AISVS, EU AI Act, NIST AI RMF</t>
  </si>
  <si>
    <r>
      <rPr>
        <sz val="9"/>
        <rFont val="Noto Sans CJK SC"/>
        <family val="2"/>
      </rPr>
      <t xml:space="preserve">ファインチューニング・継続学習の変更管理により、</t>
    </r>
    <r>
      <rPr>
        <sz val="9"/>
        <rFont val="Yu Gothic"/>
        <family val="0"/>
        <charset val="1"/>
      </rPr>
      <t xml:space="preserve">AI</t>
    </r>
    <r>
      <rPr>
        <sz val="9"/>
        <rFont val="Noto Sans CJK SC"/>
        <family val="2"/>
      </rPr>
      <t xml:space="preserve">固有の攻撃・誤動作を未然に防ぐ実装統制が整います。</t>
    </r>
  </si>
  <si>
    <t xml:space="preserve">量子化・蒸留・プルーニング等の最適化後に、安全性・ガードレール有効性・堅牢性の劣化がないことを再評価する。</t>
  </si>
  <si>
    <t xml:space="preserve">OWASP AISVS, NIST AI RMF</t>
  </si>
  <si>
    <r>
      <rPr>
        <sz val="9"/>
        <rFont val="Noto Sans CJK SC"/>
        <family val="2"/>
      </rPr>
      <t xml:space="preserve">量子化・蒸留・最適化後の安全性再評価により、</t>
    </r>
    <r>
      <rPr>
        <sz val="9"/>
        <rFont val="Yu Gothic"/>
        <family val="0"/>
        <charset val="1"/>
      </rPr>
      <t xml:space="preserve">AI</t>
    </r>
    <r>
      <rPr>
        <sz val="9"/>
        <rFont val="Noto Sans CJK SC"/>
        <family val="2"/>
      </rPr>
      <t xml:space="preserve">固有の攻撃・誤動作を未然に防ぐ実装統制が整います。</t>
    </r>
  </si>
  <si>
    <t xml:space="preserve">システムプロンプトを機密構成情報として版管理・アクセス制限し、機密情報や認可ロジックをプロンプト内に置かない設計を強制する。</t>
  </si>
  <si>
    <r>
      <rPr>
        <sz val="9"/>
        <rFont val="Yu Gothic"/>
        <family val="0"/>
        <charset val="1"/>
      </rPr>
      <t xml:space="preserve">OWASP LLM10, OWASP AISVS,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t>
    </r>
  </si>
  <si>
    <r>
      <rPr>
        <sz val="9"/>
        <rFont val="Noto Sans CJK SC"/>
        <family val="2"/>
      </rPr>
      <t xml:space="preserve">システムプロンプトの版管理と保護により、</t>
    </r>
    <r>
      <rPr>
        <sz val="9"/>
        <rFont val="Yu Gothic"/>
        <family val="0"/>
        <charset val="1"/>
      </rPr>
      <t xml:space="preserve">AI</t>
    </r>
    <r>
      <rPr>
        <sz val="9"/>
        <rFont val="Noto Sans CJK SC"/>
        <family val="2"/>
      </rPr>
      <t xml:space="preserve">固有の攻撃・誤動作を未然に防ぐ実装統制が整います。</t>
    </r>
  </si>
  <si>
    <t xml:space="preserve">専門チームが擬似攻撃者として脱獄や間接的プロンプトインジェクションを試行し、稼働前システムの脆弱性を洗い出す。</t>
  </si>
  <si>
    <r>
      <rPr>
        <sz val="9"/>
        <rFont val="Noto Sans CJK SC"/>
        <family val="2"/>
      </rPr>
      <t xml:space="preserve">プロアクティブなリスク評価・実戦演習に関するリスクを低減し、</t>
    </r>
    <r>
      <rPr>
        <sz val="9"/>
        <rFont val="Yu Gothic"/>
        <family val="0"/>
        <charset val="1"/>
      </rPr>
      <t xml:space="preserve">AIMF PR</t>
    </r>
    <r>
      <rPr>
        <sz val="9"/>
        <rFont val="Noto Sans CJK SC"/>
        <family val="2"/>
      </rPr>
      <t xml:space="preserve">区分（</t>
    </r>
    <r>
      <rPr>
        <sz val="9"/>
        <rFont val="Yu Gothic"/>
        <family val="0"/>
        <charset val="1"/>
      </rPr>
      <t xml:space="preserve">RED</t>
    </r>
    <r>
      <rPr>
        <sz val="9"/>
        <rFont val="Noto Sans CJK SC"/>
        <family val="2"/>
      </rPr>
      <t xml:space="preserve">カテゴリ）の要求に対応する。</t>
    </r>
  </si>
  <si>
    <r>
      <rPr>
        <sz val="9"/>
        <rFont val="Yu Gothic"/>
        <family val="0"/>
        <charset val="1"/>
      </rPr>
      <t xml:space="preserve">NIST AI RMF, EU AI Act, OWASP AISVS,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 ISO 42001, CSA AICM, NCSC/CISA, AI</t>
    </r>
    <r>
      <rPr>
        <sz val="9"/>
        <rFont val="Noto Sans CJK SC"/>
        <family val="2"/>
      </rPr>
      <t xml:space="preserve">事業者</t>
    </r>
    <r>
      <rPr>
        <sz val="9"/>
        <rFont val="Yu Gothic"/>
        <family val="0"/>
        <charset val="1"/>
      </rPr>
      <t xml:space="preserve">GL</t>
    </r>
  </si>
  <si>
    <r>
      <rPr>
        <sz val="9"/>
        <rFont val="Yu Gothic"/>
        <family val="0"/>
        <charset val="1"/>
      </rPr>
      <t xml:space="preserve">AI</t>
    </r>
    <r>
      <rPr>
        <sz val="9"/>
        <rFont val="Noto Sans CJK SC"/>
        <family val="2"/>
      </rPr>
      <t xml:space="preserve">レッドチーミングの定期的実施により、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</si>
  <si>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攻撃用にチューニングした</t>
    </r>
    <r>
      <rPr>
        <sz val="9"/>
        <rFont val="Yu Gothic"/>
        <family val="0"/>
        <charset val="1"/>
      </rPr>
      <t xml:space="preserve">AI</t>
    </r>
    <r>
      <rPr>
        <sz val="9"/>
        <rFont val="Noto Sans CJK SC"/>
        <family val="2"/>
      </rPr>
      <t xml:space="preserve">エージェントで攻撃プロンプトを高速自動投入し、脱獄パターンを継続的・網羅的に探索する。</t>
    </r>
  </si>
  <si>
    <r>
      <rPr>
        <sz val="9"/>
        <rFont val="Yu Gothic"/>
        <family val="0"/>
        <charset val="1"/>
      </rPr>
      <t xml:space="preserve">OWASP AISVS, CSA AICM,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t>
    </r>
  </si>
  <si>
    <r>
      <rPr>
        <sz val="9"/>
        <rFont val="Noto Sans CJK SC"/>
        <family val="2"/>
      </rPr>
      <t xml:space="preserve">自動化された</t>
    </r>
    <r>
      <rPr>
        <sz val="9"/>
        <rFont val="Yu Gothic"/>
        <family val="0"/>
        <charset val="1"/>
      </rPr>
      <t xml:space="preserve">AI</t>
    </r>
    <r>
      <rPr>
        <sz val="9"/>
        <rFont val="Noto Sans CJK SC"/>
        <family val="2"/>
      </rPr>
      <t xml:space="preserve">脆弱性スキャン（</t>
    </r>
    <r>
      <rPr>
        <sz val="9"/>
        <rFont val="Yu Gothic"/>
        <family val="0"/>
        <charset val="1"/>
      </rPr>
      <t xml:space="preserve">LLM-assisted Red Teaming</t>
    </r>
    <r>
      <rPr>
        <sz val="9"/>
        <rFont val="Noto Sans CJK SC"/>
        <family val="2"/>
      </rPr>
      <t xml:space="preserve">）により、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</si>
  <si>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検索対象のファイルサーバー・</t>
    </r>
    <r>
      <rPr>
        <sz val="9"/>
        <rFont val="Yu Gothic"/>
        <family val="0"/>
        <charset val="1"/>
      </rPr>
      <t xml:space="preserve">DB</t>
    </r>
    <r>
      <rPr>
        <sz val="9"/>
        <rFont val="Noto Sans CJK SC"/>
        <family val="2"/>
      </rPr>
      <t xml:space="preserve">を常時スキャンし、不正プロンプト（ポイズニングデータ）や誤格納された機密情報を自動検知・隔離する。</t>
    </r>
  </si>
  <si>
    <r>
      <rPr>
        <sz val="9"/>
        <rFont val="Yu Gothic"/>
        <family val="0"/>
        <charset val="1"/>
      </rPr>
      <t xml:space="preserve">OWASP AISVS,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 CSA AICM</t>
    </r>
  </si>
  <si>
    <r>
      <rPr>
        <sz val="9"/>
        <rFont val="Yu Gothic"/>
        <family val="0"/>
        <charset val="1"/>
      </rPr>
      <t xml:space="preserve">RAG</t>
    </r>
    <r>
      <rPr>
        <sz val="9"/>
        <rFont val="Noto Sans CJK SC"/>
        <family val="2"/>
      </rPr>
      <t xml:space="preserve">知識ベースの動的スキャンにより、</t>
    </r>
    <r>
      <rPr>
        <sz val="9"/>
        <rFont val="Yu Gothic"/>
        <family val="0"/>
        <charset val="1"/>
      </rPr>
      <t xml:space="preserve">AI</t>
    </r>
    <r>
      <rPr>
        <sz val="9"/>
        <rFont val="Noto Sans CJK SC"/>
        <family val="2"/>
      </rPr>
      <t xml:space="preserve">固有の攻撃・誤動作を未然に防ぐ実装統制が整います。</t>
    </r>
  </si>
  <si>
    <t xml:space="preserve">リリース前にベンチマーク・有害性評価・セキュリティ評価からなる標準評価スイートを実行し、受入基準への適合を承認条件とする。</t>
  </si>
  <si>
    <t xml:space="preserve">NIST AI RMF, EU AI Act, NCSC/CISA</t>
  </si>
  <si>
    <r>
      <rPr>
        <sz val="9"/>
        <rFont val="Noto Sans CJK SC"/>
        <family val="2"/>
      </rPr>
      <t xml:space="preserve">リリース前の安全性・セキュリティ評価スイートにより、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</si>
  <si>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モデル・プロンプト・ガードレールの変更ごとに自動評価を</t>
    </r>
    <r>
      <rPr>
        <sz val="9"/>
        <rFont val="Yu Gothic"/>
        <family val="0"/>
        <charset val="1"/>
      </rPr>
      <t xml:space="preserve">CI/CD</t>
    </r>
    <r>
      <rPr>
        <sz val="9"/>
        <rFont val="Noto Sans CJK SC"/>
        <family val="2"/>
      </rPr>
      <t xml:space="preserve">で実行し、回帰（安全性低下）を検出してデプロイを停止する。</t>
    </r>
  </si>
  <si>
    <r>
      <rPr>
        <sz val="9"/>
        <rFont val="Yu Gothic"/>
        <family val="0"/>
        <charset val="1"/>
      </rPr>
      <t xml:space="preserve">CI/CD</t>
    </r>
    <r>
      <rPr>
        <sz val="9"/>
        <rFont val="Noto Sans CJK SC"/>
        <family val="2"/>
      </rPr>
      <t xml:space="preserve">への継続的評価（</t>
    </r>
    <r>
      <rPr>
        <sz val="9"/>
        <rFont val="Yu Gothic"/>
        <family val="0"/>
        <charset val="1"/>
      </rPr>
      <t xml:space="preserve">eval</t>
    </r>
    <r>
      <rPr>
        <sz val="9"/>
        <rFont val="Noto Sans CJK SC"/>
        <family val="2"/>
      </rPr>
      <t xml:space="preserve">）の組み込みにより、</t>
    </r>
    <r>
      <rPr>
        <sz val="9"/>
        <rFont val="Yu Gothic"/>
        <family val="0"/>
        <charset val="1"/>
      </rPr>
      <t xml:space="preserve">AI</t>
    </r>
    <r>
      <rPr>
        <sz val="9"/>
        <rFont val="Noto Sans CJK SC"/>
        <family val="2"/>
      </rPr>
      <t xml:space="preserve">固有の攻撃・誤動作を未然に防ぐ実装統制が整います。</t>
    </r>
  </si>
  <si>
    <r>
      <rPr>
        <sz val="9"/>
        <rFont val="Yu Gothic"/>
        <family val="0"/>
        <charset val="1"/>
      </rPr>
      <t xml:space="preserve">ATLAS</t>
    </r>
    <r>
      <rPr>
        <sz val="9"/>
        <rFont val="Noto Sans CJK SC"/>
        <family val="2"/>
      </rPr>
      <t xml:space="preserve">の</t>
    </r>
    <r>
      <rPr>
        <sz val="9"/>
        <rFont val="Yu Gothic"/>
        <family val="0"/>
        <charset val="1"/>
      </rPr>
      <t xml:space="preserve">TTP</t>
    </r>
    <r>
      <rPr>
        <sz val="9"/>
        <rFont val="Noto Sans CJK SC"/>
        <family val="2"/>
      </rPr>
      <t xml:space="preserve">に基づく攻撃シナリオでパープルチーミングを実施し、防御と検知の実効性を同時に検証する。</t>
    </r>
  </si>
  <si>
    <t xml:space="preserve">MITRE ATLAS, CIS v8.1, NCSC/CISA</t>
  </si>
  <si>
    <r>
      <rPr>
        <sz val="9"/>
        <rFont val="Yu Gothic"/>
        <family val="0"/>
        <charset val="1"/>
      </rPr>
      <t xml:space="preserve">ATLAS</t>
    </r>
    <r>
      <rPr>
        <sz val="9"/>
        <rFont val="Noto Sans CJK SC"/>
        <family val="2"/>
      </rPr>
      <t xml:space="preserve">ベースの敵対的演習により、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</si>
  <si>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入力側でプロンプトインジェクション・脱獄・有害入力を検知遮断し、出力側で</t>
    </r>
    <r>
      <rPr>
        <sz val="9"/>
        <rFont val="Yu Gothic"/>
        <family val="0"/>
        <charset val="1"/>
      </rPr>
      <t xml:space="preserve">PII</t>
    </r>
    <r>
      <rPr>
        <sz val="9"/>
        <rFont val="Noto Sans CJK SC"/>
        <family val="2"/>
      </rPr>
      <t xml:space="preserve">・機密情報・極端なハルシネーションをリアルタイムにマスク・遮断する。</t>
    </r>
  </si>
  <si>
    <r>
      <rPr>
        <sz val="9"/>
        <rFont val="Noto Sans CJK SC"/>
        <family val="2"/>
      </rPr>
      <t xml:space="preserve">ガードレール・出力統制に関するリスクを低減し、</t>
    </r>
    <r>
      <rPr>
        <sz val="9"/>
        <rFont val="Yu Gothic"/>
        <family val="0"/>
        <charset val="1"/>
      </rPr>
      <t xml:space="preserve">AIMF PR</t>
    </r>
    <r>
      <rPr>
        <sz val="9"/>
        <rFont val="Noto Sans CJK SC"/>
        <family val="2"/>
      </rPr>
      <t xml:space="preserve">区分（</t>
    </r>
    <r>
      <rPr>
        <sz val="9"/>
        <rFont val="Yu Gothic"/>
        <family val="0"/>
        <charset val="1"/>
      </rPr>
      <t xml:space="preserve">GRD</t>
    </r>
    <r>
      <rPr>
        <sz val="9"/>
        <rFont val="Noto Sans CJK SC"/>
        <family val="2"/>
      </rPr>
      <t xml:space="preserve">カテゴリ）の要求に対応する。</t>
    </r>
  </si>
  <si>
    <r>
      <rPr>
        <sz val="9"/>
        <rFont val="Yu Gothic"/>
        <family val="0"/>
        <charset val="1"/>
      </rPr>
      <t xml:space="preserve">OWASP AISVS,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 EU AI Act, NIST AI RMF, CSA AICM, NCSC/CISA, AI</t>
    </r>
    <r>
      <rPr>
        <sz val="9"/>
        <rFont val="Noto Sans CJK SC"/>
        <family val="2"/>
      </rPr>
      <t xml:space="preserve">事業者</t>
    </r>
    <r>
      <rPr>
        <sz val="9"/>
        <rFont val="Yu Gothic"/>
        <family val="0"/>
        <charset val="1"/>
      </rPr>
      <t xml:space="preserve">GL</t>
    </r>
  </si>
  <si>
    <r>
      <rPr>
        <sz val="9"/>
        <rFont val="Noto Sans CJK SC"/>
        <family val="2"/>
      </rPr>
      <t xml:space="preserve">多層インライン・ガードレール（入出力フィルタ）の実装により、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</si>
  <si>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エージェントのコード自動実行時に、ホスト</t>
    </r>
    <r>
      <rPr>
        <sz val="9"/>
        <rFont val="Yu Gothic"/>
        <family val="0"/>
        <charset val="1"/>
      </rPr>
      <t xml:space="preserve">OS</t>
    </r>
    <r>
      <rPr>
        <sz val="9"/>
        <rFont val="Noto Sans CJK SC"/>
        <family val="2"/>
      </rPr>
      <t xml:space="preserve">・社内ネットワークを保護する隔離コンテナ環境で実行させる。</t>
    </r>
  </si>
  <si>
    <t xml:space="preserve">OWASP AISVS, NCSC/CISA, CSA AICM</t>
  </si>
  <si>
    <r>
      <rPr>
        <sz val="9"/>
        <rFont val="Yu Gothic"/>
        <family val="0"/>
        <charset val="1"/>
      </rPr>
      <t xml:space="preserve">AI</t>
    </r>
    <r>
      <rPr>
        <sz val="9"/>
        <rFont val="Noto Sans CJK SC"/>
        <family val="2"/>
      </rPr>
      <t xml:space="preserve">エージェント実行環境の隔離（サンドボックス化）により、</t>
    </r>
    <r>
      <rPr>
        <sz val="9"/>
        <rFont val="Yu Gothic"/>
        <family val="0"/>
        <charset val="1"/>
      </rPr>
      <t xml:space="preserve">AI</t>
    </r>
    <r>
      <rPr>
        <sz val="9"/>
        <rFont val="Noto Sans CJK SC"/>
        <family val="2"/>
      </rPr>
      <t xml:space="preserve">固有の攻撃・誤動作を未然に防ぐ実装統制が整います。</t>
    </r>
  </si>
  <si>
    <t xml:space="preserve">外部送信・本番データ更新削除・高額決済の直前に人間のレビュー・承認ステップをシステム的に組み込む。</t>
  </si>
  <si>
    <r>
      <rPr>
        <sz val="9"/>
        <rFont val="Yu Gothic"/>
        <family val="0"/>
        <charset val="1"/>
      </rPr>
      <t xml:space="preserve">OWASP AISVS, EU AI Act, NIST AI RMF, ISO 42001, AI</t>
    </r>
    <r>
      <rPr>
        <sz val="9"/>
        <rFont val="Noto Sans CJK SC"/>
        <family val="2"/>
      </rPr>
      <t xml:space="preserve">事業者</t>
    </r>
    <r>
      <rPr>
        <sz val="9"/>
        <rFont val="Yu Gothic"/>
        <family val="0"/>
        <charset val="1"/>
      </rPr>
      <t xml:space="preserve">GL</t>
    </r>
  </si>
  <si>
    <r>
      <rPr>
        <sz val="9"/>
        <rFont val="Yu Gothic"/>
        <family val="0"/>
        <charset val="1"/>
      </rPr>
      <t xml:space="preserve">Human-in-the-Loop</t>
    </r>
    <r>
      <rPr>
        <sz val="9"/>
        <rFont val="Noto Sans CJK SC"/>
        <family val="2"/>
      </rPr>
      <t xml:space="preserve">のシステム強制により、</t>
    </r>
    <r>
      <rPr>
        <sz val="9"/>
        <rFont val="Yu Gothic"/>
        <family val="0"/>
        <charset val="1"/>
      </rPr>
      <t xml:space="preserve">AI</t>
    </r>
    <r>
      <rPr>
        <sz val="9"/>
        <rFont val="Noto Sans CJK SC"/>
        <family val="2"/>
      </rPr>
      <t xml:space="preserve">固有の攻撃・誤動作を未然に防ぐ実装統制が整います。</t>
    </r>
  </si>
  <si>
    <t xml:space="preserve">モデル出力を信頼できない入力として扱い、下流でのレンダリング・実行前にエンコーディング・サニタイズ・権限検証を強制する。</t>
  </si>
  <si>
    <t xml:space="preserve">OWASP LLM10, OWASP AISVS</t>
  </si>
  <si>
    <r>
      <rPr>
        <sz val="9"/>
        <rFont val="Noto Sans CJK SC"/>
        <family val="2"/>
      </rPr>
      <t xml:space="preserve">出力の安全な取扱い（</t>
    </r>
    <r>
      <rPr>
        <sz val="9"/>
        <rFont val="Yu Gothic"/>
        <family val="0"/>
        <charset val="1"/>
      </rPr>
      <t xml:space="preserve">Improper Output Handling</t>
    </r>
    <r>
      <rPr>
        <sz val="9"/>
        <rFont val="Noto Sans CJK SC"/>
        <family val="2"/>
      </rPr>
      <t xml:space="preserve">対策）により、</t>
    </r>
    <r>
      <rPr>
        <sz val="9"/>
        <rFont val="Yu Gothic"/>
        <family val="0"/>
        <charset val="1"/>
      </rPr>
      <t xml:space="preserve">AI</t>
    </r>
    <r>
      <rPr>
        <sz val="9"/>
        <rFont val="Noto Sans CJK SC"/>
        <family val="2"/>
      </rPr>
      <t xml:space="preserve">固有の攻撃・誤動作を未然に防ぐ実装統制が整います。</t>
    </r>
  </si>
  <si>
    <t xml:space="preserve">ツール呼び出し・下流連携に用いる出力を構造化形式に限定し、スキーマ検証違反の出力を破棄・再試行する。</t>
  </si>
  <si>
    <r>
      <rPr>
        <sz val="9"/>
        <rFont val="Yu Gothic"/>
        <family val="0"/>
        <charset val="1"/>
      </rPr>
      <t xml:space="preserve">OWASP AISVS, OWASP LLM10,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t>
    </r>
  </si>
  <si>
    <r>
      <rPr>
        <sz val="9"/>
        <rFont val="Noto Sans CJK SC"/>
        <family val="2"/>
      </rPr>
      <t xml:space="preserve">構造化出力・スキーマ検証の強制により、</t>
    </r>
    <r>
      <rPr>
        <sz val="9"/>
        <rFont val="Yu Gothic"/>
        <family val="0"/>
        <charset val="1"/>
      </rPr>
      <t xml:space="preserve">AI</t>
    </r>
    <r>
      <rPr>
        <sz val="9"/>
        <rFont val="Noto Sans CJK SC"/>
        <family val="2"/>
      </rPr>
      <t xml:space="preserve">固有の攻撃・誤動作を未然に防ぐ実装統制が整います。</t>
    </r>
  </si>
  <si>
    <t xml:space="preserve">モデル・エージェントに付与する機能・権限・自律性を業務要件の最小限に設計し、破壊的操作は既定で無効化する。</t>
  </si>
  <si>
    <r>
      <rPr>
        <sz val="9"/>
        <rFont val="Yu Gothic"/>
        <family val="0"/>
        <charset val="1"/>
      </rPr>
      <t xml:space="preserve">OWASP LLM10, ASD</t>
    </r>
    <r>
      <rPr>
        <sz val="9"/>
        <rFont val="Noto Sans CJK SC"/>
        <family val="2"/>
      </rPr>
      <t xml:space="preserve">エージェント</t>
    </r>
    <r>
      <rPr>
        <sz val="9"/>
        <rFont val="Yu Gothic"/>
        <family val="0"/>
        <charset val="1"/>
      </rPr>
      <t xml:space="preserve">AI, OWASP AISVS</t>
    </r>
  </si>
  <si>
    <r>
      <rPr>
        <sz val="9"/>
        <rFont val="Noto Sans CJK SC"/>
        <family val="2"/>
      </rPr>
      <t xml:space="preserve">過剰な自律性（</t>
    </r>
    <r>
      <rPr>
        <sz val="9"/>
        <rFont val="Yu Gothic"/>
        <family val="0"/>
        <charset val="1"/>
      </rPr>
      <t xml:space="preserve">Excessive Agency</t>
    </r>
    <r>
      <rPr>
        <sz val="9"/>
        <rFont val="Noto Sans CJK SC"/>
        <family val="2"/>
      </rPr>
      <t xml:space="preserve">）の制限により、</t>
    </r>
    <r>
      <rPr>
        <sz val="9"/>
        <rFont val="Yu Gothic"/>
        <family val="0"/>
        <charset val="1"/>
      </rPr>
      <t xml:space="preserve">AI</t>
    </r>
    <r>
      <rPr>
        <sz val="9"/>
        <rFont val="Noto Sans CJK SC"/>
        <family val="2"/>
      </rPr>
      <t xml:space="preserve">固有の攻撃・誤動作を未然に防ぐ実装統制が整います。</t>
    </r>
  </si>
  <si>
    <r>
      <rPr>
        <sz val="9"/>
        <rFont val="Yu Gothic"/>
        <family val="0"/>
        <charset val="1"/>
      </rPr>
      <t xml:space="preserve">RAG</t>
    </r>
    <r>
      <rPr>
        <sz val="9"/>
        <rFont val="Noto Sans CJK SC"/>
        <family val="2"/>
      </rPr>
      <t xml:space="preserve">検索結果の信頼度・出典検証を行い、根拠のない生成を抑制するとともに出典表示を出力要件とする。</t>
    </r>
  </si>
  <si>
    <r>
      <rPr>
        <sz val="9"/>
        <rFont val="Yu Gothic"/>
        <family val="0"/>
        <charset val="1"/>
      </rPr>
      <t xml:space="preserve">RAG</t>
    </r>
    <r>
      <rPr>
        <sz val="9"/>
        <rFont val="Noto Sans CJK SC"/>
        <family val="2"/>
      </rPr>
      <t xml:space="preserve">コンテキストの検証と出典の強制により、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</si>
  <si>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リクエスト・セッション・テナント単位のトークン</t>
    </r>
    <r>
      <rPr>
        <sz val="9"/>
        <rFont val="Yu Gothic"/>
        <family val="0"/>
        <charset val="1"/>
      </rPr>
      <t xml:space="preserve">/</t>
    </r>
    <r>
      <rPr>
        <sz val="9"/>
        <rFont val="Noto Sans CJK SC"/>
        <family val="2"/>
      </rPr>
      <t xml:space="preserve">計算資源</t>
    </r>
    <r>
      <rPr>
        <sz val="9"/>
        <rFont val="Yu Gothic"/>
        <family val="0"/>
        <charset val="1"/>
      </rPr>
      <t xml:space="preserve">/</t>
    </r>
    <r>
      <rPr>
        <sz val="9"/>
        <rFont val="Noto Sans CJK SC"/>
        <family val="2"/>
      </rPr>
      <t xml:space="preserve">コスト上限を強制し、経済的</t>
    </r>
    <r>
      <rPr>
        <sz val="9"/>
        <rFont val="Yu Gothic"/>
        <family val="0"/>
        <charset val="1"/>
      </rPr>
      <t xml:space="preserve">DoS</t>
    </r>
    <r>
      <rPr>
        <sz val="9"/>
        <rFont val="Noto Sans CJK SC"/>
        <family val="2"/>
      </rPr>
      <t xml:space="preserve">と暴走消費を防ぐ。</t>
    </r>
  </si>
  <si>
    <r>
      <rPr>
        <sz val="9"/>
        <rFont val="Yu Gothic"/>
        <family val="0"/>
        <charset val="1"/>
      </rPr>
      <t xml:space="preserve">OWASP LLM10,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 OWASP AISVS</t>
    </r>
  </si>
  <si>
    <r>
      <rPr>
        <sz val="9"/>
        <rFont val="Noto Sans CJK SC"/>
        <family val="2"/>
      </rPr>
      <t xml:space="preserve">リソース消費上限の強制（</t>
    </r>
    <r>
      <rPr>
        <sz val="9"/>
        <rFont val="Yu Gothic"/>
        <family val="0"/>
        <charset val="1"/>
      </rPr>
      <t xml:space="preserve">Unbounded Consumption</t>
    </r>
    <r>
      <rPr>
        <sz val="9"/>
        <rFont val="Noto Sans CJK SC"/>
        <family val="2"/>
      </rPr>
      <t xml:space="preserve">対策）により、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</si>
  <si>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各エージェントに一意のアイデンティティを付与し、エージェント間（</t>
    </r>
    <r>
      <rPr>
        <sz val="9"/>
        <rFont val="Yu Gothic"/>
        <family val="0"/>
        <charset val="1"/>
      </rPr>
      <t xml:space="preserve">A2A</t>
    </r>
    <r>
      <rPr>
        <sz val="9"/>
        <rFont val="Noto Sans CJK SC"/>
        <family val="2"/>
      </rPr>
      <t xml:space="preserve">）通信・ツール呼び出しにおける相互認証・認可を強制する。</t>
    </r>
  </si>
  <si>
    <r>
      <rPr>
        <sz val="9"/>
        <rFont val="Noto Sans CJK SC"/>
        <family val="2"/>
      </rPr>
      <t xml:space="preserve">エージェント・ツール接続セキュリティに関するリスクを低減し、</t>
    </r>
    <r>
      <rPr>
        <sz val="9"/>
        <rFont val="Yu Gothic"/>
        <family val="0"/>
        <charset val="1"/>
      </rPr>
      <t xml:space="preserve">AIMF PR</t>
    </r>
    <r>
      <rPr>
        <sz val="9"/>
        <rFont val="Noto Sans CJK SC"/>
        <family val="2"/>
      </rPr>
      <t xml:space="preserve">区分（</t>
    </r>
    <r>
      <rPr>
        <sz val="9"/>
        <rFont val="Yu Gothic"/>
        <family val="0"/>
        <charset val="1"/>
      </rPr>
      <t xml:space="preserve">AGT</t>
    </r>
    <r>
      <rPr>
        <sz val="9"/>
        <rFont val="Noto Sans CJK SC"/>
        <family val="2"/>
      </rPr>
      <t xml:space="preserve">カテゴリ）の要求に対応する。</t>
    </r>
  </si>
  <si>
    <r>
      <rPr>
        <sz val="9"/>
        <rFont val="Noto Sans CJK SC"/>
        <family val="2"/>
      </rPr>
      <t xml:space="preserve">エージェント</t>
    </r>
    <r>
      <rPr>
        <sz val="9"/>
        <rFont val="Yu Gothic"/>
        <family val="0"/>
        <charset val="1"/>
      </rPr>
      <t xml:space="preserve">ID</t>
    </r>
    <r>
      <rPr>
        <sz val="9"/>
        <rFont val="Noto Sans CJK SC"/>
        <family val="2"/>
      </rPr>
      <t xml:space="preserve">管理・相互認証により、</t>
    </r>
    <r>
      <rPr>
        <sz val="9"/>
        <rFont val="Yu Gothic"/>
        <family val="0"/>
        <charset val="1"/>
      </rPr>
      <t xml:space="preserve">AI</t>
    </r>
    <r>
      <rPr>
        <sz val="9"/>
        <rFont val="Noto Sans CJK SC"/>
        <family val="2"/>
      </rPr>
      <t xml:space="preserve">固有の攻撃・誤動作を未然に防ぐ実装統制が整います。</t>
    </r>
  </si>
  <si>
    <r>
      <rPr>
        <sz val="9"/>
        <rFont val="Yu Gothic"/>
        <family val="0"/>
        <charset val="1"/>
      </rPr>
      <t xml:space="preserve">MCP</t>
    </r>
    <r>
      <rPr>
        <sz val="9"/>
        <rFont val="Noto Sans CJK SC"/>
        <family val="2"/>
      </rPr>
      <t xml:space="preserve">サーバー等の外部ツール接続について、ツール定義の検証（ツールポイズニング対策）、認可スコープによるツール発見のフィルタリング、呼び出しごとのサーバーサイド認可、認証付き暗号化トランスポートを義務付ける。</t>
    </r>
  </si>
  <si>
    <r>
      <rPr>
        <sz val="9"/>
        <rFont val="Yu Gothic"/>
        <family val="0"/>
        <charset val="1"/>
      </rPr>
      <t xml:space="preserve">OWASP AISVS,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 NCSC/CISA</t>
    </r>
  </si>
  <si>
    <r>
      <rPr>
        <sz val="9"/>
        <rFont val="Yu Gothic"/>
        <family val="0"/>
        <charset val="1"/>
      </rPr>
      <t xml:space="preserve">MCP</t>
    </r>
    <r>
      <rPr>
        <sz val="9"/>
        <rFont val="Noto Sans CJK SC"/>
        <family val="2"/>
      </rPr>
      <t xml:space="preserve">等ツール接続プロトコルのセキュリティにより、</t>
    </r>
    <r>
      <rPr>
        <sz val="9"/>
        <rFont val="Yu Gothic"/>
        <family val="0"/>
        <charset val="1"/>
      </rPr>
      <t xml:space="preserve">AI</t>
    </r>
    <r>
      <rPr>
        <sz val="9"/>
        <rFont val="Noto Sans CJK SC"/>
        <family val="2"/>
      </rPr>
      <t xml:space="preserve">固有の攻撃・誤動作を未然に防ぐ実装統制が整います。</t>
    </r>
  </si>
  <si>
    <t xml:space="preserve">エージェントのセッションメモリ・長期記憶ストアへの書き込み検証、記憶経由の間接的インジェクション対策、記憶の定期的な検疫・失効を実装する。</t>
  </si>
  <si>
    <t xml:space="preserve">OWASP AISVS</t>
  </si>
  <si>
    <r>
      <rPr>
        <sz val="9"/>
        <rFont val="Noto Sans CJK SC"/>
        <family val="2"/>
      </rPr>
      <t xml:space="preserve">エージェントメモリ（長期記憶）の保護と汚染対策により、</t>
    </r>
    <r>
      <rPr>
        <sz val="9"/>
        <rFont val="Yu Gothic"/>
        <family val="0"/>
        <charset val="1"/>
      </rPr>
      <t xml:space="preserve">AI</t>
    </r>
    <r>
      <rPr>
        <sz val="9"/>
        <rFont val="Noto Sans CJK SC"/>
        <family val="2"/>
      </rPr>
      <t xml:space="preserve">固有の攻撃・誤動作を未然に防ぐ実装統制が整います。</t>
    </r>
  </si>
  <si>
    <t xml:space="preserve">エージェントごとに許可される目標・行動範囲・禁止行為を明文化し、範囲外の行動をポリシーエンジンで技術的に拒否する。</t>
  </si>
  <si>
    <r>
      <rPr>
        <sz val="9"/>
        <rFont val="Noto Sans CJK SC"/>
        <family val="2"/>
      </rPr>
      <t xml:space="preserve">最小エージェンシー原則（行動範囲・目標境界の定義）により、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</si>
  <si>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エージェント</t>
    </r>
    <r>
      <rPr>
        <sz val="9"/>
        <rFont val="Yu Gothic"/>
        <family val="0"/>
        <charset val="1"/>
      </rPr>
      <t xml:space="preserve">×</t>
    </r>
    <r>
      <rPr>
        <sz val="9"/>
        <rFont val="Noto Sans CJK SC"/>
        <family val="2"/>
      </rPr>
      <t xml:space="preserve">ツール</t>
    </r>
    <r>
      <rPr>
        <sz val="9"/>
        <rFont val="Yu Gothic"/>
        <family val="0"/>
        <charset val="1"/>
      </rPr>
      <t xml:space="preserve">×</t>
    </r>
    <r>
      <rPr>
        <sz val="9"/>
        <rFont val="Noto Sans CJK SC"/>
        <family val="2"/>
      </rPr>
      <t xml:space="preserve">操作の</t>
    </r>
    <r>
      <rPr>
        <sz val="9"/>
        <rFont val="Yu Gothic"/>
        <family val="0"/>
        <charset val="1"/>
      </rPr>
      <t xml:space="preserve">ACL</t>
    </r>
    <r>
      <rPr>
        <sz val="9"/>
        <rFont val="Noto Sans CJK SC"/>
        <family val="2"/>
      </rPr>
      <t xml:space="preserve">マトリクスを定義し、許可されない組合せのツール呼出をオーケストレーション層で遮断する。</t>
    </r>
  </si>
  <si>
    <t xml:space="preserve">OWASP ASI10, OWASP AISVS</t>
  </si>
  <si>
    <r>
      <rPr>
        <sz val="9"/>
        <rFont val="Noto Sans CJK SC"/>
        <family val="2"/>
      </rPr>
      <t xml:space="preserve">ツール</t>
    </r>
    <r>
      <rPr>
        <sz val="9"/>
        <rFont val="Yu Gothic"/>
        <family val="0"/>
        <charset val="1"/>
      </rPr>
      <t xml:space="preserve">ACL</t>
    </r>
    <r>
      <rPr>
        <sz val="9"/>
        <rFont val="Noto Sans CJK SC"/>
        <family val="2"/>
      </rPr>
      <t xml:space="preserve">マトリクスによる呼出可否管理により、</t>
    </r>
    <r>
      <rPr>
        <sz val="9"/>
        <rFont val="Yu Gothic"/>
        <family val="0"/>
        <charset val="1"/>
      </rPr>
      <t xml:space="preserve">AI</t>
    </r>
    <r>
      <rPr>
        <sz val="9"/>
        <rFont val="Noto Sans CJK SC"/>
        <family val="2"/>
      </rPr>
      <t xml:space="preserve">固有の攻撃・誤動作を未然に防ぐ実装統制が整います。</t>
    </r>
  </si>
  <si>
    <t xml:space="preserve">エージェントの実行計画（プラン）を実行前にポリシー検証し、承認済み計画からの逸脱時は停止・再承認を要求する。</t>
  </si>
  <si>
    <r>
      <rPr>
        <sz val="9"/>
        <rFont val="Noto Sans CJK SC"/>
        <family val="2"/>
      </rPr>
      <t xml:space="preserve">タスク計画の事前検証と逸脱制御により、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</si>
  <si>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エージェントが生成・変更するコードの実行を制限付きランタイムに限定し、危険</t>
    </r>
    <r>
      <rPr>
        <sz val="9"/>
        <rFont val="Yu Gothic"/>
        <family val="0"/>
        <charset val="1"/>
      </rPr>
      <t xml:space="preserve">API</t>
    </r>
    <r>
      <rPr>
        <sz val="9"/>
        <rFont val="Noto Sans CJK SC"/>
        <family val="2"/>
      </rPr>
      <t xml:space="preserve">・ネットワーク到達性・永続化を既定で禁止する。</t>
    </r>
  </si>
  <si>
    <r>
      <rPr>
        <sz val="9"/>
        <rFont val="Noto Sans CJK SC"/>
        <family val="2"/>
      </rPr>
      <t xml:space="preserve">エージェント生成コードの実行統制により、</t>
    </r>
    <r>
      <rPr>
        <sz val="9"/>
        <rFont val="Yu Gothic"/>
        <family val="0"/>
        <charset val="1"/>
      </rPr>
      <t xml:space="preserve">AI</t>
    </r>
    <r>
      <rPr>
        <sz val="9"/>
        <rFont val="Noto Sans CJK SC"/>
        <family val="2"/>
      </rPr>
      <t xml:space="preserve">固有の攻撃・誤動作を未然に防ぐ実装統制が整います。</t>
    </r>
  </si>
  <si>
    <t xml:space="preserve">エージェント間の委任関係と信頼境界を明示的に設計し、委任の深さ・伝播可能な権限を制限して連鎖的な侵害を防ぐ。</t>
  </si>
  <si>
    <r>
      <rPr>
        <sz val="9"/>
        <rFont val="Noto Sans CJK SC"/>
        <family val="2"/>
      </rPr>
      <t xml:space="preserve">委任チェーン・エージェント間信頼境界の設計により、</t>
    </r>
    <r>
      <rPr>
        <sz val="9"/>
        <rFont val="Yu Gothic"/>
        <family val="0"/>
        <charset val="1"/>
      </rPr>
      <t xml:space="preserve">AI</t>
    </r>
    <r>
      <rPr>
        <sz val="9"/>
        <rFont val="Noto Sans CJK SC"/>
        <family val="2"/>
      </rPr>
      <t xml:space="preserve">固有の攻撃・誤動作を未然に防ぐ実装統制が整います。</t>
    </r>
  </si>
  <si>
    <t xml:space="preserve">エージェントフレームワーク・オーケストレーターのセキュア設定基準（デフォルト無効化・タイムアウト・再試行上限等）を定義し逸脱を検出する。</t>
  </si>
  <si>
    <r>
      <rPr>
        <sz val="9"/>
        <rFont val="Yu Gothic"/>
        <family val="0"/>
        <charset val="1"/>
      </rPr>
      <t xml:space="preserve">ASD</t>
    </r>
    <r>
      <rPr>
        <sz val="9"/>
        <rFont val="Noto Sans CJK SC"/>
        <family val="2"/>
      </rPr>
      <t xml:space="preserve">エージェント</t>
    </r>
    <r>
      <rPr>
        <sz val="9"/>
        <rFont val="Yu Gothic"/>
        <family val="0"/>
        <charset val="1"/>
      </rPr>
      <t xml:space="preserve">AI, CIS v8.1</t>
    </r>
  </si>
  <si>
    <r>
      <rPr>
        <sz val="9"/>
        <rFont val="Noto Sans CJK SC"/>
        <family val="2"/>
      </rPr>
      <t xml:space="preserve">エージェント設定のセキュアベースラインにより、</t>
    </r>
    <r>
      <rPr>
        <sz val="9"/>
        <rFont val="Yu Gothic"/>
        <family val="0"/>
        <charset val="1"/>
      </rPr>
      <t xml:space="preserve">AI</t>
    </r>
    <r>
      <rPr>
        <sz val="9"/>
        <rFont val="Noto Sans CJK SC"/>
        <family val="2"/>
      </rPr>
      <t xml:space="preserve">固有の攻撃・誤動作を未然に防ぐ実装統制が整います。</t>
    </r>
  </si>
  <si>
    <t xml:space="preserve">オーケストレーターを重要資産として冗長化・アクセス制限し、単一エージェントの侵害が調停役の信頼を奪えない設計とする。</t>
  </si>
  <si>
    <r>
      <rPr>
        <sz val="9"/>
        <rFont val="Noto Sans CJK SC"/>
        <family val="2"/>
      </rPr>
      <t xml:space="preserve">オーケストレーターの単一障害点・乗っ取り対策により、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</si>
  <si>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高リスク</t>
    </r>
    <r>
      <rPr>
        <sz val="9"/>
        <rFont val="Yu Gothic"/>
        <family val="0"/>
        <charset val="1"/>
      </rPr>
      <t xml:space="preserve">AI</t>
    </r>
    <r>
      <rPr>
        <sz val="9"/>
        <rFont val="Noto Sans CJK SC"/>
        <family val="2"/>
      </rPr>
      <t xml:space="preserve">システム全般について、監督者の力量要件、自動化バイアスへの注意、出力の解釈・無効化・介入手段を含む監督設計を行う（エージェント</t>
    </r>
    <r>
      <rPr>
        <sz val="9"/>
        <rFont val="Yu Gothic"/>
        <family val="0"/>
        <charset val="1"/>
      </rPr>
      <t xml:space="preserve">HITL</t>
    </r>
    <r>
      <rPr>
        <sz val="9"/>
        <rFont val="Noto Sans CJK SC"/>
        <family val="2"/>
      </rPr>
      <t xml:space="preserve">に限定しない）。</t>
    </r>
  </si>
  <si>
    <r>
      <rPr>
        <sz val="9"/>
        <rFont val="Noto Sans CJK SC"/>
        <family val="2"/>
      </rPr>
      <t xml:space="preserve">人間による監督に関するリスクを低減し、</t>
    </r>
    <r>
      <rPr>
        <sz val="9"/>
        <rFont val="Yu Gothic"/>
        <family val="0"/>
        <charset val="1"/>
      </rPr>
      <t xml:space="preserve">AIMF PR</t>
    </r>
    <r>
      <rPr>
        <sz val="9"/>
        <rFont val="Noto Sans CJK SC"/>
        <family val="2"/>
      </rPr>
      <t xml:space="preserve">区分（</t>
    </r>
    <r>
      <rPr>
        <sz val="9"/>
        <rFont val="Yu Gothic"/>
        <family val="0"/>
        <charset val="1"/>
      </rPr>
      <t xml:space="preserve">HOV</t>
    </r>
    <r>
      <rPr>
        <sz val="9"/>
        <rFont val="Noto Sans CJK SC"/>
        <family val="2"/>
      </rPr>
      <t xml:space="preserve">カテゴリ）の要求に対応する。</t>
    </r>
  </si>
  <si>
    <r>
      <rPr>
        <sz val="9"/>
        <rFont val="Yu Gothic"/>
        <family val="0"/>
        <charset val="1"/>
      </rPr>
      <t xml:space="preserve">EU AI Act, OWASP AISVS, AI</t>
    </r>
    <r>
      <rPr>
        <sz val="9"/>
        <rFont val="Noto Sans CJK SC"/>
        <family val="2"/>
      </rPr>
      <t xml:space="preserve">事業者</t>
    </r>
    <r>
      <rPr>
        <sz val="9"/>
        <rFont val="Yu Gothic"/>
        <family val="0"/>
        <charset val="1"/>
      </rPr>
      <t xml:space="preserve">GL, ISO 42001, NIST AI RMF</t>
    </r>
  </si>
  <si>
    <r>
      <rPr>
        <sz val="9"/>
        <rFont val="Noto Sans CJK SC"/>
        <family val="2"/>
      </rPr>
      <t xml:space="preserve">人間による監督（</t>
    </r>
    <r>
      <rPr>
        <sz val="9"/>
        <rFont val="Yu Gothic"/>
        <family val="0"/>
        <charset val="1"/>
      </rPr>
      <t xml:space="preserve">Human Oversight</t>
    </r>
    <r>
      <rPr>
        <sz val="9"/>
        <rFont val="Noto Sans CJK SC"/>
        <family val="2"/>
      </rPr>
      <t xml:space="preserve">）の全体設計により、</t>
    </r>
    <r>
      <rPr>
        <sz val="9"/>
        <rFont val="Yu Gothic"/>
        <family val="0"/>
        <charset val="1"/>
      </rPr>
      <t xml:space="preserve">AI</t>
    </r>
    <r>
      <rPr>
        <sz val="9"/>
        <rFont val="Noto Sans CJK SC"/>
        <family val="2"/>
      </rPr>
      <t xml:space="preserve">固有の攻撃・誤動作を未然に防ぐ実装統制が整います。</t>
    </r>
  </si>
  <si>
    <r>
      <rPr>
        <sz val="9"/>
        <rFont val="Yu Gothic"/>
        <family val="0"/>
        <charset val="1"/>
      </rPr>
      <t xml:space="preserve">AI</t>
    </r>
    <r>
      <rPr>
        <sz val="9"/>
        <rFont val="Noto Sans CJK SC"/>
        <family val="2"/>
      </rPr>
      <t xml:space="preserve">監督担当者の力量要件・訓練を定め、自動化バイアス（</t>
    </r>
    <r>
      <rPr>
        <sz val="9"/>
        <rFont val="Yu Gothic"/>
        <family val="0"/>
        <charset val="1"/>
      </rPr>
      <t xml:space="preserve">AI</t>
    </r>
    <r>
      <rPr>
        <sz val="9"/>
        <rFont val="Noto Sans CJK SC"/>
        <family val="2"/>
      </rPr>
      <t xml:space="preserve">出力の無批判な受容）への対策を監督手順に組み込む。</t>
    </r>
  </si>
  <si>
    <t xml:space="preserve">EU AI Act, OWASP AISVS</t>
  </si>
  <si>
    <r>
      <rPr>
        <sz val="9"/>
        <rFont val="Noto Sans CJK SC"/>
        <family val="2"/>
      </rPr>
      <t xml:space="preserve">監督者の力量要件と自動化バイアス対策により、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</si>
  <si>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承認疲れ・説得的出力による不安全な承認誘導を防ぐため、重要承認は帯域外・要約強制・冷却時間付きの</t>
    </r>
    <r>
      <rPr>
        <sz val="9"/>
        <rFont val="Yu Gothic"/>
        <family val="0"/>
        <charset val="1"/>
      </rPr>
      <t xml:space="preserve">UX</t>
    </r>
    <r>
      <rPr>
        <sz val="9"/>
        <rFont val="Noto Sans CJK SC"/>
        <family val="2"/>
      </rPr>
      <t xml:space="preserve">として設計する。</t>
    </r>
  </si>
  <si>
    <r>
      <rPr>
        <sz val="9"/>
        <rFont val="Noto Sans CJK SC"/>
        <family val="2"/>
      </rPr>
      <t xml:space="preserve">人間・エージェント間の信頼悪用対策により、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</si>
  <si>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画像分類・異常検知等の従来型</t>
    </r>
    <r>
      <rPr>
        <sz val="9"/>
        <rFont val="Yu Gothic"/>
        <family val="0"/>
        <charset val="1"/>
      </rPr>
      <t xml:space="preserve">ML</t>
    </r>
    <r>
      <rPr>
        <sz val="9"/>
        <rFont val="Noto Sans CJK SC"/>
        <family val="2"/>
      </rPr>
      <t xml:space="preserve">モデルに対する回避攻撃（</t>
    </r>
    <r>
      <rPr>
        <sz val="9"/>
        <rFont val="Yu Gothic"/>
        <family val="0"/>
        <charset val="1"/>
      </rPr>
      <t xml:space="preserve">Evasion</t>
    </r>
    <r>
      <rPr>
        <sz val="9"/>
        <rFont val="Noto Sans CJK SC"/>
        <family val="2"/>
      </rPr>
      <t xml:space="preserve">）、モデル抽出、メンバーシップ推論、モデル反転への対策（敵対的学習、出力制限、クエリ監視）を実装する。</t>
    </r>
  </si>
  <si>
    <r>
      <rPr>
        <sz val="9"/>
        <rFont val="Noto Sans CJK SC"/>
        <family val="2"/>
      </rPr>
      <t xml:space="preserve">敵対的堅牢性に関するリスクを低減し、</t>
    </r>
    <r>
      <rPr>
        <sz val="9"/>
        <rFont val="Yu Gothic"/>
        <family val="0"/>
        <charset val="1"/>
      </rPr>
      <t xml:space="preserve">AIMF PR</t>
    </r>
    <r>
      <rPr>
        <sz val="9"/>
        <rFont val="Noto Sans CJK SC"/>
        <family val="2"/>
      </rPr>
      <t xml:space="preserve">区分（</t>
    </r>
    <r>
      <rPr>
        <sz val="9"/>
        <rFont val="Yu Gothic"/>
        <family val="0"/>
        <charset val="1"/>
      </rPr>
      <t xml:space="preserve">ADV</t>
    </r>
    <r>
      <rPr>
        <sz val="9"/>
        <rFont val="Noto Sans CJK SC"/>
        <family val="2"/>
      </rPr>
      <t xml:space="preserve">カテゴリ）の要求に対応する。</t>
    </r>
  </si>
  <si>
    <r>
      <rPr>
        <sz val="9"/>
        <rFont val="Yu Gothic"/>
        <family val="0"/>
        <charset val="1"/>
      </rPr>
      <t xml:space="preserve">OWASP AISVS,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 EU AI Act, NCSC/CISA, NIST AI RMF</t>
    </r>
  </si>
  <si>
    <r>
      <rPr>
        <sz val="9"/>
        <rFont val="Noto Sans CJK SC"/>
        <family val="2"/>
      </rPr>
      <t xml:space="preserve">従来型</t>
    </r>
    <r>
      <rPr>
        <sz val="9"/>
        <rFont val="Yu Gothic"/>
        <family val="0"/>
        <charset val="1"/>
      </rPr>
      <t xml:space="preserve">ML</t>
    </r>
    <r>
      <rPr>
        <sz val="9"/>
        <rFont val="Noto Sans CJK SC"/>
        <family val="2"/>
      </rPr>
      <t xml:space="preserve">特有の敵対的攻撃対策により、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</si>
  <si>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推論</t>
    </r>
    <r>
      <rPr>
        <sz val="9"/>
        <rFont val="Yu Gothic"/>
        <family val="0"/>
        <charset val="1"/>
      </rPr>
      <t xml:space="preserve">API</t>
    </r>
    <r>
      <rPr>
        <sz val="9"/>
        <rFont val="Noto Sans CJK SC"/>
        <family val="2"/>
      </rPr>
      <t xml:space="preserve">へのクエリ制限・出力情報量の制御・透かし（フィンガープリント）により、モデル複製・抽出攻撃を抑止する。</t>
    </r>
  </si>
  <si>
    <t xml:space="preserve">MITRE ATLAS, OWASP AISVS, OWASP LLM10</t>
  </si>
  <si>
    <r>
      <rPr>
        <sz val="9"/>
        <rFont val="Noto Sans CJK SC"/>
        <family val="2"/>
      </rPr>
      <t xml:space="preserve">モデル抽出・スティーリング対策により、</t>
    </r>
    <r>
      <rPr>
        <sz val="9"/>
        <rFont val="Yu Gothic"/>
        <family val="0"/>
        <charset val="1"/>
      </rPr>
      <t xml:space="preserve">AI</t>
    </r>
    <r>
      <rPr>
        <sz val="9"/>
        <rFont val="Noto Sans CJK SC"/>
        <family val="2"/>
      </rPr>
      <t xml:space="preserve">固有の攻撃・誤動作を未然に防ぐ実装統制が整います。</t>
    </r>
  </si>
  <si>
    <t xml:space="preserve">差分プライバシー・正則化・出力確信度の制御により、学習データの推定・復元攻撃への耐性を確保する。</t>
  </si>
  <si>
    <r>
      <rPr>
        <sz val="9"/>
        <rFont val="Noto Sans CJK SC"/>
        <family val="2"/>
      </rPr>
      <t xml:space="preserve">メンバーシップ推論・モデル反転対策により、</t>
    </r>
    <r>
      <rPr>
        <sz val="9"/>
        <rFont val="Yu Gothic"/>
        <family val="0"/>
        <charset val="1"/>
      </rPr>
      <t xml:space="preserve">AI</t>
    </r>
    <r>
      <rPr>
        <sz val="9"/>
        <rFont val="Noto Sans CJK SC"/>
        <family val="2"/>
      </rPr>
      <t xml:space="preserve">固有の攻撃・誤動作を未然に防ぐ実装統制が整います。</t>
    </r>
  </si>
  <si>
    <t xml:space="preserve">敵対的学習・入力前処理・アンサンブルにより、判別モデルへの回避攻撃耐性を確保し、耐性を定期評価する。</t>
  </si>
  <si>
    <r>
      <rPr>
        <sz val="9"/>
        <rFont val="Yu Gothic"/>
        <family val="0"/>
        <charset val="1"/>
      </rPr>
      <t xml:space="preserve">MITRE ATLAS, OWASP AISVS,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t>
    </r>
  </si>
  <si>
    <r>
      <rPr>
        <sz val="9"/>
        <rFont val="Noto Sans CJK SC"/>
        <family val="2"/>
      </rPr>
      <t xml:space="preserve">回避攻撃（敵対的サンプル）対策により、</t>
    </r>
    <r>
      <rPr>
        <sz val="9"/>
        <rFont val="Yu Gothic"/>
        <family val="0"/>
        <charset val="1"/>
      </rPr>
      <t xml:space="preserve">AI</t>
    </r>
    <r>
      <rPr>
        <sz val="9"/>
        <rFont val="Noto Sans CJK SC"/>
        <family val="2"/>
      </rPr>
      <t xml:space="preserve">固有の攻撃・誤動作を未然に防ぐ実装統制が整います。</t>
    </r>
  </si>
  <si>
    <r>
      <rPr>
        <sz val="9"/>
        <rFont val="Yu Gothic"/>
        <family val="0"/>
        <charset val="1"/>
      </rPr>
      <t xml:space="preserve">AI</t>
    </r>
    <r>
      <rPr>
        <sz val="9"/>
        <rFont val="Noto Sans CJK SC"/>
        <family val="2"/>
      </rPr>
      <t xml:space="preserve">生成の自然な偽メールに対抗するため、文脈解析型メールセキュリティを導入し、訓練コンテンツを</t>
    </r>
    <r>
      <rPr>
        <sz val="9"/>
        <rFont val="Yu Gothic"/>
        <family val="0"/>
        <charset val="1"/>
      </rPr>
      <t xml:space="preserve">AI</t>
    </r>
    <r>
      <rPr>
        <sz val="9"/>
        <rFont val="Noto Sans CJK SC"/>
        <family val="2"/>
      </rPr>
      <t xml:space="preserve">前提に刷新する。</t>
    </r>
  </si>
  <si>
    <r>
      <rPr>
        <sz val="9"/>
        <rFont val="Yu Gothic"/>
        <family val="0"/>
        <charset val="1"/>
      </rPr>
      <t xml:space="preserve">AI</t>
    </r>
    <r>
      <rPr>
        <sz val="9"/>
        <rFont val="Noto Sans CJK SC"/>
        <family val="2"/>
      </rPr>
      <t xml:space="preserve">時代に対応する既存セキュリティの強化に関するリスクを低減し、</t>
    </r>
    <r>
      <rPr>
        <sz val="9"/>
        <rFont val="Yu Gothic"/>
        <family val="0"/>
        <charset val="1"/>
      </rPr>
      <t xml:space="preserve">AIMF PR</t>
    </r>
    <r>
      <rPr>
        <sz val="9"/>
        <rFont val="Noto Sans CJK SC"/>
        <family val="2"/>
      </rPr>
      <t xml:space="preserve">区分（</t>
    </r>
    <r>
      <rPr>
        <sz val="9"/>
        <rFont val="Yu Gothic"/>
        <family val="0"/>
        <charset val="1"/>
      </rPr>
      <t xml:space="preserve">CAI</t>
    </r>
    <r>
      <rPr>
        <sz val="9"/>
        <rFont val="Noto Sans CJK SC"/>
        <family val="2"/>
      </rPr>
      <t xml:space="preserve">カテゴリ）の要求に対応する。</t>
    </r>
  </si>
  <si>
    <r>
      <rPr>
        <sz val="9"/>
        <rFont val="Yu Gothic"/>
        <family val="0"/>
        <charset val="1"/>
      </rPr>
      <t xml:space="preserve">CSA AICM, AI</t>
    </r>
    <r>
      <rPr>
        <sz val="9"/>
        <rFont val="Noto Sans CJK SC"/>
        <family val="2"/>
      </rPr>
      <t xml:space="preserve">事業者</t>
    </r>
    <r>
      <rPr>
        <sz val="9"/>
        <rFont val="Yu Gothic"/>
        <family val="0"/>
        <charset val="1"/>
      </rPr>
      <t xml:space="preserve">GL</t>
    </r>
  </si>
  <si>
    <r>
      <rPr>
        <sz val="9"/>
        <rFont val="Noto Sans CJK SC"/>
        <family val="2"/>
      </rPr>
      <t xml:space="preserve">フィッシング・標的型攻撃対策の高度化（対</t>
    </r>
    <r>
      <rPr>
        <sz val="9"/>
        <rFont val="Yu Gothic"/>
        <family val="0"/>
        <charset val="1"/>
      </rPr>
      <t xml:space="preserve">AI</t>
    </r>
    <r>
      <rPr>
        <sz val="9"/>
        <rFont val="Noto Sans CJK SC"/>
        <family val="2"/>
      </rPr>
      <t xml:space="preserve">攻撃）により、</t>
    </r>
    <r>
      <rPr>
        <sz val="9"/>
        <rFont val="Yu Gothic"/>
        <family val="0"/>
        <charset val="1"/>
      </rPr>
      <t xml:space="preserve">AI</t>
    </r>
    <r>
      <rPr>
        <sz val="9"/>
        <rFont val="Noto Sans CJK SC"/>
        <family val="2"/>
      </rPr>
      <t xml:space="preserve">固有の攻撃・誤動作を未然に防ぐ実装統制が整います。</t>
    </r>
  </si>
  <si>
    <t xml:space="preserve">ディープフェイク・音声合成によるなりすましを想定し、物理キー・パスキーへの移行を加速する。</t>
  </si>
  <si>
    <t xml:space="preserve">CSA AICM</t>
  </si>
  <si>
    <r>
      <rPr>
        <sz val="9"/>
        <rFont val="Yu Gothic"/>
        <family val="0"/>
        <charset val="1"/>
      </rPr>
      <t xml:space="preserve">MFA</t>
    </r>
    <r>
      <rPr>
        <sz val="9"/>
        <rFont val="Noto Sans CJK SC"/>
        <family val="2"/>
      </rPr>
      <t xml:space="preserve">における生体・音声認証の見直し（対ディープフェイク）により、</t>
    </r>
    <r>
      <rPr>
        <sz val="9"/>
        <rFont val="Yu Gothic"/>
        <family val="0"/>
        <charset val="1"/>
      </rPr>
      <t xml:space="preserve">AI</t>
    </r>
    <r>
      <rPr>
        <sz val="9"/>
        <rFont val="Noto Sans CJK SC"/>
        <family val="2"/>
      </rPr>
      <t xml:space="preserve">固有の攻撃・誤動作を未然に防ぐ実装統制が整います。</t>
    </r>
  </si>
  <si>
    <r>
      <rPr>
        <sz val="9"/>
        <rFont val="Yu Gothic"/>
        <family val="0"/>
        <charset val="1"/>
      </rPr>
      <t xml:space="preserve">FIDO2/</t>
    </r>
    <r>
      <rPr>
        <sz val="9"/>
        <rFont val="Noto Sans CJK SC"/>
        <family val="2"/>
      </rPr>
      <t xml:space="preserve">パスキー移行を加速し、コード生成</t>
    </r>
    <r>
      <rPr>
        <sz val="9"/>
        <rFont val="Yu Gothic"/>
        <family val="0"/>
        <charset val="1"/>
      </rPr>
      <t xml:space="preserve">AI</t>
    </r>
    <r>
      <rPr>
        <sz val="9"/>
        <rFont val="Noto Sans CJK SC"/>
        <family val="2"/>
      </rPr>
      <t xml:space="preserve">由来の脆弱なコードを排除するため</t>
    </r>
    <r>
      <rPr>
        <sz val="9"/>
        <rFont val="Yu Gothic"/>
        <family val="0"/>
        <charset val="1"/>
      </rPr>
      <t xml:space="preserve">SAST/DAST</t>
    </r>
    <r>
      <rPr>
        <sz val="9"/>
        <rFont val="Noto Sans CJK SC"/>
        <family val="2"/>
      </rPr>
      <t xml:space="preserve">を</t>
    </r>
    <r>
      <rPr>
        <sz val="9"/>
        <rFont val="Yu Gothic"/>
        <family val="0"/>
        <charset val="1"/>
      </rPr>
      <t xml:space="preserve">CI/CD</t>
    </r>
    <r>
      <rPr>
        <sz val="9"/>
        <rFont val="Noto Sans CJK SC"/>
        <family val="2"/>
      </rPr>
      <t xml:space="preserve">に強制組み込みする。</t>
    </r>
  </si>
  <si>
    <r>
      <rPr>
        <sz val="9"/>
        <rFont val="Yu Gothic"/>
        <family val="0"/>
        <charset val="1"/>
      </rPr>
      <t xml:space="preserve">AI</t>
    </r>
    <r>
      <rPr>
        <sz val="9"/>
        <rFont val="Noto Sans CJK SC"/>
        <family val="2"/>
      </rPr>
      <t xml:space="preserve">前提のパスワードレス認証・セキュアコーディングにより、</t>
    </r>
    <r>
      <rPr>
        <sz val="9"/>
        <rFont val="Yu Gothic"/>
        <family val="0"/>
        <charset val="1"/>
      </rPr>
      <t xml:space="preserve">AI</t>
    </r>
    <r>
      <rPr>
        <sz val="9"/>
        <rFont val="Noto Sans CJK SC"/>
        <family val="2"/>
      </rPr>
      <t xml:space="preserve">固有の攻撃・誤動作を未然に防ぐ実装統制が整います。</t>
    </r>
  </si>
  <si>
    <t xml:space="preserve">送金・支払先変更・重要指示は音声・映像によらない帯域外の再確認（コールバック・合言葉）を必須とし、経営層なりすましを防ぐ。</t>
  </si>
  <si>
    <r>
      <rPr>
        <sz val="9"/>
        <rFont val="Yu Gothic"/>
        <family val="0"/>
        <charset val="1"/>
      </rPr>
      <t xml:space="preserve">NIST 800-63-4, Five Eyes</t>
    </r>
    <r>
      <rPr>
        <sz val="9"/>
        <rFont val="Noto Sans CJK SC"/>
        <family val="2"/>
      </rPr>
      <t xml:space="preserve">声明</t>
    </r>
    <r>
      <rPr>
        <sz val="9"/>
        <rFont val="Yu Gothic"/>
        <family val="0"/>
        <charset val="1"/>
      </rPr>
      <t xml:space="preserve">, CIS v8.1</t>
    </r>
  </si>
  <si>
    <r>
      <rPr>
        <sz val="9"/>
        <rFont val="Noto Sans CJK SC"/>
        <family val="2"/>
      </rPr>
      <t xml:space="preserve">ディープフェイク詐欺対策の業務プロセスにより、</t>
    </r>
    <r>
      <rPr>
        <sz val="9"/>
        <rFont val="Yu Gothic"/>
        <family val="0"/>
        <charset val="1"/>
      </rPr>
      <t xml:space="preserve">AI</t>
    </r>
    <r>
      <rPr>
        <sz val="9"/>
        <rFont val="Noto Sans CJK SC"/>
        <family val="2"/>
      </rPr>
      <t xml:space="preserve">固有の攻撃・誤動作を未然に防ぐ実装統制が整います。</t>
    </r>
  </si>
  <si>
    <r>
      <rPr>
        <sz val="9"/>
        <rFont val="Yu Gothic"/>
        <family val="0"/>
        <charset val="1"/>
      </rPr>
      <t xml:space="preserve">DMARC/DKIM/SPF</t>
    </r>
    <r>
      <rPr>
        <sz val="9"/>
        <rFont val="Noto Sans CJK SC"/>
        <family val="2"/>
      </rPr>
      <t xml:space="preserve">の厳格運用と</t>
    </r>
    <r>
      <rPr>
        <sz val="9"/>
        <rFont val="Yu Gothic"/>
        <family val="0"/>
        <charset val="1"/>
      </rPr>
      <t xml:space="preserve">AI</t>
    </r>
    <r>
      <rPr>
        <sz val="9"/>
        <rFont val="Noto Sans CJK SC"/>
        <family val="2"/>
      </rPr>
      <t xml:space="preserve">文面検知を組み合わせ、</t>
    </r>
    <r>
      <rPr>
        <sz val="9"/>
        <rFont val="Yu Gothic"/>
        <family val="0"/>
        <charset val="1"/>
      </rPr>
      <t xml:space="preserve">AI</t>
    </r>
    <r>
      <rPr>
        <sz val="9"/>
        <rFont val="Noto Sans CJK SC"/>
        <family val="2"/>
      </rPr>
      <t xml:space="preserve">生成の高品質フィッシング・</t>
    </r>
    <r>
      <rPr>
        <sz val="9"/>
        <rFont val="Yu Gothic"/>
        <family val="0"/>
        <charset val="1"/>
      </rPr>
      <t xml:space="preserve">BEC</t>
    </r>
    <r>
      <rPr>
        <sz val="9"/>
        <rFont val="Noto Sans CJK SC"/>
        <family val="2"/>
      </rPr>
      <t xml:space="preserve">への防御を強化する。</t>
    </r>
  </si>
  <si>
    <r>
      <rPr>
        <sz val="9"/>
        <rFont val="Yu Gothic"/>
        <family val="0"/>
        <charset val="1"/>
      </rPr>
      <t xml:space="preserve">CIS v8.1, Five Eyes</t>
    </r>
    <r>
      <rPr>
        <sz val="9"/>
        <rFont val="Noto Sans CJK SC"/>
        <family val="2"/>
      </rPr>
      <t xml:space="preserve">声明</t>
    </r>
  </si>
  <si>
    <r>
      <rPr>
        <sz val="9"/>
        <rFont val="Yu Gothic"/>
        <family val="0"/>
        <charset val="1"/>
      </rPr>
      <t xml:space="preserve">AI</t>
    </r>
    <r>
      <rPr>
        <sz val="9"/>
        <rFont val="Noto Sans CJK SC"/>
        <family val="2"/>
      </rPr>
      <t xml:space="preserve">生成フィッシング対策とメール認証の強化により、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</si>
  <si>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外部到達可能な資産の最小化・不要サービスの停止・ゼロトラストアクセスへの移行を加速し、</t>
    </r>
    <r>
      <rPr>
        <sz val="9"/>
        <rFont val="Yu Gothic"/>
        <family val="0"/>
        <charset val="1"/>
      </rPr>
      <t xml:space="preserve">AI</t>
    </r>
    <r>
      <rPr>
        <sz val="9"/>
        <rFont val="Noto Sans CJK SC"/>
        <family val="2"/>
      </rPr>
      <t xml:space="preserve">駆動の偵察・悪用に晒される面を減らす。</t>
    </r>
  </si>
  <si>
    <r>
      <rPr>
        <sz val="9"/>
        <rFont val="Noto Sans CJK SC"/>
        <family val="2"/>
      </rPr>
      <t xml:space="preserve">アタックサーフェス削減とゼロトラスト移行により、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</si>
  <si>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脆弱性公開から悪用までの時間短縮を前提に、外部公開資産・</t>
    </r>
    <r>
      <rPr>
        <sz val="9"/>
        <rFont val="Yu Gothic"/>
        <family val="0"/>
        <charset val="1"/>
      </rPr>
      <t xml:space="preserve">AI</t>
    </r>
    <r>
      <rPr>
        <sz val="9"/>
        <rFont val="Noto Sans CJK SC"/>
        <family val="2"/>
      </rPr>
      <t xml:space="preserve">基盤の重大脆弱性のパッチ</t>
    </r>
    <r>
      <rPr>
        <sz val="9"/>
        <rFont val="Yu Gothic"/>
        <family val="0"/>
        <charset val="1"/>
      </rPr>
      <t xml:space="preserve">SLA</t>
    </r>
    <r>
      <rPr>
        <sz val="9"/>
        <rFont val="Noto Sans CJK SC"/>
        <family val="2"/>
      </rPr>
      <t xml:space="preserve">を短縮し達成率を測定する。</t>
    </r>
  </si>
  <si>
    <r>
      <rPr>
        <sz val="9"/>
        <rFont val="Yu Gothic"/>
        <family val="0"/>
        <charset val="1"/>
      </rPr>
      <t xml:space="preserve">Five Eyes</t>
    </r>
    <r>
      <rPr>
        <sz val="9"/>
        <rFont val="Noto Sans CJK SC"/>
        <family val="2"/>
      </rPr>
      <t xml:space="preserve">声明</t>
    </r>
    <r>
      <rPr>
        <sz val="9"/>
        <rFont val="Yu Gothic"/>
        <family val="0"/>
        <charset val="1"/>
      </rPr>
      <t xml:space="preserve">, CIS v8.1</t>
    </r>
  </si>
  <si>
    <r>
      <rPr>
        <sz val="9"/>
        <rFont val="Yu Gothic"/>
        <family val="0"/>
        <charset val="1"/>
      </rPr>
      <t xml:space="preserve">AI</t>
    </r>
    <r>
      <rPr>
        <sz val="9"/>
        <rFont val="Noto Sans CJK SC"/>
        <family val="2"/>
      </rPr>
      <t xml:space="preserve">加速攻撃を想定したパッチ</t>
    </r>
    <r>
      <rPr>
        <sz val="9"/>
        <rFont val="Yu Gothic"/>
        <family val="0"/>
        <charset val="1"/>
      </rPr>
      <t xml:space="preserve">SLA</t>
    </r>
    <r>
      <rPr>
        <sz val="9"/>
        <rFont val="Noto Sans CJK SC"/>
        <family val="2"/>
      </rPr>
      <t xml:space="preserve">の短縮により、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</si>
  <si>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組織管理者・技術者・セキュリティ担当者・法務コンプライアンス・一般従業員の</t>
    </r>
    <r>
      <rPr>
        <sz val="9"/>
        <rFont val="Yu Gothic"/>
        <family val="0"/>
        <charset val="1"/>
      </rPr>
      <t xml:space="preserve">5</t>
    </r>
    <r>
      <rPr>
        <sz val="9"/>
        <rFont val="Noto Sans CJK SC"/>
        <family val="2"/>
      </rPr>
      <t xml:space="preserve">層に対し、役割に応じた</t>
    </r>
    <r>
      <rPr>
        <sz val="9"/>
        <rFont val="Yu Gothic"/>
        <family val="0"/>
        <charset val="1"/>
      </rPr>
      <t xml:space="preserve">AI</t>
    </r>
    <r>
      <rPr>
        <sz val="9"/>
        <rFont val="Noto Sans CJK SC"/>
        <family val="2"/>
      </rPr>
      <t xml:space="preserve">リスク・ガバナンス・セキュリティ教育を義務付ける。</t>
    </r>
  </si>
  <si>
    <r>
      <rPr>
        <sz val="9"/>
        <rFont val="Noto Sans CJK SC"/>
        <family val="2"/>
      </rPr>
      <t xml:space="preserve">層別</t>
    </r>
    <r>
      <rPr>
        <sz val="9"/>
        <rFont val="Yu Gothic"/>
        <family val="0"/>
        <charset val="1"/>
      </rPr>
      <t xml:space="preserve">AI</t>
    </r>
    <r>
      <rPr>
        <sz val="9"/>
        <rFont val="Noto Sans CJK SC"/>
        <family val="2"/>
      </rPr>
      <t xml:space="preserve">セキュリティ教育に関するリスクを低減し、</t>
    </r>
    <r>
      <rPr>
        <sz val="9"/>
        <rFont val="Yu Gothic"/>
        <family val="0"/>
        <charset val="1"/>
      </rPr>
      <t xml:space="preserve">AIMF PR</t>
    </r>
    <r>
      <rPr>
        <sz val="9"/>
        <rFont val="Noto Sans CJK SC"/>
        <family val="2"/>
      </rPr>
      <t xml:space="preserve">区分（</t>
    </r>
    <r>
      <rPr>
        <sz val="9"/>
        <rFont val="Yu Gothic"/>
        <family val="0"/>
        <charset val="1"/>
      </rPr>
      <t xml:space="preserve">EDU</t>
    </r>
    <r>
      <rPr>
        <sz val="9"/>
        <rFont val="Noto Sans CJK SC"/>
        <family val="2"/>
      </rPr>
      <t xml:space="preserve">カテゴリ）の要求に対応する。</t>
    </r>
  </si>
  <si>
    <r>
      <rPr>
        <sz val="9"/>
        <rFont val="Yu Gothic"/>
        <family val="0"/>
        <charset val="1"/>
      </rPr>
      <t xml:space="preserve">AI</t>
    </r>
    <r>
      <rPr>
        <sz val="9"/>
        <rFont val="Noto Sans CJK SC"/>
        <family val="2"/>
      </rPr>
      <t xml:space="preserve">事業者</t>
    </r>
    <r>
      <rPr>
        <sz val="9"/>
        <rFont val="Yu Gothic"/>
        <family val="0"/>
        <charset val="1"/>
      </rPr>
      <t xml:space="preserve">GL, EU AI Act, ISO 42001, NIST AI RMF, CSA AICM, NCSC/CISA</t>
    </r>
  </si>
  <si>
    <r>
      <rPr>
        <sz val="9"/>
        <rFont val="Noto Sans CJK SC"/>
        <family val="2"/>
      </rPr>
      <t xml:space="preserve">層別</t>
    </r>
    <r>
      <rPr>
        <sz val="9"/>
        <rFont val="Yu Gothic"/>
        <family val="0"/>
        <charset val="1"/>
      </rPr>
      <t xml:space="preserve">AI</t>
    </r>
    <r>
      <rPr>
        <sz val="9"/>
        <rFont val="Noto Sans CJK SC"/>
        <family val="2"/>
      </rPr>
      <t xml:space="preserve">セキュリティ教育の徹底により、</t>
    </r>
    <r>
      <rPr>
        <sz val="9"/>
        <rFont val="Yu Gothic"/>
        <family val="0"/>
        <charset val="1"/>
      </rPr>
      <t xml:space="preserve">AI</t>
    </r>
    <r>
      <rPr>
        <sz val="9"/>
        <rFont val="Noto Sans CJK SC"/>
        <family val="2"/>
      </rPr>
      <t xml:space="preserve">固有の攻撃・誤動作を未然に防ぐ実装統制が整います。</t>
    </r>
  </si>
  <si>
    <r>
      <rPr>
        <sz val="9"/>
        <rFont val="Yu Gothic"/>
        <family val="0"/>
        <charset val="1"/>
      </rPr>
      <t xml:space="preserve">AI</t>
    </r>
    <r>
      <rPr>
        <sz val="9"/>
        <rFont val="Noto Sans CJK SC"/>
        <family val="2"/>
      </rPr>
      <t xml:space="preserve">開発者にプロンプトインジェクション・出力処理・エージェント統制を含むセキュア</t>
    </r>
    <r>
      <rPr>
        <sz val="9"/>
        <rFont val="Yu Gothic"/>
        <family val="0"/>
        <charset val="1"/>
      </rPr>
      <t xml:space="preserve">AI</t>
    </r>
    <r>
      <rPr>
        <sz val="9"/>
        <rFont val="Noto Sans CJK SC"/>
        <family val="2"/>
      </rPr>
      <t xml:space="preserve">開発研修を義務付け、力量を記録する。</t>
    </r>
  </si>
  <si>
    <t xml:space="preserve">NCSC/CISA, CIS v8.1, OWASP AISVS</t>
  </si>
  <si>
    <r>
      <rPr>
        <sz val="9"/>
        <rFont val="Noto Sans CJK SC"/>
        <family val="2"/>
      </rPr>
      <t xml:space="preserve">開発者向けセキュア</t>
    </r>
    <r>
      <rPr>
        <sz val="9"/>
        <rFont val="Yu Gothic"/>
        <family val="0"/>
        <charset val="1"/>
      </rPr>
      <t xml:space="preserve">AI</t>
    </r>
    <r>
      <rPr>
        <sz val="9"/>
        <rFont val="Noto Sans CJK SC"/>
        <family val="2"/>
      </rPr>
      <t xml:space="preserve">開発研修により、</t>
    </r>
    <r>
      <rPr>
        <sz val="9"/>
        <rFont val="Yu Gothic"/>
        <family val="0"/>
        <charset val="1"/>
      </rPr>
      <t xml:space="preserve">AI</t>
    </r>
    <r>
      <rPr>
        <sz val="9"/>
        <rFont val="Noto Sans CJK SC"/>
        <family val="2"/>
      </rPr>
      <t xml:space="preserve">固有の攻撃・誤動作を未然に防ぐ実装統制が整います。</t>
    </r>
  </si>
  <si>
    <r>
      <rPr>
        <sz val="9"/>
        <rFont val="Yu Gothic"/>
        <family val="0"/>
        <charset val="1"/>
      </rPr>
      <t xml:space="preserve">AI</t>
    </r>
    <r>
      <rPr>
        <sz val="9"/>
        <rFont val="Noto Sans CJK SC"/>
        <family val="2"/>
      </rPr>
      <t xml:space="preserve">生成のフィッシング・音声</t>
    </r>
    <r>
      <rPr>
        <sz val="9"/>
        <rFont val="Yu Gothic"/>
        <family val="0"/>
        <charset val="1"/>
      </rPr>
      <t xml:space="preserve">/</t>
    </r>
    <r>
      <rPr>
        <sz val="9"/>
        <rFont val="Noto Sans CJK SC"/>
        <family val="2"/>
      </rPr>
      <t xml:space="preserve">映像なりすましを用いた実践的訓練を定期実施し、報告行動を定着させる。</t>
    </r>
  </si>
  <si>
    <r>
      <rPr>
        <sz val="9"/>
        <rFont val="Yu Gothic"/>
        <family val="0"/>
        <charset val="1"/>
      </rPr>
      <t xml:space="preserve">AI</t>
    </r>
    <r>
      <rPr>
        <sz val="9"/>
        <rFont val="Noto Sans CJK SC"/>
        <family val="2"/>
      </rPr>
      <t xml:space="preserve">生成ソーシャルエンジニアリング対応訓練により、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</si>
  <si>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取締役・経営層に対し</t>
    </r>
    <r>
      <rPr>
        <sz val="9"/>
        <rFont val="Yu Gothic"/>
        <family val="0"/>
        <charset val="1"/>
      </rPr>
      <t xml:space="preserve">AI</t>
    </r>
    <r>
      <rPr>
        <sz val="9"/>
        <rFont val="Noto Sans CJK SC"/>
        <family val="2"/>
      </rPr>
      <t xml:space="preserve">サイバーリスクの定期ブリーフィングを行い、投資判断・リスク受容の質を高める。</t>
    </r>
  </si>
  <si>
    <r>
      <rPr>
        <sz val="9"/>
        <rFont val="Yu Gothic"/>
        <family val="0"/>
        <charset val="1"/>
      </rPr>
      <t xml:space="preserve">Five Eyes</t>
    </r>
    <r>
      <rPr>
        <sz val="9"/>
        <rFont val="Noto Sans CJK SC"/>
        <family val="2"/>
      </rPr>
      <t xml:space="preserve">声明</t>
    </r>
    <r>
      <rPr>
        <sz val="9"/>
        <rFont val="Yu Gothic"/>
        <family val="0"/>
        <charset val="1"/>
      </rPr>
      <t xml:space="preserve">, SANS AIMM, AI</t>
    </r>
    <r>
      <rPr>
        <sz val="9"/>
        <rFont val="Noto Sans CJK SC"/>
        <family val="2"/>
      </rPr>
      <t xml:space="preserve">事業者</t>
    </r>
    <r>
      <rPr>
        <sz val="9"/>
        <rFont val="Yu Gothic"/>
        <family val="0"/>
        <charset val="1"/>
      </rPr>
      <t xml:space="preserve">GL</t>
    </r>
  </si>
  <si>
    <r>
      <rPr>
        <sz val="9"/>
        <rFont val="Noto Sans CJK SC"/>
        <family val="2"/>
      </rPr>
      <t xml:space="preserve">経営層向け</t>
    </r>
    <r>
      <rPr>
        <sz val="9"/>
        <rFont val="Yu Gothic"/>
        <family val="0"/>
        <charset val="1"/>
      </rPr>
      <t xml:space="preserve">AI</t>
    </r>
    <r>
      <rPr>
        <sz val="9"/>
        <rFont val="Noto Sans CJK SC"/>
        <family val="2"/>
      </rPr>
      <t xml:space="preserve">サイバーリスクブリーフィングにより、</t>
    </r>
    <r>
      <rPr>
        <sz val="9"/>
        <rFont val="Yu Gothic"/>
        <family val="0"/>
        <charset val="1"/>
      </rPr>
      <t xml:space="preserve">AI</t>
    </r>
    <r>
      <rPr>
        <sz val="9"/>
        <rFont val="Noto Sans CJK SC"/>
        <family val="2"/>
      </rPr>
      <t xml:space="preserve">固有の攻撃・誤動作を未然に防ぐ実装統制が整います。</t>
    </r>
  </si>
  <si>
    <r>
      <rPr>
        <sz val="9"/>
        <rFont val="Noto Sans CJK SC"/>
        <family val="2"/>
      </rPr>
      <t xml:space="preserve">新たな脆弱性情報（</t>
    </r>
    <r>
      <rPr>
        <sz val="9"/>
        <rFont val="Yu Gothic"/>
        <family val="0"/>
        <charset val="1"/>
      </rPr>
      <t xml:space="preserve">NVD/CVE</t>
    </r>
    <r>
      <rPr>
        <sz val="9"/>
        <rFont val="Noto Sans CJK SC"/>
        <family val="2"/>
      </rPr>
      <t xml:space="preserve">）の公開時に</t>
    </r>
    <r>
      <rPr>
        <sz val="9"/>
        <rFont val="Yu Gothic"/>
        <family val="0"/>
        <charset val="1"/>
      </rPr>
      <t xml:space="preserve">SBOM/AI-BOM</t>
    </r>
    <r>
      <rPr>
        <sz val="9"/>
        <rFont val="Noto Sans CJK SC"/>
        <family val="2"/>
      </rPr>
      <t xml:space="preserve">とリアルタイムまたは日次で自動マッチングし、脆弱コンポーネントを即座に特定する。</t>
    </r>
  </si>
  <si>
    <r>
      <rPr>
        <sz val="9"/>
        <rFont val="Noto Sans CJK SC"/>
        <family val="2"/>
      </rPr>
      <t xml:space="preserve">サプライチェーン脆弱性の継続的・動的検知に関するリスクを低減し、</t>
    </r>
    <r>
      <rPr>
        <sz val="9"/>
        <rFont val="Yu Gothic"/>
        <family val="0"/>
        <charset val="1"/>
      </rPr>
      <t xml:space="preserve">AIMF DE</t>
    </r>
    <r>
      <rPr>
        <sz val="9"/>
        <rFont val="Noto Sans CJK SC"/>
        <family val="2"/>
      </rPr>
      <t xml:space="preserve">区分（</t>
    </r>
    <r>
      <rPr>
        <sz val="9"/>
        <rFont val="Yu Gothic"/>
        <family val="0"/>
        <charset val="1"/>
      </rPr>
      <t xml:space="preserve">VUL</t>
    </r>
    <r>
      <rPr>
        <sz val="9"/>
        <rFont val="Noto Sans CJK SC"/>
        <family val="2"/>
      </rPr>
      <t xml:space="preserve">カテゴリ）の要求に対応する。</t>
    </r>
  </si>
  <si>
    <r>
      <rPr>
        <sz val="9"/>
        <rFont val="Yu Gothic"/>
        <family val="0"/>
        <charset val="1"/>
      </rPr>
      <t xml:space="preserve">OWASP AISVS, CSA AICM, NCSC/CISA,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t>
    </r>
  </si>
  <si>
    <r>
      <rPr>
        <sz val="9"/>
        <rFont val="Yu Gothic"/>
        <family val="0"/>
        <charset val="1"/>
      </rPr>
      <t xml:space="preserve">SOC/</t>
    </r>
    <r>
      <rPr>
        <sz val="9"/>
        <rFont val="Noto Sans CJK SC"/>
        <family val="2"/>
      </rPr>
      <t xml:space="preserve">セキュリティ運用</t>
    </r>
  </si>
  <si>
    <t xml:space="preserve">検知ルール定義、監視ダッシュボード、ログ保管記録</t>
  </si>
  <si>
    <r>
      <rPr>
        <sz val="9"/>
        <rFont val="Yu Gothic"/>
        <family val="0"/>
        <charset val="1"/>
      </rPr>
      <t xml:space="preserve">SBOM/AI-BOM</t>
    </r>
    <r>
      <rPr>
        <sz val="9"/>
        <rFont val="Noto Sans CJK SC"/>
        <family val="2"/>
      </rPr>
      <t xml:space="preserve">の継続的脆弱性スキャンにより、</t>
    </r>
    <r>
      <rPr>
        <sz val="9"/>
        <rFont val="Yu Gothic"/>
        <family val="0"/>
        <charset val="1"/>
      </rPr>
      <t xml:space="preserve">AI</t>
    </r>
    <r>
      <rPr>
        <sz val="9"/>
        <rFont val="Noto Sans CJK SC"/>
        <family val="2"/>
      </rPr>
      <t xml:space="preserve">環境の異常を早期に発見し被害を最小化できます。</t>
    </r>
  </si>
  <si>
    <t xml:space="preserve">検知ルール・アラート履歴・ログ</t>
  </si>
  <si>
    <r>
      <rPr>
        <sz val="9"/>
        <rFont val="Noto Sans CJK SC"/>
        <family val="2"/>
      </rPr>
      <t xml:space="preserve">タイポスクワッティング・侵害された</t>
    </r>
    <r>
      <rPr>
        <sz val="9"/>
        <rFont val="Yu Gothic"/>
        <family val="0"/>
        <charset val="1"/>
      </rPr>
      <t xml:space="preserve">AI</t>
    </r>
    <r>
      <rPr>
        <sz val="9"/>
        <rFont val="Noto Sans CJK SC"/>
        <family val="2"/>
      </rPr>
      <t xml:space="preserve">ライブラリ・悪性モデルローダーを、取得時スキャンと挙動監視の両面で検知する。</t>
    </r>
  </si>
  <si>
    <t xml:space="preserve">OWASP AISVS, MITRE ATLAS, CIS v8.1</t>
  </si>
  <si>
    <r>
      <rPr>
        <sz val="9"/>
        <rFont val="Noto Sans CJK SC"/>
        <family val="2"/>
      </rPr>
      <t xml:space="preserve">悪性パッケージ・依存関係侵害の検知により、</t>
    </r>
    <r>
      <rPr>
        <sz val="9"/>
        <rFont val="Yu Gothic"/>
        <family val="0"/>
        <charset val="1"/>
      </rPr>
      <t xml:space="preserve">AI</t>
    </r>
    <r>
      <rPr>
        <sz val="9"/>
        <rFont val="Noto Sans CJK SC"/>
        <family val="2"/>
      </rPr>
      <t xml:space="preserve">環境の異常を早期に発見し被害を最小化できます。</t>
    </r>
  </si>
  <si>
    <t xml:space="preserve">レジストリ内モデルのハッシュ・署名を継続検証し、未承認の差替え・改ざんを即時検知する。</t>
  </si>
  <si>
    <r>
      <rPr>
        <sz val="9"/>
        <rFont val="Noto Sans CJK SC"/>
        <family val="2"/>
      </rPr>
      <t xml:space="preserve">モデルレジストリ・リポジトリの改ざん検知により、</t>
    </r>
    <r>
      <rPr>
        <sz val="9"/>
        <rFont val="Yu Gothic"/>
        <family val="0"/>
        <charset val="1"/>
      </rPr>
      <t xml:space="preserve">AI</t>
    </r>
    <r>
      <rPr>
        <sz val="9"/>
        <rFont val="Noto Sans CJK SC"/>
        <family val="2"/>
      </rPr>
      <t xml:space="preserve">環境の異常を早期に発見し被害を最小化できます。</t>
    </r>
  </si>
  <si>
    <t xml:space="preserve">不自然な質問の繰り返しやシステムプロンプト構造を探るプローブ行為など、意味的異常を検知する。</t>
  </si>
  <si>
    <r>
      <rPr>
        <sz val="9"/>
        <rFont val="Noto Sans CJK SC"/>
        <family val="2"/>
      </rPr>
      <t xml:space="preserve">意味論・入出力監視に関するリスクを低減し、</t>
    </r>
    <r>
      <rPr>
        <sz val="9"/>
        <rFont val="Yu Gothic"/>
        <family val="0"/>
        <charset val="1"/>
      </rPr>
      <t xml:space="preserve">AIMF DE</t>
    </r>
    <r>
      <rPr>
        <sz val="9"/>
        <rFont val="Noto Sans CJK SC"/>
        <family val="2"/>
      </rPr>
      <t xml:space="preserve">区分（</t>
    </r>
    <r>
      <rPr>
        <sz val="9"/>
        <rFont val="Yu Gothic"/>
        <family val="0"/>
        <charset val="1"/>
      </rPr>
      <t xml:space="preserve">IOM</t>
    </r>
    <r>
      <rPr>
        <sz val="9"/>
        <rFont val="Noto Sans CJK SC"/>
        <family val="2"/>
      </rPr>
      <t xml:space="preserve">カテゴリ）の要求に対応する。</t>
    </r>
  </si>
  <si>
    <r>
      <rPr>
        <sz val="9"/>
        <rFont val="Yu Gothic"/>
        <family val="0"/>
        <charset val="1"/>
      </rPr>
      <t xml:space="preserve">OWASP AISVS,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 CSA AICM, NIST AI RMF, NCSC/CISA</t>
    </r>
  </si>
  <si>
    <r>
      <rPr>
        <sz val="9"/>
        <rFont val="Noto Sans CJK SC"/>
        <family val="2"/>
      </rPr>
      <t xml:space="preserve">セマンティック・アノマリー検知により、</t>
    </r>
    <r>
      <rPr>
        <sz val="9"/>
        <rFont val="Yu Gothic"/>
        <family val="0"/>
        <charset val="1"/>
      </rPr>
      <t xml:space="preserve">AI</t>
    </r>
    <r>
      <rPr>
        <sz val="9"/>
        <rFont val="Noto Sans CJK SC"/>
        <family val="2"/>
      </rPr>
      <t xml:space="preserve">環境の異常を早期に発見し被害を最小化できます。</t>
    </r>
  </si>
  <si>
    <r>
      <rPr>
        <sz val="9"/>
        <rFont val="Noto Sans CJK SC"/>
        <family val="2"/>
      </rPr>
      <t xml:space="preserve">誰が・いつ・どのプロンプトを入力し・</t>
    </r>
    <r>
      <rPr>
        <sz val="9"/>
        <rFont val="Yu Gothic"/>
        <family val="0"/>
        <charset val="1"/>
      </rPr>
      <t xml:space="preserve">AI</t>
    </r>
    <r>
      <rPr>
        <sz val="9"/>
        <rFont val="Noto Sans CJK SC"/>
        <family val="2"/>
      </rPr>
      <t xml:space="preserve">がどう応答したかを改ざん不可能な形でフルログ記録する。</t>
    </r>
  </si>
  <si>
    <r>
      <rPr>
        <sz val="9"/>
        <rFont val="Yu Gothic"/>
        <family val="0"/>
        <charset val="1"/>
      </rPr>
      <t xml:space="preserve">OWASP AISVS, EU AI Act, ISO 42001, CSA AICM,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 NCSC/CISA</t>
    </r>
  </si>
  <si>
    <r>
      <rPr>
        <sz val="9"/>
        <rFont val="Yu Gothic"/>
        <family val="0"/>
        <charset val="1"/>
      </rPr>
      <t xml:space="preserve">LLM</t>
    </r>
    <r>
      <rPr>
        <sz val="9"/>
        <rFont val="Noto Sans CJK SC"/>
        <family val="2"/>
      </rPr>
      <t xml:space="preserve">監査ログ（プロンプト・レスポンス）の一元記録により、</t>
    </r>
    <r>
      <rPr>
        <sz val="9"/>
        <rFont val="Yu Gothic"/>
        <family val="0"/>
        <charset val="1"/>
      </rPr>
      <t xml:space="preserve">AI</t>
    </r>
    <r>
      <rPr>
        <sz val="9"/>
        <rFont val="Noto Sans CJK SC"/>
        <family val="2"/>
      </rPr>
      <t xml:space="preserve">環境の異常を早期に発見し被害を最小化できます。</t>
    </r>
  </si>
  <si>
    <r>
      <rPr>
        <sz val="9"/>
        <rFont val="Noto Sans CJK SC"/>
        <family val="2"/>
      </rPr>
      <t xml:space="preserve">回答の信頼度スコアや</t>
    </r>
    <r>
      <rPr>
        <sz val="9"/>
        <rFont val="Yu Gothic"/>
        <family val="0"/>
        <charset val="1"/>
      </rPr>
      <t xml:space="preserve">RAG</t>
    </r>
    <r>
      <rPr>
        <sz val="9"/>
        <rFont val="Noto Sans CJK SC"/>
        <family val="2"/>
      </rPr>
      <t xml:space="preserve">参照ソースとの整合性をスコアリングし、一定基準超の出力を自動検知・ブロックする。</t>
    </r>
  </si>
  <si>
    <r>
      <rPr>
        <sz val="9"/>
        <rFont val="Yu Gothic"/>
        <family val="0"/>
        <charset val="1"/>
      </rPr>
      <t xml:space="preserve">OWASP AISVS, NIST AI RMF, EU AI Act, AI</t>
    </r>
    <r>
      <rPr>
        <sz val="9"/>
        <rFont val="Noto Sans CJK SC"/>
        <family val="2"/>
      </rPr>
      <t xml:space="preserve">事業者</t>
    </r>
    <r>
      <rPr>
        <sz val="9"/>
        <rFont val="Yu Gothic"/>
        <family val="0"/>
        <charset val="1"/>
      </rPr>
      <t xml:space="preserve">GL</t>
    </r>
  </si>
  <si>
    <r>
      <rPr>
        <sz val="9"/>
        <rFont val="Noto Sans CJK SC"/>
        <family val="2"/>
      </rPr>
      <t xml:space="preserve">ハルシネーション・信頼度の動的監視により、</t>
    </r>
    <r>
      <rPr>
        <sz val="9"/>
        <rFont val="Yu Gothic"/>
        <family val="0"/>
        <charset val="1"/>
      </rPr>
      <t xml:space="preserve">AI</t>
    </r>
    <r>
      <rPr>
        <sz val="9"/>
        <rFont val="Noto Sans CJK SC"/>
        <family val="2"/>
      </rPr>
      <t xml:space="preserve">環境の異常を早期に発見し被害を最小化できます。</t>
    </r>
  </si>
  <si>
    <t xml:space="preserve">直接・間接プロンプトインジェクションの検知シグネチャ・分類器を管理し、新手法の公開に追随して更新する。</t>
  </si>
  <si>
    <r>
      <rPr>
        <sz val="9"/>
        <rFont val="Yu Gothic"/>
        <family val="0"/>
        <charset val="1"/>
      </rPr>
      <t xml:space="preserve">MITRE ATLAS,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 OWASP LLM10</t>
    </r>
  </si>
  <si>
    <r>
      <rPr>
        <sz val="9"/>
        <rFont val="Noto Sans CJK SC"/>
        <family val="2"/>
      </rPr>
      <t xml:space="preserve">プロンプトインジェクション検知ルールの管理により、</t>
    </r>
    <r>
      <rPr>
        <sz val="9"/>
        <rFont val="Yu Gothic"/>
        <family val="0"/>
        <charset val="1"/>
      </rPr>
      <t xml:space="preserve">AI</t>
    </r>
    <r>
      <rPr>
        <sz val="9"/>
        <rFont val="Noto Sans CJK SC"/>
        <family val="2"/>
      </rPr>
      <t xml:space="preserve">環境の異常を早期に発見し被害を最小化できます。</t>
    </r>
  </si>
  <si>
    <r>
      <rPr>
        <sz val="9"/>
        <rFont val="Noto Sans CJK SC"/>
        <family val="2"/>
      </rPr>
      <t xml:space="preserve">脱獄・安全策回避の試行をセッション横断でスコアリングし、閾値超過ユーザー・</t>
    </r>
    <r>
      <rPr>
        <sz val="9"/>
        <rFont val="Yu Gothic"/>
        <family val="0"/>
        <charset val="1"/>
      </rPr>
      <t xml:space="preserve">API</t>
    </r>
    <r>
      <rPr>
        <sz val="9"/>
        <rFont val="Noto Sans CJK SC"/>
        <family val="2"/>
      </rPr>
      <t xml:space="preserve">キーを段階的に制限する。</t>
    </r>
  </si>
  <si>
    <r>
      <rPr>
        <sz val="9"/>
        <rFont val="Noto Sans CJK SC"/>
        <family val="2"/>
      </rPr>
      <t xml:space="preserve">脱獄・ポリシー回避試行のスコアリング検知により、</t>
    </r>
    <r>
      <rPr>
        <sz val="9"/>
        <rFont val="Yu Gothic"/>
        <family val="0"/>
        <charset val="1"/>
      </rPr>
      <t xml:space="preserve">AI</t>
    </r>
    <r>
      <rPr>
        <sz val="9"/>
        <rFont val="Noto Sans CJK SC"/>
        <family val="2"/>
      </rPr>
      <t xml:space="preserve">環境の異常を早期に発見し被害を最小化できます。</t>
    </r>
  </si>
  <si>
    <r>
      <rPr>
        <sz val="9"/>
        <rFont val="Noto Sans CJK SC"/>
        <family val="2"/>
      </rPr>
      <t xml:space="preserve">出力ストリームを</t>
    </r>
    <r>
      <rPr>
        <sz val="9"/>
        <rFont val="Yu Gothic"/>
        <family val="0"/>
        <charset val="1"/>
      </rPr>
      <t xml:space="preserve">PII</t>
    </r>
    <r>
      <rPr>
        <sz val="9"/>
        <rFont val="Noto Sans CJK SC"/>
        <family val="2"/>
      </rPr>
      <t xml:space="preserve">・秘密情報・認証情報の観点で走査し、機微情報漏えい（</t>
    </r>
    <r>
      <rPr>
        <sz val="9"/>
        <rFont val="Yu Gothic"/>
        <family val="0"/>
        <charset val="1"/>
      </rPr>
      <t xml:space="preserve">Sensitive Information Disclosure</t>
    </r>
    <r>
      <rPr>
        <sz val="9"/>
        <rFont val="Noto Sans CJK SC"/>
        <family val="2"/>
      </rPr>
      <t xml:space="preserve">）を遮断・記録する。</t>
    </r>
  </si>
  <si>
    <r>
      <rPr>
        <sz val="9"/>
        <rFont val="Noto Sans CJK SC"/>
        <family val="2"/>
      </rPr>
      <t xml:space="preserve">出力への</t>
    </r>
    <r>
      <rPr>
        <sz val="9"/>
        <rFont val="Yu Gothic"/>
        <family val="0"/>
        <charset val="1"/>
      </rPr>
      <t xml:space="preserve">PII</t>
    </r>
    <r>
      <rPr>
        <sz val="9"/>
        <rFont val="Noto Sans CJK SC"/>
        <family val="2"/>
      </rPr>
      <t xml:space="preserve">・機微情報混入検知により、</t>
    </r>
    <r>
      <rPr>
        <sz val="9"/>
        <rFont val="Yu Gothic"/>
        <family val="0"/>
        <charset val="1"/>
      </rPr>
      <t xml:space="preserve">AI</t>
    </r>
    <r>
      <rPr>
        <sz val="9"/>
        <rFont val="Noto Sans CJK SC"/>
        <family val="2"/>
      </rPr>
      <t xml:space="preserve">環境の異常を早期に発見し被害を最小化できます。</t>
    </r>
  </si>
  <si>
    <t xml:space="preserve">システムプロンプトの窃取を狙うプローブと、出力へのプロンプト断片の混入を検知し、漏えい時は当該プロンプトを失効・更新する。</t>
  </si>
  <si>
    <r>
      <rPr>
        <sz val="9"/>
        <rFont val="Noto Sans CJK SC"/>
        <family val="2"/>
      </rPr>
      <t xml:space="preserve">システムプロンプト漏えい・プローブの検知により、</t>
    </r>
    <r>
      <rPr>
        <sz val="9"/>
        <rFont val="Yu Gothic"/>
        <family val="0"/>
        <charset val="1"/>
      </rPr>
      <t xml:space="preserve">AI</t>
    </r>
    <r>
      <rPr>
        <sz val="9"/>
        <rFont val="Noto Sans CJK SC"/>
        <family val="2"/>
      </rPr>
      <t xml:space="preserve">環境の異常を早期に発見し被害を最小化できます。</t>
    </r>
  </si>
  <si>
    <r>
      <rPr>
        <sz val="9"/>
        <rFont val="Noto Sans CJK SC"/>
        <family val="2"/>
      </rPr>
      <t xml:space="preserve">利用者・</t>
    </r>
    <r>
      <rPr>
        <sz val="9"/>
        <rFont val="Yu Gothic"/>
        <family val="0"/>
        <charset val="1"/>
      </rPr>
      <t xml:space="preserve">API</t>
    </r>
    <r>
      <rPr>
        <sz val="9"/>
        <rFont val="Noto Sans CJK SC"/>
        <family val="2"/>
      </rPr>
      <t xml:space="preserve">キー単位の利用パターンをベースライン化し、データ収集型の悪用・内部不正の兆候を検知する。</t>
    </r>
  </si>
  <si>
    <r>
      <rPr>
        <sz val="9"/>
        <rFont val="Noto Sans CJK SC"/>
        <family val="2"/>
      </rPr>
      <t xml:space="preserve">利用者行動分析（</t>
    </r>
    <r>
      <rPr>
        <sz val="9"/>
        <rFont val="Yu Gothic"/>
        <family val="0"/>
        <charset val="1"/>
      </rPr>
      <t xml:space="preserve">UEBA</t>
    </r>
    <r>
      <rPr>
        <sz val="9"/>
        <rFont val="Noto Sans CJK SC"/>
        <family val="2"/>
      </rPr>
      <t xml:space="preserve">）による</t>
    </r>
    <r>
      <rPr>
        <sz val="9"/>
        <rFont val="Yu Gothic"/>
        <family val="0"/>
        <charset val="1"/>
      </rPr>
      <t xml:space="preserve">AI</t>
    </r>
    <r>
      <rPr>
        <sz val="9"/>
        <rFont val="Noto Sans CJK SC"/>
        <family val="2"/>
      </rPr>
      <t xml:space="preserve">悪用検知により、</t>
    </r>
    <r>
      <rPr>
        <sz val="9"/>
        <rFont val="Yu Gothic"/>
        <family val="0"/>
        <charset val="1"/>
      </rPr>
      <t xml:space="preserve">AI</t>
    </r>
    <r>
      <rPr>
        <sz val="9"/>
        <rFont val="Noto Sans CJK SC"/>
        <family val="2"/>
      </rPr>
      <t xml:space="preserve">環境の異常を早期に発見し被害を最小化できます。</t>
    </r>
  </si>
  <si>
    <t xml:space="preserve">エージェントの推論・ツール選択・実行のサイクルをリアルタイム監視し、異常な意思決定ルートを検知する。</t>
  </si>
  <si>
    <r>
      <rPr>
        <sz val="9"/>
        <rFont val="Noto Sans CJK SC"/>
        <family val="2"/>
      </rPr>
      <t xml:space="preserve">エージェント挙動・ツール実行の動的監視に関するリスクを低減し、</t>
    </r>
    <r>
      <rPr>
        <sz val="9"/>
        <rFont val="Yu Gothic"/>
        <family val="0"/>
        <charset val="1"/>
      </rPr>
      <t xml:space="preserve">AIMF DE</t>
    </r>
    <r>
      <rPr>
        <sz val="9"/>
        <rFont val="Noto Sans CJK SC"/>
        <family val="2"/>
      </rPr>
      <t xml:space="preserve">区分（</t>
    </r>
    <r>
      <rPr>
        <sz val="9"/>
        <rFont val="Yu Gothic"/>
        <family val="0"/>
        <charset val="1"/>
      </rPr>
      <t xml:space="preserve">AGT</t>
    </r>
    <r>
      <rPr>
        <sz val="9"/>
        <rFont val="Noto Sans CJK SC"/>
        <family val="2"/>
      </rPr>
      <t xml:space="preserve">カテゴリ）の要求に対応する。</t>
    </r>
  </si>
  <si>
    <t xml:space="preserve">OWASP AISVS, NIST AI RMF, NCSC/CISA</t>
  </si>
  <si>
    <r>
      <rPr>
        <sz val="9"/>
        <rFont val="Noto Sans CJK SC"/>
        <family val="2"/>
      </rPr>
      <t xml:space="preserve">エージェント状態遷移・思考プロセスの可視化監視により、</t>
    </r>
    <r>
      <rPr>
        <sz val="9"/>
        <rFont val="Yu Gothic"/>
        <family val="0"/>
        <charset val="1"/>
      </rPr>
      <t xml:space="preserve">AI</t>
    </r>
    <r>
      <rPr>
        <sz val="9"/>
        <rFont val="Noto Sans CJK SC"/>
        <family val="2"/>
      </rPr>
      <t xml:space="preserve">環境の異常を早期に発見し被害を最小化できます。</t>
    </r>
  </si>
  <si>
    <t xml:space="preserve">エージェント同士の内部メッセージ通信を監視し、乗っ取られたエージェントによる不正命令の伝播をスキャンする。</t>
  </si>
  <si>
    <r>
      <rPr>
        <sz val="9"/>
        <rFont val="Noto Sans CJK SC"/>
        <family val="2"/>
      </rPr>
      <t xml:space="preserve">エージェント間通信の相互セキュリティスキャンにより、</t>
    </r>
    <r>
      <rPr>
        <sz val="9"/>
        <rFont val="Yu Gothic"/>
        <family val="0"/>
        <charset val="1"/>
      </rPr>
      <t xml:space="preserve">AI</t>
    </r>
    <r>
      <rPr>
        <sz val="9"/>
        <rFont val="Noto Sans CJK SC"/>
        <family val="2"/>
      </rPr>
      <t xml:space="preserve">環境の異常を早期に発見し被害を最小化できます。</t>
    </r>
  </si>
  <si>
    <t xml:space="preserve">ツール呼出の頻度・順序・パラメータをベースライン化し、パラメータ汚染・想定外のツール連鎖・大量実行を検知する。</t>
  </si>
  <si>
    <r>
      <rPr>
        <sz val="9"/>
        <rFont val="Noto Sans CJK SC"/>
        <family val="2"/>
      </rPr>
      <t xml:space="preserve">ツール呼出の異常検知により、</t>
    </r>
    <r>
      <rPr>
        <sz val="9"/>
        <rFont val="Yu Gothic"/>
        <family val="0"/>
        <charset val="1"/>
      </rPr>
      <t xml:space="preserve">AI</t>
    </r>
    <r>
      <rPr>
        <sz val="9"/>
        <rFont val="Noto Sans CJK SC"/>
        <family val="2"/>
      </rPr>
      <t xml:space="preserve">環境の異常を早期に発見し被害を最小化できます。</t>
    </r>
  </si>
  <si>
    <t xml:space="preserve">エージェントの行動系列を承認済み目標・計画と突合し、目標改変・逸脱の兆候をリアルタイムに検知する。</t>
  </si>
  <si>
    <r>
      <rPr>
        <sz val="9"/>
        <rFont val="Noto Sans CJK SC"/>
        <family val="2"/>
      </rPr>
      <t xml:space="preserve">目標逸脱（ゴールドリフト）の検知により、</t>
    </r>
    <r>
      <rPr>
        <sz val="9"/>
        <rFont val="Yu Gothic"/>
        <family val="0"/>
        <charset val="1"/>
      </rPr>
      <t xml:space="preserve">AI</t>
    </r>
    <r>
      <rPr>
        <sz val="9"/>
        <rFont val="Noto Sans CJK SC"/>
        <family val="2"/>
      </rPr>
      <t xml:space="preserve">環境の異常を早期に発見し被害を最小化できます。</t>
    </r>
  </si>
  <si>
    <t xml:space="preserve">無限ループ・再帰的自己呼出・障害の連鎖伝播をリソース消費と呼出グラフから予兆検知し、自動ブレーキと連動させる。</t>
  </si>
  <si>
    <r>
      <rPr>
        <sz val="9"/>
        <rFont val="Yu Gothic"/>
        <family val="0"/>
        <charset val="1"/>
      </rPr>
      <t xml:space="preserve">OWASP ASI10,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t>
    </r>
  </si>
  <si>
    <r>
      <rPr>
        <sz val="9"/>
        <rFont val="Noto Sans CJK SC"/>
        <family val="2"/>
      </rPr>
      <t xml:space="preserve">暴走・連鎖障害の予兆検知により、</t>
    </r>
    <r>
      <rPr>
        <sz val="9"/>
        <rFont val="Yu Gothic"/>
        <family val="0"/>
        <charset val="1"/>
      </rPr>
      <t xml:space="preserve">AI</t>
    </r>
    <r>
      <rPr>
        <sz val="9"/>
        <rFont val="Noto Sans CJK SC"/>
        <family val="2"/>
      </rPr>
      <t xml:space="preserve">環境の異常を早期に発見し被害を最小化できます。</t>
    </r>
  </si>
  <si>
    <t xml:space="preserve">長期記憶・セッションコンテキストへの書込みを検証・監査し、記憶経由の汚染・操作を検知して検疫する。</t>
  </si>
  <si>
    <r>
      <rPr>
        <sz val="9"/>
        <rFont val="Noto Sans CJK SC"/>
        <family val="2"/>
      </rPr>
      <t xml:space="preserve">エージェントメモリ・コンテキスト改ざんの検知により、</t>
    </r>
    <r>
      <rPr>
        <sz val="9"/>
        <rFont val="Yu Gothic"/>
        <family val="0"/>
        <charset val="1"/>
      </rPr>
      <t xml:space="preserve">AI</t>
    </r>
    <r>
      <rPr>
        <sz val="9"/>
        <rFont val="Noto Sans CJK SC"/>
        <family val="2"/>
      </rPr>
      <t xml:space="preserve">環境の異常を早期に発見し被害を最小化できます。</t>
    </r>
  </si>
  <si>
    <t xml:space="preserve">エージェントごとの正常挙動ベースラインからの持続的逸脱・ミスアライン挙動を検知し、隔離判断につなげる。</t>
  </si>
  <si>
    <r>
      <rPr>
        <sz val="9"/>
        <rFont val="Noto Sans CJK SC"/>
        <family val="2"/>
      </rPr>
      <t xml:space="preserve">ローグエージェント（逸脱挙動）の検知により、</t>
    </r>
    <r>
      <rPr>
        <sz val="9"/>
        <rFont val="Yu Gothic"/>
        <family val="0"/>
        <charset val="1"/>
      </rPr>
      <t xml:space="preserve">AI</t>
    </r>
    <r>
      <rPr>
        <sz val="9"/>
        <rFont val="Noto Sans CJK SC"/>
        <family val="2"/>
      </rPr>
      <t xml:space="preserve">環境の異常を早期に発見し被害を最小化できます。</t>
    </r>
  </si>
  <si>
    <r>
      <rPr>
        <sz val="9"/>
        <rFont val="Yu Gothic"/>
        <family val="0"/>
        <charset val="1"/>
      </rPr>
      <t xml:space="preserve">LLM-DoS</t>
    </r>
    <r>
      <rPr>
        <sz val="9"/>
        <rFont val="Noto Sans CJK SC"/>
        <family val="2"/>
      </rPr>
      <t xml:space="preserve">やエージェント無限ループを検知するため</t>
    </r>
    <r>
      <rPr>
        <sz val="9"/>
        <rFont val="Yu Gothic"/>
        <family val="0"/>
        <charset val="1"/>
      </rPr>
      <t xml:space="preserve">GPU</t>
    </r>
    <r>
      <rPr>
        <sz val="9"/>
        <rFont val="Noto Sans CJK SC"/>
        <family val="2"/>
      </rPr>
      <t xml:space="preserve">・メモリ・トークン消費を常時監視し、コンテナ改ざん・</t>
    </r>
    <r>
      <rPr>
        <sz val="9"/>
        <rFont val="Yu Gothic"/>
        <family val="0"/>
        <charset val="1"/>
      </rPr>
      <t xml:space="preserve">K8s</t>
    </r>
    <r>
      <rPr>
        <sz val="9"/>
        <rFont val="Noto Sans CJK SC"/>
        <family val="2"/>
      </rPr>
      <t xml:space="preserve">不審設定変更を</t>
    </r>
    <r>
      <rPr>
        <sz val="9"/>
        <rFont val="Yu Gothic"/>
        <family val="0"/>
        <charset val="1"/>
      </rPr>
      <t xml:space="preserve">Runtime Security</t>
    </r>
    <r>
      <rPr>
        <sz val="9"/>
        <rFont val="Noto Sans CJK SC"/>
        <family val="2"/>
      </rPr>
      <t xml:space="preserve">で監視する。</t>
    </r>
  </si>
  <si>
    <r>
      <rPr>
        <sz val="9"/>
        <rFont val="Noto Sans CJK SC"/>
        <family val="2"/>
      </rPr>
      <t xml:space="preserve">インフラ・データ・モデルの健全性監視に関するリスクを低減し、</t>
    </r>
    <r>
      <rPr>
        <sz val="9"/>
        <rFont val="Yu Gothic"/>
        <family val="0"/>
        <charset val="1"/>
      </rPr>
      <t xml:space="preserve">AIMF DE</t>
    </r>
    <r>
      <rPr>
        <sz val="9"/>
        <rFont val="Noto Sans CJK SC"/>
        <family val="2"/>
      </rPr>
      <t xml:space="preserve">区分（</t>
    </r>
    <r>
      <rPr>
        <sz val="9"/>
        <rFont val="Yu Gothic"/>
        <family val="0"/>
        <charset val="1"/>
      </rPr>
      <t xml:space="preserve">HLT</t>
    </r>
    <r>
      <rPr>
        <sz val="9"/>
        <rFont val="Noto Sans CJK SC"/>
        <family val="2"/>
      </rPr>
      <t xml:space="preserve">カテゴリ）の要求に対応する。</t>
    </r>
  </si>
  <si>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 OWASP AISVS, CSA AICM, EU AI Act, NCSC/CISA</t>
    </r>
  </si>
  <si>
    <r>
      <rPr>
        <sz val="9"/>
        <rFont val="Yu Gothic"/>
        <family val="0"/>
        <charset val="1"/>
      </rPr>
      <t xml:space="preserve">AI</t>
    </r>
    <r>
      <rPr>
        <sz val="9"/>
        <rFont val="Noto Sans CJK SC"/>
        <family val="2"/>
      </rPr>
      <t xml:space="preserve">インフラ構成監査とリソース監視（</t>
    </r>
    <r>
      <rPr>
        <sz val="9"/>
        <rFont val="Yu Gothic"/>
        <family val="0"/>
        <charset val="1"/>
      </rPr>
      <t xml:space="preserve">DoS</t>
    </r>
    <r>
      <rPr>
        <sz val="9"/>
        <rFont val="Noto Sans CJK SC"/>
        <family val="2"/>
      </rPr>
      <t xml:space="preserve">検知）により、</t>
    </r>
    <r>
      <rPr>
        <sz val="9"/>
        <rFont val="Yu Gothic"/>
        <family val="0"/>
        <charset val="1"/>
      </rPr>
      <t xml:space="preserve">AI</t>
    </r>
    <r>
      <rPr>
        <sz val="9"/>
        <rFont val="Noto Sans CJK SC"/>
        <family val="2"/>
      </rPr>
      <t xml:space="preserve">環境の異常を早期に発見し被害を最小化できます。</t>
    </r>
  </si>
  <si>
    <r>
      <rPr>
        <sz val="9"/>
        <rFont val="Yu Gothic"/>
        <family val="0"/>
        <charset val="1"/>
      </rPr>
      <t xml:space="preserve">RAG</t>
    </r>
    <r>
      <rPr>
        <sz val="9"/>
        <rFont val="Noto Sans CJK SC"/>
        <family val="2"/>
      </rPr>
      <t xml:space="preserve">データストアの不正プロンプト・</t>
    </r>
    <r>
      <rPr>
        <sz val="9"/>
        <rFont val="Yu Gothic"/>
        <family val="0"/>
        <charset val="1"/>
      </rPr>
      <t xml:space="preserve">PII</t>
    </r>
    <r>
      <rPr>
        <sz val="9"/>
        <rFont val="Noto Sans CJK SC"/>
        <family val="2"/>
      </rPr>
      <t xml:space="preserve">を検知し、プロンプト傾向やデータ性質の経時変化（ドリフト）を監視して防御フィルターの機能不全を防ぐ。</t>
    </r>
  </si>
  <si>
    <r>
      <rPr>
        <sz val="9"/>
        <rFont val="Yu Gothic"/>
        <family val="0"/>
        <charset val="1"/>
      </rPr>
      <t xml:space="preserve">OWASP AISVS,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 NIST AI RMF, NCSC/CISA, CSA AICM</t>
    </r>
  </si>
  <si>
    <r>
      <rPr>
        <sz val="9"/>
        <rFont val="Noto Sans CJK SC"/>
        <family val="2"/>
      </rPr>
      <t xml:space="preserve">データポイズニング・ドリフトの監視により、</t>
    </r>
    <r>
      <rPr>
        <sz val="9"/>
        <rFont val="Yu Gothic"/>
        <family val="0"/>
        <charset val="1"/>
      </rPr>
      <t xml:space="preserve">AI</t>
    </r>
    <r>
      <rPr>
        <sz val="9"/>
        <rFont val="Noto Sans CJK SC"/>
        <family val="2"/>
      </rPr>
      <t xml:space="preserve">環境の異常を早期に発見し被害を最小化できます。</t>
    </r>
  </si>
  <si>
    <t xml:space="preserve">本番モデルの精度・品質指標を継続測定し、劣化の検知を市販後モニタリング計画・再学習判断に連動させる。</t>
  </si>
  <si>
    <t xml:space="preserve">NIST AI RMF, EU AI Act, ISO 42001</t>
  </si>
  <si>
    <r>
      <rPr>
        <sz val="9"/>
        <rFont val="Noto Sans CJK SC"/>
        <family val="2"/>
      </rPr>
      <t xml:space="preserve">モデル性能・品質劣化の継続監視により、</t>
    </r>
    <r>
      <rPr>
        <sz val="9"/>
        <rFont val="Yu Gothic"/>
        <family val="0"/>
        <charset val="1"/>
      </rPr>
      <t xml:space="preserve">AI</t>
    </r>
    <r>
      <rPr>
        <sz val="9"/>
        <rFont val="Noto Sans CJK SC"/>
        <family val="2"/>
      </rPr>
      <t xml:space="preserve">環境の異常を早期に発見し被害を最小化できます。</t>
    </r>
  </si>
  <si>
    <r>
      <rPr>
        <sz val="9"/>
        <rFont val="Noto Sans CJK SC"/>
        <family val="2"/>
      </rPr>
      <t xml:space="preserve">埋め込み分布の急変・異常クラスタ・不審な近傍構造を監視し、ベクトル</t>
    </r>
    <r>
      <rPr>
        <sz val="9"/>
        <rFont val="Yu Gothic"/>
        <family val="0"/>
        <charset val="1"/>
      </rPr>
      <t xml:space="preserve">DB</t>
    </r>
    <r>
      <rPr>
        <sz val="9"/>
        <rFont val="Noto Sans CJK SC"/>
        <family val="2"/>
      </rPr>
      <t xml:space="preserve">汚染・埋め込み反転の兆候を検知する。</t>
    </r>
  </si>
  <si>
    <r>
      <rPr>
        <sz val="9"/>
        <rFont val="Noto Sans CJK SC"/>
        <family val="2"/>
      </rPr>
      <t xml:space="preserve">埋め込み空間・ベクトル</t>
    </r>
    <r>
      <rPr>
        <sz val="9"/>
        <rFont val="Yu Gothic"/>
        <family val="0"/>
        <charset val="1"/>
      </rPr>
      <t xml:space="preserve">DB</t>
    </r>
    <r>
      <rPr>
        <sz val="9"/>
        <rFont val="Noto Sans CJK SC"/>
        <family val="2"/>
      </rPr>
      <t xml:space="preserve">の異常検知により、</t>
    </r>
    <r>
      <rPr>
        <sz val="9"/>
        <rFont val="Yu Gothic"/>
        <family val="0"/>
        <charset val="1"/>
      </rPr>
      <t xml:space="preserve">AI</t>
    </r>
    <r>
      <rPr>
        <sz val="9"/>
        <rFont val="Noto Sans CJK SC"/>
        <family val="2"/>
      </rPr>
      <t xml:space="preserve">環境の異常を早期に発見し被害を最小化できます。</t>
    </r>
  </si>
  <si>
    <r>
      <rPr>
        <sz val="9"/>
        <rFont val="Yu Gothic"/>
        <family val="0"/>
        <charset val="1"/>
      </rPr>
      <t xml:space="preserve">GPU</t>
    </r>
    <r>
      <rPr>
        <sz val="9"/>
        <rFont val="Noto Sans CJK SC"/>
        <family val="2"/>
      </rPr>
      <t xml:space="preserve">使用率・ジョブ内容を監視し、クリプトマイニング・未承認の学習ジョブ等の不正利用を検知する。</t>
    </r>
  </si>
  <si>
    <r>
      <rPr>
        <sz val="9"/>
        <rFont val="Yu Gothic"/>
        <family val="0"/>
        <charset val="1"/>
      </rPr>
      <t xml:space="preserve">GPU</t>
    </r>
    <r>
      <rPr>
        <sz val="9"/>
        <rFont val="Noto Sans CJK SC"/>
        <family val="2"/>
      </rPr>
      <t xml:space="preserve">リソースの不正利用検知により、</t>
    </r>
    <r>
      <rPr>
        <sz val="9"/>
        <rFont val="Yu Gothic"/>
        <family val="0"/>
        <charset val="1"/>
      </rPr>
      <t xml:space="preserve">AI</t>
    </r>
    <r>
      <rPr>
        <sz val="9"/>
        <rFont val="Noto Sans CJK SC"/>
        <family val="2"/>
      </rPr>
      <t xml:space="preserve">環境の異常を早期に発見し被害を最小化できます。</t>
    </r>
  </si>
  <si>
    <r>
      <rPr>
        <sz val="9"/>
        <rFont val="Noto Sans CJK SC"/>
        <family val="2"/>
      </rPr>
      <t xml:space="preserve">テナント・ユースケース単位のコスト</t>
    </r>
    <r>
      <rPr>
        <sz val="9"/>
        <rFont val="Yu Gothic"/>
        <family val="0"/>
        <charset val="1"/>
      </rPr>
      <t xml:space="preserve">/</t>
    </r>
    <r>
      <rPr>
        <sz val="9"/>
        <rFont val="Noto Sans CJK SC"/>
        <family val="2"/>
      </rPr>
      <t xml:space="preserve">トークン消費を監視し、経済的</t>
    </r>
    <r>
      <rPr>
        <sz val="9"/>
        <rFont val="Yu Gothic"/>
        <family val="0"/>
        <charset val="1"/>
      </rPr>
      <t xml:space="preserve">DoS</t>
    </r>
    <r>
      <rPr>
        <sz val="9"/>
        <rFont val="Noto Sans CJK SC"/>
        <family val="2"/>
      </rPr>
      <t xml:space="preserve">・暴走・悪用による異常増加を早期検知する。</t>
    </r>
  </si>
  <si>
    <r>
      <rPr>
        <sz val="9"/>
        <rFont val="Yu Gothic"/>
        <family val="0"/>
        <charset val="1"/>
      </rPr>
      <t xml:space="preserve">AI</t>
    </r>
    <r>
      <rPr>
        <sz val="9"/>
        <rFont val="Noto Sans CJK SC"/>
        <family val="2"/>
      </rPr>
      <t xml:space="preserve">利用コスト・トークン消費の異常監視により、</t>
    </r>
    <r>
      <rPr>
        <sz val="9"/>
        <rFont val="Yu Gothic"/>
        <family val="0"/>
        <charset val="1"/>
      </rPr>
      <t xml:space="preserve">AI</t>
    </r>
    <r>
      <rPr>
        <sz val="9"/>
        <rFont val="Noto Sans CJK SC"/>
        <family val="2"/>
      </rPr>
      <t xml:space="preserve">環境の異常を早期に発見し被害を最小化できます。</t>
    </r>
  </si>
  <si>
    <r>
      <rPr>
        <sz val="9"/>
        <rFont val="Noto Sans CJK SC"/>
        <family val="2"/>
      </rPr>
      <t xml:space="preserve">モデル・ガードレール・エージェント・インフラのテレメトリを</t>
    </r>
    <r>
      <rPr>
        <sz val="9"/>
        <rFont val="Yu Gothic"/>
        <family val="0"/>
        <charset val="1"/>
      </rPr>
      <t xml:space="preserve">SIEM</t>
    </r>
    <r>
      <rPr>
        <sz val="9"/>
        <rFont val="Noto Sans CJK SC"/>
        <family val="2"/>
      </rPr>
      <t xml:space="preserve">へ統合し、既存セキュリティイベントと相関分析する。</t>
    </r>
  </si>
  <si>
    <r>
      <rPr>
        <sz val="9"/>
        <rFont val="Yu Gothic"/>
        <family val="0"/>
        <charset val="1"/>
      </rPr>
      <t xml:space="preserve">SOC</t>
    </r>
    <r>
      <rPr>
        <sz val="9"/>
        <rFont val="Noto Sans CJK SC"/>
        <family val="2"/>
      </rPr>
      <t xml:space="preserve">統合・検知運用に関するリスクを低減し、</t>
    </r>
    <r>
      <rPr>
        <sz val="9"/>
        <rFont val="Yu Gothic"/>
        <family val="0"/>
        <charset val="1"/>
      </rPr>
      <t xml:space="preserve">AIMF DE</t>
    </r>
    <r>
      <rPr>
        <sz val="9"/>
        <rFont val="Noto Sans CJK SC"/>
        <family val="2"/>
      </rPr>
      <t xml:space="preserve">区分（</t>
    </r>
    <r>
      <rPr>
        <sz val="9"/>
        <rFont val="Yu Gothic"/>
        <family val="0"/>
        <charset val="1"/>
      </rPr>
      <t xml:space="preserve">SOC</t>
    </r>
    <r>
      <rPr>
        <sz val="9"/>
        <rFont val="Noto Sans CJK SC"/>
        <family val="2"/>
      </rPr>
      <t xml:space="preserve">カテゴリ）の要求に対応する。</t>
    </r>
  </si>
  <si>
    <r>
      <rPr>
        <sz val="9"/>
        <rFont val="Yu Gothic"/>
        <family val="0"/>
        <charset val="1"/>
      </rPr>
      <t xml:space="preserve">AI</t>
    </r>
    <r>
      <rPr>
        <sz val="9"/>
        <rFont val="Noto Sans CJK SC"/>
        <family val="2"/>
      </rPr>
      <t xml:space="preserve">テレメトリの</t>
    </r>
    <r>
      <rPr>
        <sz val="9"/>
        <rFont val="Yu Gothic"/>
        <family val="0"/>
        <charset val="1"/>
      </rPr>
      <t xml:space="preserve">SIEM</t>
    </r>
    <r>
      <rPr>
        <sz val="9"/>
        <rFont val="Noto Sans CJK SC"/>
        <family val="2"/>
      </rPr>
      <t xml:space="preserve">統合と相関分析により、</t>
    </r>
    <r>
      <rPr>
        <sz val="9"/>
        <rFont val="Yu Gothic"/>
        <family val="0"/>
        <charset val="1"/>
      </rPr>
      <t xml:space="preserve">AI</t>
    </r>
    <r>
      <rPr>
        <sz val="9"/>
        <rFont val="Noto Sans CJK SC"/>
        <family val="2"/>
      </rPr>
      <t xml:space="preserve">環境の異常を早期に発見し被害を最小化できます。</t>
    </r>
  </si>
  <si>
    <r>
      <rPr>
        <sz val="9"/>
        <rFont val="Noto Sans CJK SC"/>
        <family val="2"/>
      </rPr>
      <t xml:space="preserve">検知ルールを</t>
    </r>
    <r>
      <rPr>
        <sz val="9"/>
        <rFont val="Yu Gothic"/>
        <family val="0"/>
        <charset val="1"/>
      </rPr>
      <t xml:space="preserve">ATLAS</t>
    </r>
    <r>
      <rPr>
        <sz val="9"/>
        <rFont val="Noto Sans CJK SC"/>
        <family val="2"/>
      </rPr>
      <t xml:space="preserve">の技術（テクニック）にマッピングし、カバレッジの穴を可視化して優先的に解消する。</t>
    </r>
  </si>
  <si>
    <t xml:space="preserve">MITRE ATLAS, CIS v8.1</t>
  </si>
  <si>
    <r>
      <rPr>
        <sz val="9"/>
        <rFont val="Yu Gothic"/>
        <family val="0"/>
        <charset val="1"/>
      </rPr>
      <t xml:space="preserve">ATLAS</t>
    </r>
    <r>
      <rPr>
        <sz val="9"/>
        <rFont val="Noto Sans CJK SC"/>
        <family val="2"/>
      </rPr>
      <t xml:space="preserve">対応の検知ルールカバレッジ管理により、</t>
    </r>
    <r>
      <rPr>
        <sz val="9"/>
        <rFont val="Yu Gothic"/>
        <family val="0"/>
        <charset val="1"/>
      </rPr>
      <t xml:space="preserve">AI</t>
    </r>
    <r>
      <rPr>
        <sz val="9"/>
        <rFont val="Noto Sans CJK SC"/>
        <family val="2"/>
      </rPr>
      <t xml:space="preserve">環境の異常を早期に発見し被害を最小化できます。</t>
    </r>
  </si>
  <si>
    <r>
      <rPr>
        <sz val="9"/>
        <rFont val="Yu Gothic"/>
        <family val="0"/>
        <charset val="1"/>
      </rPr>
      <t xml:space="preserve">AI</t>
    </r>
    <r>
      <rPr>
        <sz val="9"/>
        <rFont val="Noto Sans CJK SC"/>
        <family val="2"/>
      </rPr>
      <t xml:space="preserve">固有アラート（インジェクション検知・逸脱検知等）の重大度判定・初動基準を定義し、</t>
    </r>
    <r>
      <rPr>
        <sz val="9"/>
        <rFont val="Yu Gothic"/>
        <family val="0"/>
        <charset val="1"/>
      </rPr>
      <t xml:space="preserve">SOC</t>
    </r>
    <r>
      <rPr>
        <sz val="9"/>
        <rFont val="Noto Sans CJK SC"/>
        <family val="2"/>
      </rPr>
      <t xml:space="preserve">運用手順へ統合する。</t>
    </r>
  </si>
  <si>
    <t xml:space="preserve">CIS v8.1, NIST AI RMF</t>
  </si>
  <si>
    <r>
      <rPr>
        <sz val="9"/>
        <rFont val="Yu Gothic"/>
        <family val="0"/>
        <charset val="1"/>
      </rPr>
      <t xml:space="preserve">AI</t>
    </r>
    <r>
      <rPr>
        <sz val="9"/>
        <rFont val="Noto Sans CJK SC"/>
        <family val="2"/>
      </rPr>
      <t xml:space="preserve">アラートのトリアージ基準により、</t>
    </r>
    <r>
      <rPr>
        <sz val="9"/>
        <rFont val="Yu Gothic"/>
        <family val="0"/>
        <charset val="1"/>
      </rPr>
      <t xml:space="preserve">AI</t>
    </r>
    <r>
      <rPr>
        <sz val="9"/>
        <rFont val="Noto Sans CJK SC"/>
        <family val="2"/>
      </rPr>
      <t xml:space="preserve">環境の異常を早期に発見し被害を最小化できます。</t>
    </r>
  </si>
  <si>
    <r>
      <rPr>
        <sz val="9"/>
        <rFont val="Yu Gothic"/>
        <family val="0"/>
        <charset val="1"/>
      </rPr>
      <t xml:space="preserve">ATLAS</t>
    </r>
    <r>
      <rPr>
        <sz val="9"/>
        <rFont val="Noto Sans CJK SC"/>
        <family val="2"/>
      </rPr>
      <t xml:space="preserve">の</t>
    </r>
    <r>
      <rPr>
        <sz val="9"/>
        <rFont val="Yu Gothic"/>
        <family val="0"/>
        <charset val="1"/>
      </rPr>
      <t xml:space="preserve">TTP</t>
    </r>
    <r>
      <rPr>
        <sz val="9"/>
        <rFont val="Noto Sans CJK SC"/>
        <family val="2"/>
      </rPr>
      <t xml:space="preserve">と自組織の脅威シナリオに基づき、</t>
    </r>
    <r>
      <rPr>
        <sz val="9"/>
        <rFont val="Yu Gothic"/>
        <family val="0"/>
        <charset val="1"/>
      </rPr>
      <t xml:space="preserve">AI</t>
    </r>
    <r>
      <rPr>
        <sz val="9"/>
        <rFont val="Noto Sans CJK SC"/>
        <family val="2"/>
      </rPr>
      <t xml:space="preserve">環境を対象とした仮説駆動の脅威ハンティングを定期実施する。</t>
    </r>
  </si>
  <si>
    <r>
      <rPr>
        <sz val="9"/>
        <rFont val="Yu Gothic"/>
        <family val="0"/>
        <charset val="1"/>
      </rPr>
      <t xml:space="preserve">AI</t>
    </r>
    <r>
      <rPr>
        <sz val="9"/>
        <rFont val="Noto Sans CJK SC"/>
        <family val="2"/>
      </rPr>
      <t xml:space="preserve">環境の脅威ハンティングにより、</t>
    </r>
    <r>
      <rPr>
        <sz val="9"/>
        <rFont val="Yu Gothic"/>
        <family val="0"/>
        <charset val="1"/>
      </rPr>
      <t xml:space="preserve">AI</t>
    </r>
    <r>
      <rPr>
        <sz val="9"/>
        <rFont val="Noto Sans CJK SC"/>
        <family val="2"/>
      </rPr>
      <t xml:space="preserve">環境の異常を早期に発見し被害を最小化できます。</t>
    </r>
  </si>
  <si>
    <t xml:space="preserve">レッドチーム演習・攻撃シミュレーションと連動して検知ルールの発報有効性を検証し、検知漏れを改善サイクルに乗せる。</t>
  </si>
  <si>
    <t xml:space="preserve">CIS v8.1, MITRE ATLAS</t>
  </si>
  <si>
    <r>
      <rPr>
        <sz val="9"/>
        <rFont val="Noto Sans CJK SC"/>
        <family val="2"/>
      </rPr>
      <t xml:space="preserve">検知有効性の定期テストにより、</t>
    </r>
    <r>
      <rPr>
        <sz val="9"/>
        <rFont val="Yu Gothic"/>
        <family val="0"/>
        <charset val="1"/>
      </rPr>
      <t xml:space="preserve">AI</t>
    </r>
    <r>
      <rPr>
        <sz val="9"/>
        <rFont val="Noto Sans CJK SC"/>
        <family val="2"/>
      </rPr>
      <t xml:space="preserve">環境の異常を早期に発見し被害を最小化できます。</t>
    </r>
  </si>
  <si>
    <r>
      <rPr>
        <sz val="9"/>
        <rFont val="Noto Sans CJK SC"/>
        <family val="2"/>
      </rPr>
      <t xml:space="preserve">モデル・オーケストレーター・ツール・ガードレールのログ形式と相関</t>
    </r>
    <r>
      <rPr>
        <sz val="9"/>
        <rFont val="Yu Gothic"/>
        <family val="0"/>
        <charset val="1"/>
      </rPr>
      <t xml:space="preserve">ID</t>
    </r>
    <r>
      <rPr>
        <sz val="9"/>
        <rFont val="Noto Sans CJK SC"/>
        <family val="2"/>
      </rPr>
      <t xml:space="preserve">を標準化し、一連の処理を横断追跡可能にする。</t>
    </r>
  </si>
  <si>
    <r>
      <rPr>
        <sz val="9"/>
        <rFont val="Noto Sans CJK SC"/>
        <family val="2"/>
      </rPr>
      <t xml:space="preserve">ログ・証跡基盤に関するリスクを低減し、</t>
    </r>
    <r>
      <rPr>
        <sz val="9"/>
        <rFont val="Yu Gothic"/>
        <family val="0"/>
        <charset val="1"/>
      </rPr>
      <t xml:space="preserve">AIMF DE</t>
    </r>
    <r>
      <rPr>
        <sz val="9"/>
        <rFont val="Noto Sans CJK SC"/>
        <family val="2"/>
      </rPr>
      <t xml:space="preserve">区分（</t>
    </r>
    <r>
      <rPr>
        <sz val="9"/>
        <rFont val="Yu Gothic"/>
        <family val="0"/>
        <charset val="1"/>
      </rPr>
      <t xml:space="preserve">LOG</t>
    </r>
    <r>
      <rPr>
        <sz val="9"/>
        <rFont val="Noto Sans CJK SC"/>
        <family val="2"/>
      </rPr>
      <t xml:space="preserve">カテゴリ）の要求に対応する。</t>
    </r>
  </si>
  <si>
    <t xml:space="preserve">CIS v8.1, OWASP AISVS</t>
  </si>
  <si>
    <r>
      <rPr>
        <sz val="9"/>
        <rFont val="Yu Gothic"/>
        <family val="0"/>
        <charset val="1"/>
      </rPr>
      <t xml:space="preserve">AI</t>
    </r>
    <r>
      <rPr>
        <sz val="9"/>
        <rFont val="Noto Sans CJK SC"/>
        <family val="2"/>
      </rPr>
      <t xml:space="preserve">コンポーネント横断のログ標準化により、</t>
    </r>
    <r>
      <rPr>
        <sz val="9"/>
        <rFont val="Yu Gothic"/>
        <family val="0"/>
        <charset val="1"/>
      </rPr>
      <t xml:space="preserve">AI</t>
    </r>
    <r>
      <rPr>
        <sz val="9"/>
        <rFont val="Noto Sans CJK SC"/>
        <family val="2"/>
      </rPr>
      <t xml:space="preserve">環境の異常を早期に発見し被害を最小化できます。</t>
    </r>
  </si>
  <si>
    <r>
      <rPr>
        <sz val="9"/>
        <rFont val="Yu Gothic"/>
        <family val="0"/>
        <charset val="1"/>
      </rPr>
      <t xml:space="preserve">AI</t>
    </r>
    <r>
      <rPr>
        <sz val="9"/>
        <rFont val="Noto Sans CJK SC"/>
        <family val="2"/>
      </rPr>
      <t xml:space="preserve">監査ログに</t>
    </r>
    <r>
      <rPr>
        <sz val="9"/>
        <rFont val="Yu Gothic"/>
        <family val="0"/>
        <charset val="1"/>
      </rPr>
      <t xml:space="preserve">WORM</t>
    </r>
    <r>
      <rPr>
        <sz val="9"/>
        <rFont val="Noto Sans CJK SC"/>
        <family val="2"/>
      </rPr>
      <t xml:space="preserve">保管・署名・改ざん検知を適用し、説明責任・法的証拠としての証跡価値を確保する。</t>
    </r>
  </si>
  <si>
    <t xml:space="preserve">EU AI Act, CIS v8.1, OWASP AISVS</t>
  </si>
  <si>
    <r>
      <rPr>
        <sz val="9"/>
        <rFont val="Noto Sans CJK SC"/>
        <family val="2"/>
      </rPr>
      <t xml:space="preserve">ログの完全性保護により、</t>
    </r>
    <r>
      <rPr>
        <sz val="9"/>
        <rFont val="Yu Gothic"/>
        <family val="0"/>
        <charset val="1"/>
      </rPr>
      <t xml:space="preserve">AI</t>
    </r>
    <r>
      <rPr>
        <sz val="9"/>
        <rFont val="Noto Sans CJK SC"/>
        <family val="2"/>
      </rPr>
      <t xml:space="preserve">環境の異常を早期に発見し被害を最小化できます。</t>
    </r>
  </si>
  <si>
    <t xml:space="preserve">プロンプトログ等に含まれる個人情報の保持期間・アクセス制限・マスキング方針を定め、監査要件とプライバシーを両立する。</t>
  </si>
  <si>
    <r>
      <rPr>
        <sz val="9"/>
        <rFont val="Yu Gothic"/>
        <family val="0"/>
        <charset val="1"/>
      </rPr>
      <t xml:space="preserve">EU AI Act, AI</t>
    </r>
    <r>
      <rPr>
        <sz val="9"/>
        <rFont val="Noto Sans CJK SC"/>
        <family val="2"/>
      </rPr>
      <t xml:space="preserve">事業者</t>
    </r>
    <r>
      <rPr>
        <sz val="9"/>
        <rFont val="Yu Gothic"/>
        <family val="0"/>
        <charset val="1"/>
      </rPr>
      <t xml:space="preserve">GL, CIS v8.1</t>
    </r>
  </si>
  <si>
    <r>
      <rPr>
        <sz val="9"/>
        <rFont val="Noto Sans CJK SC"/>
        <family val="2"/>
      </rPr>
      <t xml:space="preserve">ログ保持とプライバシーの両立により、</t>
    </r>
    <r>
      <rPr>
        <sz val="9"/>
        <rFont val="Yu Gothic"/>
        <family val="0"/>
        <charset val="1"/>
      </rPr>
      <t xml:space="preserve">AI</t>
    </r>
    <r>
      <rPr>
        <sz val="9"/>
        <rFont val="Noto Sans CJK SC"/>
        <family val="2"/>
      </rPr>
      <t xml:space="preserve">環境の異常を早期に発見し被害を最小化できます。</t>
    </r>
  </si>
  <si>
    <r>
      <rPr>
        <sz val="9"/>
        <rFont val="Yu Gothic"/>
        <family val="0"/>
        <charset val="1"/>
      </rPr>
      <t xml:space="preserve">AI</t>
    </r>
    <r>
      <rPr>
        <sz val="9"/>
        <rFont val="Noto Sans CJK SC"/>
        <family val="2"/>
      </rPr>
      <t xml:space="preserve">特有のインシデントとサプライチェーン上の重大脆弱性をインシデント定義に追加し、対応手順書を整備する。</t>
    </r>
  </si>
  <si>
    <r>
      <rPr>
        <sz val="9"/>
        <rFont val="Noto Sans CJK SC"/>
        <family val="2"/>
      </rPr>
      <t xml:space="preserve">インシデントレスポンス体制の拡張と自動化に関するリスクを低減し、</t>
    </r>
    <r>
      <rPr>
        <sz val="9"/>
        <rFont val="Yu Gothic"/>
        <family val="0"/>
        <charset val="1"/>
      </rPr>
      <t xml:space="preserve">AIMF RS</t>
    </r>
    <r>
      <rPr>
        <sz val="9"/>
        <rFont val="Noto Sans CJK SC"/>
        <family val="2"/>
      </rPr>
      <t xml:space="preserve">区分（</t>
    </r>
    <r>
      <rPr>
        <sz val="9"/>
        <rFont val="Yu Gothic"/>
        <family val="0"/>
        <charset val="1"/>
      </rPr>
      <t xml:space="preserve">IRP</t>
    </r>
    <r>
      <rPr>
        <sz val="9"/>
        <rFont val="Noto Sans CJK SC"/>
        <family val="2"/>
      </rPr>
      <t xml:space="preserve">カテゴリ）の要求に対応する。</t>
    </r>
  </si>
  <si>
    <r>
      <rPr>
        <sz val="9"/>
        <rFont val="Yu Gothic"/>
        <family val="0"/>
        <charset val="1"/>
      </rPr>
      <t xml:space="preserve">NIST AI RMF, CSA AICM, ISO 42001, NCSC/CISA, </t>
    </r>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t>
    </r>
  </si>
  <si>
    <r>
      <rPr>
        <sz val="9"/>
        <rFont val="Yu Gothic"/>
        <family val="0"/>
        <charset val="1"/>
      </rPr>
      <t xml:space="preserve">CSIRT/</t>
    </r>
    <r>
      <rPr>
        <sz val="9"/>
        <rFont val="Noto Sans CJK SC"/>
        <family val="2"/>
      </rPr>
      <t xml:space="preserve">セキュリティ部門</t>
    </r>
  </si>
  <si>
    <t xml:space="preserve">プレイブック、訓練記録、対応記録、報告書控え</t>
  </si>
  <si>
    <r>
      <rPr>
        <sz val="9"/>
        <rFont val="Yu Gothic"/>
        <family val="0"/>
        <charset val="1"/>
      </rPr>
      <t xml:space="preserve">CSIRT</t>
    </r>
    <r>
      <rPr>
        <sz val="9"/>
        <rFont val="Noto Sans CJK SC"/>
        <family val="2"/>
      </rPr>
      <t xml:space="preserve">の</t>
    </r>
    <r>
      <rPr>
        <sz val="9"/>
        <rFont val="Yu Gothic"/>
        <family val="0"/>
        <charset val="1"/>
      </rPr>
      <t xml:space="preserve">AI</t>
    </r>
    <r>
      <rPr>
        <sz val="9"/>
        <rFont val="Noto Sans CJK SC"/>
        <family val="2"/>
      </rPr>
      <t xml:space="preserve">拡張とプレイブック整備により、</t>
    </r>
    <r>
      <rPr>
        <sz val="9"/>
        <rFont val="Yu Gothic"/>
        <family val="0"/>
        <charset val="1"/>
      </rPr>
      <t xml:space="preserve">AI</t>
    </r>
    <r>
      <rPr>
        <sz val="9"/>
        <rFont val="Noto Sans CJK SC"/>
        <family val="2"/>
      </rPr>
      <t xml:space="preserve">インシデントに迅速・確実に対応できる体制になります。</t>
    </r>
  </si>
  <si>
    <t xml:space="preserve">対応チケット・訓練記録・報告書</t>
  </si>
  <si>
    <r>
      <rPr>
        <sz val="9"/>
        <rFont val="Yu Gothic"/>
        <family val="0"/>
        <charset val="1"/>
      </rPr>
      <t xml:space="preserve">AI</t>
    </r>
    <r>
      <rPr>
        <sz val="9"/>
        <rFont val="Noto Sans CJK SC"/>
        <family val="2"/>
      </rPr>
      <t xml:space="preserve">による超高速攻撃に対抗し、検知から一次対応（アカウントロック・通信遮断・コンテナ強制終了）を秒単位で自動実行する。</t>
    </r>
  </si>
  <si>
    <r>
      <rPr>
        <sz val="9"/>
        <rFont val="Noto Sans CJK SC"/>
        <family val="2"/>
      </rPr>
      <t xml:space="preserve">セキュリティ運用の自動化（</t>
    </r>
    <r>
      <rPr>
        <sz val="9"/>
        <rFont val="Yu Gothic"/>
        <family val="0"/>
        <charset val="1"/>
      </rPr>
      <t xml:space="preserve">SOAR</t>
    </r>
    <r>
      <rPr>
        <sz val="9"/>
        <rFont val="Noto Sans CJK SC"/>
        <family val="2"/>
      </rPr>
      <t xml:space="preserve">）により、</t>
    </r>
    <r>
      <rPr>
        <sz val="9"/>
        <rFont val="Yu Gothic"/>
        <family val="0"/>
        <charset val="1"/>
      </rPr>
      <t xml:space="preserve">AI</t>
    </r>
    <r>
      <rPr>
        <sz val="9"/>
        <rFont val="Noto Sans CJK SC"/>
        <family val="2"/>
      </rPr>
      <t xml:space="preserve">インシデントに迅速・確実に対応できる体制になります。</t>
    </r>
  </si>
  <si>
    <r>
      <rPr>
        <sz val="9"/>
        <rFont val="Noto Sans CJK SC"/>
        <family val="2"/>
      </rPr>
      <t xml:space="preserve">攻撃的プロンプトや過負荷行為が連続検知された場合、該当</t>
    </r>
    <r>
      <rPr>
        <sz val="9"/>
        <rFont val="Yu Gothic"/>
        <family val="0"/>
        <charset val="1"/>
      </rPr>
      <t xml:space="preserve">API</t>
    </r>
    <r>
      <rPr>
        <sz val="9"/>
        <rFont val="Noto Sans CJK SC"/>
        <family val="2"/>
      </rPr>
      <t xml:space="preserve">キー・コンテナをシステムが自動で一時凍結・隔離する。</t>
    </r>
  </si>
  <si>
    <r>
      <rPr>
        <sz val="9"/>
        <rFont val="Noto Sans CJK SC"/>
        <family val="2"/>
      </rPr>
      <t xml:space="preserve">総務省</t>
    </r>
    <r>
      <rPr>
        <sz val="9"/>
        <rFont val="Yu Gothic"/>
        <family val="0"/>
        <charset val="1"/>
      </rPr>
      <t xml:space="preserve">AI</t>
    </r>
    <r>
      <rPr>
        <sz val="9"/>
        <rFont val="Noto Sans CJK SC"/>
        <family val="2"/>
      </rPr>
      <t xml:space="preserve">セキュリティ</t>
    </r>
    <r>
      <rPr>
        <sz val="9"/>
        <rFont val="Yu Gothic"/>
        <family val="0"/>
        <charset val="1"/>
      </rPr>
      <t xml:space="preserve">GL, OWASP AISVS, CSA AICM</t>
    </r>
  </si>
  <si>
    <r>
      <rPr>
        <sz val="9"/>
        <rFont val="Noto Sans CJK SC"/>
        <family val="2"/>
      </rPr>
      <t xml:space="preserve">動的レートリミットと攻撃主体の自動隔離により、</t>
    </r>
    <r>
      <rPr>
        <sz val="9"/>
        <rFont val="Yu Gothic"/>
        <family val="0"/>
        <charset val="1"/>
      </rPr>
      <t xml:space="preserve">AI</t>
    </r>
    <r>
      <rPr>
        <sz val="9"/>
        <rFont val="Noto Sans CJK SC"/>
        <family val="2"/>
      </rPr>
      <t xml:space="preserve">インシデントに迅速・確実に対応できる体制になります。</t>
    </r>
  </si>
  <si>
    <r>
      <rPr>
        <sz val="9"/>
        <rFont val="Noto Sans CJK SC"/>
        <family val="2"/>
      </rPr>
      <t xml:space="preserve">ポイズニング・インジェクション・モデル侵害・エージェント暴走等の</t>
    </r>
    <r>
      <rPr>
        <sz val="9"/>
        <rFont val="Yu Gothic"/>
        <family val="0"/>
        <charset val="1"/>
      </rPr>
      <t xml:space="preserve">AI</t>
    </r>
    <r>
      <rPr>
        <sz val="9"/>
        <rFont val="Noto Sans CJK SC"/>
        <family val="2"/>
      </rPr>
      <t xml:space="preserve">固有インシデント類型と重大度基準（法定報告該当性を含む）を定義する。</t>
    </r>
  </si>
  <si>
    <t xml:space="preserve">EU AI Act, NIST AI RMF, CIS v8.1</t>
  </si>
  <si>
    <r>
      <rPr>
        <sz val="9"/>
        <rFont val="Yu Gothic"/>
        <family val="0"/>
        <charset val="1"/>
      </rPr>
      <t xml:space="preserve">AI</t>
    </r>
    <r>
      <rPr>
        <sz val="9"/>
        <rFont val="Noto Sans CJK SC"/>
        <family val="2"/>
      </rPr>
      <t xml:space="preserve">固有インシデントの分類・重大度基準により、</t>
    </r>
    <r>
      <rPr>
        <sz val="9"/>
        <rFont val="Yu Gothic"/>
        <family val="0"/>
        <charset val="1"/>
      </rPr>
      <t xml:space="preserve">AI</t>
    </r>
    <r>
      <rPr>
        <sz val="9"/>
        <rFont val="Noto Sans CJK SC"/>
        <family val="2"/>
      </rPr>
      <t xml:space="preserve">インシデントに迅速・確実に対応できる体制になります。</t>
    </r>
  </si>
  <si>
    <t xml:space="preserve">プロンプトインジェクション・データポイズニング・モデル侵害・機微情報漏えい・エージェント暴走の類型別プレイブックを整備する。</t>
  </si>
  <si>
    <t xml:space="preserve">MITRE ATLAS, OWASP LLM10, CIS v8.1</t>
  </si>
  <si>
    <r>
      <rPr>
        <sz val="9"/>
        <rFont val="Yu Gothic"/>
        <family val="0"/>
        <charset val="1"/>
      </rPr>
      <t xml:space="preserve">AI</t>
    </r>
    <r>
      <rPr>
        <sz val="9"/>
        <rFont val="Noto Sans CJK SC"/>
        <family val="2"/>
      </rPr>
      <t xml:space="preserve">インシデント対応プレイブック群により、</t>
    </r>
    <r>
      <rPr>
        <sz val="9"/>
        <rFont val="Yu Gothic"/>
        <family val="0"/>
        <charset val="1"/>
      </rPr>
      <t xml:space="preserve">AI</t>
    </r>
    <r>
      <rPr>
        <sz val="9"/>
        <rFont val="Noto Sans CJK SC"/>
        <family val="2"/>
      </rPr>
      <t xml:space="preserve">インシデントに迅速・確実に対応できる体制になります。</t>
    </r>
  </si>
  <si>
    <r>
      <rPr>
        <sz val="9"/>
        <rFont val="Yu Gothic"/>
        <family val="0"/>
        <charset val="1"/>
      </rPr>
      <t xml:space="preserve">AI</t>
    </r>
    <r>
      <rPr>
        <sz val="9"/>
        <rFont val="Noto Sans CJK SC"/>
        <family val="2"/>
      </rPr>
      <t xml:space="preserve">固有シナリオの机上演習・実地訓練を年次以上で実施し、プレイブック・権限・連絡系統の実効性を検証する。</t>
    </r>
  </si>
  <si>
    <r>
      <rPr>
        <sz val="9"/>
        <rFont val="Yu Gothic"/>
        <family val="0"/>
        <charset val="1"/>
      </rPr>
      <t xml:space="preserve">AI</t>
    </r>
    <r>
      <rPr>
        <sz val="9"/>
        <rFont val="Noto Sans CJK SC"/>
        <family val="2"/>
      </rPr>
      <t xml:space="preserve">シナリオの机上演習・実地訓練により、</t>
    </r>
    <r>
      <rPr>
        <sz val="9"/>
        <rFont val="Yu Gothic"/>
        <family val="0"/>
        <charset val="1"/>
      </rPr>
      <t xml:space="preserve">AI</t>
    </r>
    <r>
      <rPr>
        <sz val="9"/>
        <rFont val="Noto Sans CJK SC"/>
        <family val="2"/>
      </rPr>
      <t xml:space="preserve">インシデントに迅速・確実に対応できる体制になります。</t>
    </r>
  </si>
  <si>
    <r>
      <rPr>
        <sz val="9"/>
        <rFont val="Noto Sans CJK SC"/>
        <family val="2"/>
      </rPr>
      <t xml:space="preserve">モデル・クラウドプロバイダーとの間でインシデント時の連絡窓口・情報提供範囲・</t>
    </r>
    <r>
      <rPr>
        <sz val="9"/>
        <rFont val="Yu Gothic"/>
        <family val="0"/>
        <charset val="1"/>
      </rPr>
      <t xml:space="preserve">SLA</t>
    </r>
    <r>
      <rPr>
        <sz val="9"/>
        <rFont val="Noto Sans CJK SC"/>
        <family val="2"/>
      </rPr>
      <t xml:space="preserve">を事前合意する。</t>
    </r>
  </si>
  <si>
    <t xml:space="preserve">ISO 42001, CIS v8.1</t>
  </si>
  <si>
    <r>
      <rPr>
        <sz val="9"/>
        <rFont val="Noto Sans CJK SC"/>
        <family val="2"/>
      </rPr>
      <t xml:space="preserve">プロバイダーとのインシデント連携体制により、</t>
    </r>
    <r>
      <rPr>
        <sz val="9"/>
        <rFont val="Yu Gothic"/>
        <family val="0"/>
        <charset val="1"/>
      </rPr>
      <t xml:space="preserve">AI</t>
    </r>
    <r>
      <rPr>
        <sz val="9"/>
        <rFont val="Noto Sans CJK SC"/>
        <family val="2"/>
      </rPr>
      <t xml:space="preserve">インシデントに迅速・確実に対応できる体制になります。</t>
    </r>
  </si>
  <si>
    <r>
      <rPr>
        <sz val="9"/>
        <rFont val="Yu Gothic"/>
        <family val="0"/>
        <charset val="1"/>
      </rPr>
      <t xml:space="preserve">AI</t>
    </r>
    <r>
      <rPr>
        <sz val="9"/>
        <rFont val="Noto Sans CJK SC"/>
        <family val="2"/>
      </rPr>
      <t xml:space="preserve">サービスの緊急停止・縮退の判断権限と発動基準を事前定義し、事業影響との比較考量を迅速化する。</t>
    </r>
  </si>
  <si>
    <r>
      <rPr>
        <sz val="9"/>
        <rFont val="Yu Gothic"/>
        <family val="0"/>
        <charset val="1"/>
      </rPr>
      <t xml:space="preserve">Five Eyes</t>
    </r>
    <r>
      <rPr>
        <sz val="9"/>
        <rFont val="Noto Sans CJK SC"/>
        <family val="2"/>
      </rPr>
      <t xml:space="preserve">声明</t>
    </r>
    <r>
      <rPr>
        <sz val="9"/>
        <rFont val="Yu Gothic"/>
        <family val="0"/>
        <charset val="1"/>
      </rPr>
      <t xml:space="preserve">, EU AI Act</t>
    </r>
  </si>
  <si>
    <r>
      <rPr>
        <sz val="9"/>
        <rFont val="Noto Sans CJK SC"/>
        <family val="2"/>
      </rPr>
      <t xml:space="preserve">インシデント時のサービス停止判断権限により、</t>
    </r>
    <r>
      <rPr>
        <sz val="9"/>
        <rFont val="Yu Gothic"/>
        <family val="0"/>
        <charset val="1"/>
      </rPr>
      <t xml:space="preserve">AI</t>
    </r>
    <r>
      <rPr>
        <sz val="9"/>
        <rFont val="Noto Sans CJK SC"/>
        <family val="2"/>
      </rPr>
      <t xml:space="preserve">インシデントに迅速・確実に対応できる体制になります。</t>
    </r>
  </si>
  <si>
    <r>
      <rPr>
        <sz val="9"/>
        <rFont val="Noto Sans CJK SC"/>
        <family val="2"/>
      </rPr>
      <t xml:space="preserve">暴走・攻撃検知時に該当エージェントのプロセス停止・</t>
    </r>
    <r>
      <rPr>
        <sz val="9"/>
        <rFont val="Yu Gothic"/>
        <family val="0"/>
        <charset val="1"/>
      </rPr>
      <t xml:space="preserve">API</t>
    </r>
    <r>
      <rPr>
        <sz val="9"/>
        <rFont val="Noto Sans CJK SC"/>
        <family val="2"/>
      </rPr>
      <t xml:space="preserve">キー無効化を即時実行し、自律ワークフローを強制停止する。</t>
    </r>
  </si>
  <si>
    <r>
      <rPr>
        <sz val="9"/>
        <rFont val="Noto Sans CJK SC"/>
        <family val="2"/>
      </rPr>
      <t xml:space="preserve">封じ込め・隔離に関するリスクを低減し、</t>
    </r>
    <r>
      <rPr>
        <sz val="9"/>
        <rFont val="Yu Gothic"/>
        <family val="0"/>
        <charset val="1"/>
      </rPr>
      <t xml:space="preserve">AIMF RS</t>
    </r>
    <r>
      <rPr>
        <sz val="9"/>
        <rFont val="Noto Sans CJK SC"/>
        <family val="2"/>
      </rPr>
      <t xml:space="preserve">区分（</t>
    </r>
    <r>
      <rPr>
        <sz val="9"/>
        <rFont val="Yu Gothic"/>
        <family val="0"/>
        <charset val="1"/>
      </rPr>
      <t xml:space="preserve">CON</t>
    </r>
    <r>
      <rPr>
        <sz val="9"/>
        <rFont val="Noto Sans CJK SC"/>
        <family val="2"/>
      </rPr>
      <t xml:space="preserve">カテゴリ）の要求に対応する。</t>
    </r>
  </si>
  <si>
    <t xml:space="preserve">OWASP AISVS, EU AI Act, NIST AI RMF, NCSC/CISA</t>
  </si>
  <si>
    <r>
      <rPr>
        <sz val="9"/>
        <rFont val="Yu Gothic"/>
        <family val="0"/>
        <charset val="1"/>
      </rPr>
      <t xml:space="preserve">AI</t>
    </r>
    <r>
      <rPr>
        <sz val="9"/>
        <rFont val="Noto Sans CJK SC"/>
        <family val="2"/>
      </rPr>
      <t xml:space="preserve">エージェントのキルスイッチ実装により、</t>
    </r>
    <r>
      <rPr>
        <sz val="9"/>
        <rFont val="Yu Gothic"/>
        <family val="0"/>
        <charset val="1"/>
      </rPr>
      <t xml:space="preserve">AI</t>
    </r>
    <r>
      <rPr>
        <sz val="9"/>
        <rFont val="Noto Sans CJK SC"/>
        <family val="2"/>
      </rPr>
      <t xml:space="preserve">インシデントに迅速・確実に対応できる体制になります。</t>
    </r>
  </si>
  <si>
    <r>
      <rPr>
        <sz val="9"/>
        <rFont val="Noto Sans CJK SC"/>
        <family val="2"/>
      </rPr>
      <t xml:space="preserve">ベクトル</t>
    </r>
    <r>
      <rPr>
        <sz val="9"/>
        <rFont val="Yu Gothic"/>
        <family val="0"/>
        <charset val="1"/>
      </rPr>
      <t xml:space="preserve">DB</t>
    </r>
    <r>
      <rPr>
        <sz val="9"/>
        <rFont val="Noto Sans CJK SC"/>
        <family val="2"/>
      </rPr>
      <t xml:space="preserve">・ストレージ・連携基幹システムへの通信をインフラ層で即座に遮断し、データの二次流出を物理的に防ぐ。</t>
    </r>
  </si>
  <si>
    <r>
      <rPr>
        <sz val="9"/>
        <rFont val="Noto Sans CJK SC"/>
        <family val="2"/>
      </rPr>
      <t xml:space="preserve">インフラ通信・データアクセスの即時遮断により、</t>
    </r>
    <r>
      <rPr>
        <sz val="9"/>
        <rFont val="Yu Gothic"/>
        <family val="0"/>
        <charset val="1"/>
      </rPr>
      <t xml:space="preserve">AI</t>
    </r>
    <r>
      <rPr>
        <sz val="9"/>
        <rFont val="Noto Sans CJK SC"/>
        <family val="2"/>
      </rPr>
      <t xml:space="preserve">インシデントに迅速・確実に対応できる体制になります。</t>
    </r>
  </si>
  <si>
    <t xml:space="preserve">侵害・汚染が疑われるモデル・プロンプト・設定を直前の検証済みバージョンへ即時切り戻す手順と技術的手段を整備する。</t>
  </si>
  <si>
    <r>
      <rPr>
        <sz val="9"/>
        <rFont val="Yu Gothic"/>
        <family val="0"/>
        <charset val="1"/>
      </rPr>
      <t xml:space="preserve">ASD</t>
    </r>
    <r>
      <rPr>
        <sz val="9"/>
        <rFont val="Noto Sans CJK SC"/>
        <family val="2"/>
      </rPr>
      <t xml:space="preserve">エージェント</t>
    </r>
    <r>
      <rPr>
        <sz val="9"/>
        <rFont val="Yu Gothic"/>
        <family val="0"/>
        <charset val="1"/>
      </rPr>
      <t xml:space="preserve">AI, OWASP AISVS</t>
    </r>
  </si>
  <si>
    <r>
      <rPr>
        <sz val="9"/>
        <rFont val="Noto Sans CJK SC"/>
        <family val="2"/>
      </rPr>
      <t xml:space="preserve">侵害モデルのロールバックにより、</t>
    </r>
    <r>
      <rPr>
        <sz val="9"/>
        <rFont val="Yu Gothic"/>
        <family val="0"/>
        <charset val="1"/>
      </rPr>
      <t xml:space="preserve">AI</t>
    </r>
    <r>
      <rPr>
        <sz val="9"/>
        <rFont val="Noto Sans CJK SC"/>
        <family val="2"/>
      </rPr>
      <t xml:space="preserve">インシデントに迅速・確実に対応できる体制になります。</t>
    </r>
  </si>
  <si>
    <t xml:space="preserve">侵害エージェントの資格情報・トークンを即時失効し、影響範囲の資格情報を一括ローテーションする自動化手順を整備する。</t>
  </si>
  <si>
    <t xml:space="preserve">OWASP ASI10, NIST 800-63-4</t>
  </si>
  <si>
    <r>
      <rPr>
        <sz val="9"/>
        <rFont val="Noto Sans CJK SC"/>
        <family val="2"/>
      </rPr>
      <t xml:space="preserve">エージェント資格情報の即時失効・一括ローテーションにより、</t>
    </r>
    <r>
      <rPr>
        <sz val="9"/>
        <rFont val="Yu Gothic"/>
        <family val="0"/>
        <charset val="1"/>
      </rPr>
      <t xml:space="preserve">AI</t>
    </r>
    <r>
      <rPr>
        <sz val="9"/>
        <rFont val="Noto Sans CJK SC"/>
        <family val="2"/>
      </rPr>
      <t xml:space="preserve">インシデントに迅速・確実に対応できる体制になります。</t>
    </r>
  </si>
  <si>
    <r>
      <rPr>
        <sz val="9"/>
        <rFont val="Noto Sans CJK SC"/>
        <family val="2"/>
      </rPr>
      <t xml:space="preserve">汚染が確認された</t>
    </r>
    <r>
      <rPr>
        <sz val="9"/>
        <rFont val="Yu Gothic"/>
        <family val="0"/>
        <charset val="1"/>
      </rPr>
      <t xml:space="preserve">RAG</t>
    </r>
    <r>
      <rPr>
        <sz val="9"/>
        <rFont val="Noto Sans CJK SC"/>
        <family val="2"/>
      </rPr>
      <t xml:space="preserve">ソース・埋め込み・エージェント記憶を検索対象から即時隔離し、浄化完了まで検疫状態を維持する。</t>
    </r>
  </si>
  <si>
    <t xml:space="preserve">OWASP ASI10, OWASP AISVS, OWASP LLM10</t>
  </si>
  <si>
    <r>
      <rPr>
        <sz val="9"/>
        <rFont val="Noto Sans CJK SC"/>
        <family val="2"/>
      </rPr>
      <t xml:space="preserve">汚染</t>
    </r>
    <r>
      <rPr>
        <sz val="9"/>
        <rFont val="Yu Gothic"/>
        <family val="0"/>
        <charset val="1"/>
      </rPr>
      <t xml:space="preserve">RAG</t>
    </r>
    <r>
      <rPr>
        <sz val="9"/>
        <rFont val="Noto Sans CJK SC"/>
        <family val="2"/>
      </rPr>
      <t xml:space="preserve">ソース・メモリの隔離・検疫により、</t>
    </r>
    <r>
      <rPr>
        <sz val="9"/>
        <rFont val="Yu Gothic"/>
        <family val="0"/>
        <charset val="1"/>
      </rPr>
      <t xml:space="preserve">AI</t>
    </r>
    <r>
      <rPr>
        <sz val="9"/>
        <rFont val="Noto Sans CJK SC"/>
        <family val="2"/>
      </rPr>
      <t xml:space="preserve">インシデントに迅速・確実に対応できる体制になります。</t>
    </r>
  </si>
  <si>
    <r>
      <rPr>
        <sz val="9"/>
        <rFont val="Noto Sans CJK SC"/>
        <family val="2"/>
      </rPr>
      <t xml:space="preserve">重大</t>
    </r>
    <r>
      <rPr>
        <sz val="9"/>
        <rFont val="Yu Gothic"/>
        <family val="0"/>
        <charset val="1"/>
      </rPr>
      <t xml:space="preserve">AI</t>
    </r>
    <r>
      <rPr>
        <sz val="9"/>
        <rFont val="Noto Sans CJK SC"/>
        <family val="2"/>
      </rPr>
      <t xml:space="preserve">インシデント発生時の規制当局への報告（</t>
    </r>
    <r>
      <rPr>
        <sz val="9"/>
        <rFont val="Yu Gothic"/>
        <family val="0"/>
        <charset val="1"/>
      </rPr>
      <t xml:space="preserve">EU AI Act</t>
    </r>
    <r>
      <rPr>
        <sz val="9"/>
        <rFont val="Noto Sans CJK SC"/>
        <family val="2"/>
      </rPr>
      <t xml:space="preserve">重大インシデント報告、個人情報保護委員会への漏えい報告等）、利用者・顧客への通知手順と期限を定義する。</t>
    </r>
  </si>
  <si>
    <r>
      <rPr>
        <sz val="9"/>
        <rFont val="Noto Sans CJK SC"/>
        <family val="2"/>
      </rPr>
      <t xml:space="preserve">外部報告・ステークホルダー通知に関するリスクを低減し、</t>
    </r>
    <r>
      <rPr>
        <sz val="9"/>
        <rFont val="Yu Gothic"/>
        <family val="0"/>
        <charset val="1"/>
      </rPr>
      <t xml:space="preserve">AIMF RS</t>
    </r>
    <r>
      <rPr>
        <sz val="9"/>
        <rFont val="Noto Sans CJK SC"/>
        <family val="2"/>
      </rPr>
      <t xml:space="preserve">区分（</t>
    </r>
    <r>
      <rPr>
        <sz val="9"/>
        <rFont val="Yu Gothic"/>
        <family val="0"/>
        <charset val="1"/>
      </rPr>
      <t xml:space="preserve">RPT</t>
    </r>
    <r>
      <rPr>
        <sz val="9"/>
        <rFont val="Noto Sans CJK SC"/>
        <family val="2"/>
      </rPr>
      <t xml:space="preserve">カテゴリ）の要求に対応する。</t>
    </r>
  </si>
  <si>
    <r>
      <rPr>
        <sz val="9"/>
        <rFont val="Yu Gothic"/>
        <family val="0"/>
        <charset val="1"/>
      </rPr>
      <t xml:space="preserve">EU AI Act, ISO 42001, AI</t>
    </r>
    <r>
      <rPr>
        <sz val="9"/>
        <rFont val="Noto Sans CJK SC"/>
        <family val="2"/>
      </rPr>
      <t xml:space="preserve">事業者</t>
    </r>
    <r>
      <rPr>
        <sz val="9"/>
        <rFont val="Yu Gothic"/>
        <family val="0"/>
        <charset val="1"/>
      </rPr>
      <t xml:space="preserve">GL, NIST AI RMF, CSA AICM</t>
    </r>
  </si>
  <si>
    <r>
      <rPr>
        <sz val="9"/>
        <rFont val="Noto Sans CJK SC"/>
        <family val="2"/>
      </rPr>
      <t xml:space="preserve">インシデントの外部報告・ステークホルダー通知により、</t>
    </r>
    <r>
      <rPr>
        <sz val="9"/>
        <rFont val="Yu Gothic"/>
        <family val="0"/>
        <charset val="1"/>
      </rPr>
      <t xml:space="preserve">AI</t>
    </r>
    <r>
      <rPr>
        <sz val="9"/>
        <rFont val="Noto Sans CJK SC"/>
        <family val="2"/>
      </rPr>
      <t xml:space="preserve">インシデントに迅速・確実に対応できる体制になります。</t>
    </r>
  </si>
  <si>
    <r>
      <rPr>
        <sz val="9"/>
        <rFont val="Yu Gothic"/>
        <family val="0"/>
        <charset val="1"/>
      </rPr>
      <t xml:space="preserve">AI</t>
    </r>
    <r>
      <rPr>
        <sz val="9"/>
        <rFont val="Noto Sans CJK SC"/>
        <family val="2"/>
      </rPr>
      <t xml:space="preserve">経由の個人データ漏えいにおける個人情報保護委員会への報告（速報・確報）と本人通知の該当性判断・実施手順を定める。</t>
    </r>
  </si>
  <si>
    <r>
      <rPr>
        <sz val="9"/>
        <rFont val="Yu Gothic"/>
        <family val="0"/>
        <charset val="1"/>
      </rPr>
      <t xml:space="preserve">AI</t>
    </r>
    <r>
      <rPr>
        <sz val="9"/>
        <rFont val="Noto Sans CJK SC"/>
        <family val="2"/>
      </rPr>
      <t xml:space="preserve">事業者</t>
    </r>
    <r>
      <rPr>
        <sz val="9"/>
        <rFont val="Yu Gothic"/>
        <family val="0"/>
        <charset val="1"/>
      </rPr>
      <t xml:space="preserve">GL, EU AI Act</t>
    </r>
  </si>
  <si>
    <r>
      <rPr>
        <sz val="9"/>
        <rFont val="Noto Sans CJK SC"/>
        <family val="2"/>
      </rPr>
      <t xml:space="preserve">個人情報漏えい等の当局報告により、</t>
    </r>
    <r>
      <rPr>
        <sz val="9"/>
        <rFont val="Yu Gothic"/>
        <family val="0"/>
        <charset val="1"/>
      </rPr>
      <t xml:space="preserve">AI</t>
    </r>
    <r>
      <rPr>
        <sz val="9"/>
        <rFont val="Noto Sans CJK SC"/>
        <family val="2"/>
      </rPr>
      <t xml:space="preserve">インシデントに迅速・確実に対応できる体制になります。</t>
    </r>
  </si>
  <si>
    <t xml:space="preserve">影響を受ける顧客・利用者への通知基準・文面テンプレート・チャネルを事前整備し、通知の遅延と混乱を防ぐ。</t>
  </si>
  <si>
    <t xml:space="preserve">ISO 42001, EU AI Act</t>
  </si>
  <si>
    <r>
      <rPr>
        <sz val="9"/>
        <rFont val="Noto Sans CJK SC"/>
        <family val="2"/>
      </rPr>
      <t xml:space="preserve">顧客・利用者への通知計画により、</t>
    </r>
    <r>
      <rPr>
        <sz val="9"/>
        <rFont val="Yu Gothic"/>
        <family val="0"/>
        <charset val="1"/>
      </rPr>
      <t xml:space="preserve">AI</t>
    </r>
    <r>
      <rPr>
        <sz val="9"/>
        <rFont val="Noto Sans CJK SC"/>
        <family val="2"/>
      </rPr>
      <t xml:space="preserve">インシデントに迅速・確実に対応できる体制になります。</t>
    </r>
  </si>
  <si>
    <t xml:space="preserve">公表の要否・タイミング・内容の判断基準と広報・法務・経営の連携手順を定め、開示判断の証跡を残す。</t>
  </si>
  <si>
    <r>
      <rPr>
        <sz val="9"/>
        <rFont val="Yu Gothic"/>
        <family val="0"/>
        <charset val="1"/>
      </rPr>
      <t xml:space="preserve">AI</t>
    </r>
    <r>
      <rPr>
        <sz val="9"/>
        <rFont val="Noto Sans CJK SC"/>
        <family val="2"/>
      </rPr>
      <t xml:space="preserve">事業者</t>
    </r>
    <r>
      <rPr>
        <sz val="9"/>
        <rFont val="Yu Gothic"/>
        <family val="0"/>
        <charset val="1"/>
      </rPr>
      <t xml:space="preserve">GL, Five Eyes</t>
    </r>
    <r>
      <rPr>
        <sz val="9"/>
        <rFont val="Noto Sans CJK SC"/>
        <family val="2"/>
      </rPr>
      <t xml:space="preserve">声明</t>
    </r>
  </si>
  <si>
    <r>
      <rPr>
        <sz val="9"/>
        <rFont val="Noto Sans CJK SC"/>
        <family val="2"/>
      </rPr>
      <t xml:space="preserve">開示・広報対応の判断基準により、</t>
    </r>
    <r>
      <rPr>
        <sz val="9"/>
        <rFont val="Yu Gothic"/>
        <family val="0"/>
        <charset val="1"/>
      </rPr>
      <t xml:space="preserve">AI</t>
    </r>
    <r>
      <rPr>
        <sz val="9"/>
        <rFont val="Noto Sans CJK SC"/>
        <family val="2"/>
      </rPr>
      <t xml:space="preserve">インシデントに迅速・確実に対応できる体制になります。</t>
    </r>
  </si>
  <si>
    <t xml:space="preserve">インシデントの原因をプロンプト・データ・モデル・設定・統合の各レイヤーで切り分ける分析手法を標準化する。</t>
  </si>
  <si>
    <r>
      <rPr>
        <sz val="9"/>
        <rFont val="Noto Sans CJK SC"/>
        <family val="2"/>
      </rPr>
      <t xml:space="preserve">インシデント事後分析に関するリスクを低減し、</t>
    </r>
    <r>
      <rPr>
        <sz val="9"/>
        <rFont val="Yu Gothic"/>
        <family val="0"/>
        <charset val="1"/>
      </rPr>
      <t xml:space="preserve">AIMF RS</t>
    </r>
    <r>
      <rPr>
        <sz val="9"/>
        <rFont val="Noto Sans CJK SC"/>
        <family val="2"/>
      </rPr>
      <t xml:space="preserve">区分（</t>
    </r>
    <r>
      <rPr>
        <sz val="9"/>
        <rFont val="Yu Gothic"/>
        <family val="0"/>
        <charset val="1"/>
      </rPr>
      <t xml:space="preserve">ANL</t>
    </r>
    <r>
      <rPr>
        <sz val="9"/>
        <rFont val="Noto Sans CJK SC"/>
        <family val="2"/>
      </rPr>
      <t xml:space="preserve">カテゴリ）の要求に対応する。</t>
    </r>
  </si>
  <si>
    <t xml:space="preserve">NIST AI RMF, NCSC/CISA</t>
  </si>
  <si>
    <r>
      <rPr>
        <sz val="9"/>
        <rFont val="Yu Gothic"/>
        <family val="0"/>
        <charset val="1"/>
      </rPr>
      <t xml:space="preserve">AI</t>
    </r>
    <r>
      <rPr>
        <sz val="9"/>
        <rFont val="Noto Sans CJK SC"/>
        <family val="2"/>
      </rPr>
      <t xml:space="preserve">固有の根本原因分析により、</t>
    </r>
    <r>
      <rPr>
        <sz val="9"/>
        <rFont val="Yu Gothic"/>
        <family val="0"/>
        <charset val="1"/>
      </rPr>
      <t xml:space="preserve">AI</t>
    </r>
    <r>
      <rPr>
        <sz val="9"/>
        <rFont val="Noto Sans CJK SC"/>
        <family val="2"/>
      </rPr>
      <t xml:space="preserve">インシデントに迅速・確実に対応できる体制になります。</t>
    </r>
  </si>
  <si>
    <r>
      <rPr>
        <sz val="9"/>
        <rFont val="Noto Sans CJK SC"/>
        <family val="2"/>
      </rPr>
      <t xml:space="preserve">発生インシデントを</t>
    </r>
    <r>
      <rPr>
        <sz val="9"/>
        <rFont val="Yu Gothic"/>
        <family val="0"/>
        <charset val="1"/>
      </rPr>
      <t xml:space="preserve">ATLAS</t>
    </r>
    <r>
      <rPr>
        <sz val="9"/>
        <rFont val="Noto Sans CJK SC"/>
        <family val="2"/>
      </rPr>
      <t xml:space="preserve">の戦術・技術にマッピングして記録し、業界共有・検知強化に活用する。</t>
    </r>
  </si>
  <si>
    <r>
      <rPr>
        <sz val="9"/>
        <rFont val="Yu Gothic"/>
        <family val="0"/>
        <charset val="1"/>
      </rPr>
      <t xml:space="preserve">MITRE ATLAS, Five Eyes</t>
    </r>
    <r>
      <rPr>
        <sz val="9"/>
        <rFont val="Noto Sans CJK SC"/>
        <family val="2"/>
      </rPr>
      <t xml:space="preserve">声明</t>
    </r>
  </si>
  <si>
    <r>
      <rPr>
        <sz val="9"/>
        <rFont val="Noto Sans CJK SC"/>
        <family val="2"/>
      </rPr>
      <t xml:space="preserve">インシデントの</t>
    </r>
    <r>
      <rPr>
        <sz val="9"/>
        <rFont val="Yu Gothic"/>
        <family val="0"/>
        <charset val="1"/>
      </rPr>
      <t xml:space="preserve">ATLAS</t>
    </r>
    <r>
      <rPr>
        <sz val="9"/>
        <rFont val="Noto Sans CJK SC"/>
        <family val="2"/>
      </rPr>
      <t xml:space="preserve">マッピングにより、</t>
    </r>
    <r>
      <rPr>
        <sz val="9"/>
        <rFont val="Yu Gothic"/>
        <family val="0"/>
        <charset val="1"/>
      </rPr>
      <t xml:space="preserve">AI</t>
    </r>
    <r>
      <rPr>
        <sz val="9"/>
        <rFont val="Noto Sans CJK SC"/>
        <family val="2"/>
      </rPr>
      <t xml:space="preserve">インシデントに迅速・確実に対応できる体制になります。</t>
    </r>
  </si>
  <si>
    <t xml:space="preserve">根本原因分析の結果をガードレール・評価スイート・検知ルールの改修として期限付きでトラッキングする。</t>
  </si>
  <si>
    <r>
      <rPr>
        <sz val="9"/>
        <rFont val="Noto Sans CJK SC"/>
        <family val="2"/>
      </rPr>
      <t xml:space="preserve">分析結果の防御・検知への反映により、</t>
    </r>
    <r>
      <rPr>
        <sz val="9"/>
        <rFont val="Yu Gothic"/>
        <family val="0"/>
        <charset val="1"/>
      </rPr>
      <t xml:space="preserve">AI</t>
    </r>
    <r>
      <rPr>
        <sz val="9"/>
        <rFont val="Noto Sans CJK SC"/>
        <family val="2"/>
      </rPr>
      <t xml:space="preserve">インシデントに迅速・確実に対応できる体制になります。</t>
    </r>
  </si>
  <si>
    <r>
      <rPr>
        <sz val="9"/>
        <rFont val="Noto Sans CJK SC"/>
        <family val="2"/>
      </rPr>
      <t xml:space="preserve">適用要と判断された脆弱性に対し、</t>
    </r>
    <r>
      <rPr>
        <sz val="9"/>
        <rFont val="Yu Gothic"/>
        <family val="0"/>
        <charset val="1"/>
      </rPr>
      <t xml:space="preserve">IaC/GitOps</t>
    </r>
    <r>
      <rPr>
        <sz val="9"/>
        <rFont val="Noto Sans CJK SC"/>
        <family val="2"/>
      </rPr>
      <t xml:space="preserve">のリポジトリ変更を発火点として本番</t>
    </r>
    <r>
      <rPr>
        <sz val="9"/>
        <rFont val="Yu Gothic"/>
        <family val="0"/>
        <charset val="1"/>
      </rPr>
      <t xml:space="preserve">AI</t>
    </r>
    <r>
      <rPr>
        <sz val="9"/>
        <rFont val="Noto Sans CJK SC"/>
        <family val="2"/>
      </rPr>
      <t xml:space="preserve">インフラ全体を数分〜数時間で安全にアップデートする。</t>
    </r>
  </si>
  <si>
    <r>
      <rPr>
        <sz val="9"/>
        <rFont val="Noto Sans CJK SC"/>
        <family val="2"/>
      </rPr>
      <t xml:space="preserve">レジリエンスの最大化に関するリスクを低減し、</t>
    </r>
    <r>
      <rPr>
        <sz val="9"/>
        <rFont val="Yu Gothic"/>
        <family val="0"/>
        <charset val="1"/>
      </rPr>
      <t xml:space="preserve">AIMF RC</t>
    </r>
    <r>
      <rPr>
        <sz val="9"/>
        <rFont val="Noto Sans CJK SC"/>
        <family val="2"/>
      </rPr>
      <t xml:space="preserve">区分（</t>
    </r>
    <r>
      <rPr>
        <sz val="9"/>
        <rFont val="Yu Gothic"/>
        <family val="0"/>
        <charset val="1"/>
      </rPr>
      <t xml:space="preserve">RES</t>
    </r>
    <r>
      <rPr>
        <sz val="9"/>
        <rFont val="Noto Sans CJK SC"/>
        <family val="2"/>
      </rPr>
      <t xml:space="preserve">カテゴリ）の要求に対応する。</t>
    </r>
  </si>
  <si>
    <r>
      <rPr>
        <sz val="9"/>
        <rFont val="Yu Gothic"/>
        <family val="0"/>
        <charset val="1"/>
      </rPr>
      <t xml:space="preserve">IT</t>
    </r>
    <r>
      <rPr>
        <sz val="9"/>
        <rFont val="Noto Sans CJK SC"/>
        <family val="2"/>
      </rPr>
      <t xml:space="preserve">運用</t>
    </r>
    <r>
      <rPr>
        <sz val="9"/>
        <rFont val="Yu Gothic"/>
        <family val="0"/>
        <charset val="1"/>
      </rPr>
      <t xml:space="preserve">/</t>
    </r>
    <r>
      <rPr>
        <sz val="9"/>
        <rFont val="Noto Sans CJK SC"/>
        <family val="2"/>
      </rPr>
      <t xml:space="preserve">事業継続担当</t>
    </r>
  </si>
  <si>
    <t xml:space="preserve">復旧手順書、バックアップ記録、改善トラッキング表</t>
  </si>
  <si>
    <r>
      <rPr>
        <sz val="9"/>
        <rFont val="Yu Gothic"/>
        <family val="0"/>
        <charset val="1"/>
      </rPr>
      <t xml:space="preserve">CI/CD</t>
    </r>
    <r>
      <rPr>
        <sz val="9"/>
        <rFont val="Noto Sans CJK SC"/>
        <family val="2"/>
      </rPr>
      <t xml:space="preserve">連動のゼロタッチ・パッチ適用により、被害からの復旧と再発防止のサイクルが回る状態になります。</t>
    </r>
  </si>
  <si>
    <t xml:space="preserve">復旧試験記録・改善チケット</t>
  </si>
  <si>
    <r>
      <rPr>
        <sz val="9"/>
        <rFont val="Noto Sans CJK SC"/>
        <family val="2"/>
      </rPr>
      <t xml:space="preserve">ベクトル</t>
    </r>
    <r>
      <rPr>
        <sz val="9"/>
        <rFont val="Yu Gothic"/>
        <family val="0"/>
        <charset val="1"/>
      </rPr>
      <t xml:space="preserve">DB</t>
    </r>
    <r>
      <rPr>
        <sz val="9"/>
        <rFont val="Noto Sans CJK SC"/>
        <family val="2"/>
      </rPr>
      <t xml:space="preserve">・原本ドキュメントのバックアップ復元手順を確立し、侵害時に</t>
    </r>
    <r>
      <rPr>
        <sz val="9"/>
        <rFont val="Yu Gothic"/>
        <family val="0"/>
        <charset val="1"/>
      </rPr>
      <t xml:space="preserve">IaC</t>
    </r>
    <r>
      <rPr>
        <sz val="9"/>
        <rFont val="Noto Sans CJK SC"/>
        <family val="2"/>
      </rPr>
      <t xml:space="preserve">でクリーンな</t>
    </r>
    <r>
      <rPr>
        <sz val="9"/>
        <rFont val="Yu Gothic"/>
        <family val="0"/>
        <charset val="1"/>
      </rPr>
      <t xml:space="preserve">AI</t>
    </r>
    <r>
      <rPr>
        <sz val="9"/>
        <rFont val="Noto Sans CJK SC"/>
        <family val="2"/>
      </rPr>
      <t xml:space="preserve">インフラを自動・即時再構築する。</t>
    </r>
  </si>
  <si>
    <r>
      <rPr>
        <sz val="9"/>
        <rFont val="Yu Gothic"/>
        <family val="0"/>
        <charset val="1"/>
      </rPr>
      <t xml:space="preserve">RAG</t>
    </r>
    <r>
      <rPr>
        <sz val="9"/>
        <rFont val="Noto Sans CJK SC"/>
        <family val="2"/>
      </rPr>
      <t xml:space="preserve">知識ベース・インフラ構成の高速復元により、被害からの復旧と再発防止のサイクルが回る状態になります。</t>
    </r>
  </si>
  <si>
    <r>
      <rPr>
        <sz val="9"/>
        <rFont val="Noto Sans CJK SC"/>
        <family val="2"/>
      </rPr>
      <t xml:space="preserve">プロンプト・</t>
    </r>
    <r>
      <rPr>
        <sz val="9"/>
        <rFont val="Yu Gothic"/>
        <family val="0"/>
        <charset val="1"/>
      </rPr>
      <t xml:space="preserve">RAG</t>
    </r>
    <r>
      <rPr>
        <sz val="9"/>
        <rFont val="Noto Sans CJK SC"/>
        <family val="2"/>
      </rPr>
      <t xml:space="preserve">検索結果・思考プロセス・ツール実行履歴・</t>
    </r>
    <r>
      <rPr>
        <sz val="9"/>
        <rFont val="Yu Gothic"/>
        <family val="0"/>
        <charset val="1"/>
      </rPr>
      <t xml:space="preserve">SBOM/AI-BOM</t>
    </r>
    <r>
      <rPr>
        <sz val="9"/>
        <rFont val="Noto Sans CJK SC"/>
        <family val="2"/>
      </rPr>
      <t xml:space="preserve">バージョン・インフラログを一気通貫でタイムライン化する証拠保全機能を実装する。</t>
    </r>
  </si>
  <si>
    <r>
      <rPr>
        <sz val="9"/>
        <rFont val="Yu Gothic"/>
        <family val="0"/>
        <charset val="1"/>
      </rPr>
      <t xml:space="preserve">OWASP AISVS, EU AI Act, NIST AI RMF, CSA AICM, AI</t>
    </r>
    <r>
      <rPr>
        <sz val="9"/>
        <rFont val="Noto Sans CJK SC"/>
        <family val="2"/>
      </rPr>
      <t xml:space="preserve">事業者</t>
    </r>
    <r>
      <rPr>
        <sz val="9"/>
        <rFont val="Yu Gothic"/>
        <family val="0"/>
        <charset val="1"/>
      </rPr>
      <t xml:space="preserve">GL, NCSC/CISA</t>
    </r>
  </si>
  <si>
    <r>
      <rPr>
        <sz val="9"/>
        <rFont val="Yu Gothic"/>
        <family val="0"/>
        <charset val="1"/>
      </rPr>
      <t xml:space="preserve">AI</t>
    </r>
    <r>
      <rPr>
        <sz val="9"/>
        <rFont val="Noto Sans CJK SC"/>
        <family val="2"/>
      </rPr>
      <t xml:space="preserve">説明責任のためのフォレンジック体制により、被害からの復旧と再発防止のサイクルが回る状態になります。</t>
    </r>
  </si>
  <si>
    <t xml:space="preserve">ポイズニング確定時に、検証済みクリーンデータと来歴記録を用いてモデルを再学習・再構築する手順と所要時間目標を定める。</t>
  </si>
  <si>
    <t xml:space="preserve">OWASP AISVS, NCSC/CISA, OWASP LLM10</t>
  </si>
  <si>
    <t xml:space="preserve">クリーンデータからのモデル再構築手順により、被害からの復旧と再発防止のサイクルが回る状態になります。</t>
  </si>
  <si>
    <t xml:space="preserve">主要モデルの侵害・停止時に代替モデル・プロバイダーへ切替える構成と切替判断基準を整備し、定期試験する。</t>
  </si>
  <si>
    <r>
      <rPr>
        <sz val="9"/>
        <rFont val="Yu Gothic"/>
        <family val="0"/>
        <charset val="1"/>
      </rPr>
      <t xml:space="preserve">CSA AICM, Five Eyes</t>
    </r>
    <r>
      <rPr>
        <sz val="9"/>
        <rFont val="Noto Sans CJK SC"/>
        <family val="2"/>
      </rPr>
      <t xml:space="preserve">声明</t>
    </r>
    <r>
      <rPr>
        <sz val="9"/>
        <rFont val="Yu Gothic"/>
        <family val="0"/>
        <charset val="1"/>
      </rPr>
      <t xml:space="preserve">, ISO 42001</t>
    </r>
  </si>
  <si>
    <t xml:space="preserve">代替モデル・プロバイダーへのフェイルオーバーにより、被害からの復旧と再発防止のサイクルが回る状態になります。</t>
  </si>
  <si>
    <r>
      <rPr>
        <sz val="9"/>
        <rFont val="Yu Gothic"/>
        <family val="0"/>
        <charset val="1"/>
      </rPr>
      <t xml:space="preserve">AI</t>
    </r>
    <r>
      <rPr>
        <sz val="9"/>
        <rFont val="Noto Sans CJK SC"/>
        <family val="2"/>
      </rPr>
      <t xml:space="preserve">機能停止時に人手・ルールベースで業務を継続する縮退運転手順を整備し、依存業務の全面停止を回避する。</t>
    </r>
  </si>
  <si>
    <r>
      <rPr>
        <sz val="9"/>
        <rFont val="Yu Gothic"/>
        <family val="0"/>
        <charset val="1"/>
      </rPr>
      <t xml:space="preserve">AI</t>
    </r>
    <r>
      <rPr>
        <sz val="9"/>
        <rFont val="Noto Sans CJK SC"/>
        <family val="2"/>
      </rPr>
      <t xml:space="preserve">停止時の縮退運転手順により、被害からの復旧と再発防止のサイクルが回る状態になります。</t>
    </r>
  </si>
  <si>
    <r>
      <rPr>
        <sz val="9"/>
        <rFont val="Yu Gothic"/>
        <family val="0"/>
        <charset val="1"/>
      </rPr>
      <t xml:space="preserve">AI</t>
    </r>
    <r>
      <rPr>
        <sz val="9"/>
        <rFont val="Noto Sans CJK SC"/>
        <family val="2"/>
      </rPr>
      <t xml:space="preserve">システムを既存</t>
    </r>
    <r>
      <rPr>
        <sz val="9"/>
        <rFont val="Yu Gothic"/>
        <family val="0"/>
        <charset val="1"/>
      </rPr>
      <t xml:space="preserve">BCP/DR</t>
    </r>
    <r>
      <rPr>
        <sz val="9"/>
        <rFont val="Noto Sans CJK SC"/>
        <family val="2"/>
      </rPr>
      <t xml:space="preserve">計画に統合し、バックアップ範囲（モデル・データ・設定・プロンプト）と復旧目標を明記する。</t>
    </r>
  </si>
  <si>
    <r>
      <rPr>
        <sz val="9"/>
        <rFont val="Yu Gothic"/>
        <family val="0"/>
        <charset val="1"/>
      </rPr>
      <t xml:space="preserve">AI</t>
    </r>
    <r>
      <rPr>
        <sz val="9"/>
        <rFont val="Noto Sans CJK SC"/>
        <family val="2"/>
      </rPr>
      <t xml:space="preserve">システムの</t>
    </r>
    <r>
      <rPr>
        <sz val="9"/>
        <rFont val="Yu Gothic"/>
        <family val="0"/>
        <charset val="1"/>
      </rPr>
      <t xml:space="preserve">BCP</t>
    </r>
    <r>
      <rPr>
        <sz val="9"/>
        <rFont val="Noto Sans CJK SC"/>
        <family val="2"/>
      </rPr>
      <t xml:space="preserve">・</t>
    </r>
    <r>
      <rPr>
        <sz val="9"/>
        <rFont val="Yu Gothic"/>
        <family val="0"/>
        <charset val="1"/>
      </rPr>
      <t xml:space="preserve">DR</t>
    </r>
    <r>
      <rPr>
        <sz val="9"/>
        <rFont val="Noto Sans CJK SC"/>
        <family val="2"/>
      </rPr>
      <t xml:space="preserve">統合により、被害からの復旧と再発防止のサイクルが回る状態になります。</t>
    </r>
  </si>
  <si>
    <r>
      <rPr>
        <sz val="9"/>
        <rFont val="Noto Sans CJK SC"/>
        <family val="2"/>
      </rPr>
      <t xml:space="preserve">インシデント対応時間短縮率、トレーニング受講率、脆弱性</t>
    </r>
    <r>
      <rPr>
        <sz val="9"/>
        <rFont val="Yu Gothic"/>
        <family val="0"/>
        <charset val="1"/>
      </rPr>
      <t xml:space="preserve">MTTR</t>
    </r>
    <r>
      <rPr>
        <sz val="9"/>
        <rFont val="Noto Sans CJK SC"/>
        <family val="2"/>
      </rPr>
      <t xml:space="preserve">、</t>
    </r>
    <r>
      <rPr>
        <sz val="9"/>
        <rFont val="Yu Gothic"/>
        <family val="0"/>
        <charset val="1"/>
      </rPr>
      <t xml:space="preserve">RAG</t>
    </r>
    <r>
      <rPr>
        <sz val="9"/>
        <rFont val="Noto Sans CJK SC"/>
        <family val="2"/>
      </rPr>
      <t xml:space="preserve">権限エラー回数等の</t>
    </r>
    <r>
      <rPr>
        <sz val="9"/>
        <rFont val="Yu Gothic"/>
        <family val="0"/>
        <charset val="1"/>
      </rPr>
      <t xml:space="preserve">KPI</t>
    </r>
    <r>
      <rPr>
        <sz val="9"/>
        <rFont val="Noto Sans CJK SC"/>
        <family val="2"/>
      </rPr>
      <t xml:space="preserve">を設定し定期評価する。</t>
    </r>
  </si>
  <si>
    <r>
      <rPr>
        <sz val="9"/>
        <rFont val="Noto Sans CJK SC"/>
        <family val="2"/>
      </rPr>
      <t xml:space="preserve">継続的改善に関するリスクを低減し、</t>
    </r>
    <r>
      <rPr>
        <sz val="9"/>
        <rFont val="Yu Gothic"/>
        <family val="0"/>
        <charset val="1"/>
      </rPr>
      <t xml:space="preserve">AIMF RC</t>
    </r>
    <r>
      <rPr>
        <sz val="9"/>
        <rFont val="Noto Sans CJK SC"/>
        <family val="2"/>
      </rPr>
      <t xml:space="preserve">区分（</t>
    </r>
    <r>
      <rPr>
        <sz val="9"/>
        <rFont val="Yu Gothic"/>
        <family val="0"/>
        <charset val="1"/>
      </rPr>
      <t xml:space="preserve">CIM</t>
    </r>
    <r>
      <rPr>
        <sz val="9"/>
        <rFont val="Noto Sans CJK SC"/>
        <family val="2"/>
      </rPr>
      <t xml:space="preserve">カテゴリ）の要求に対応する。</t>
    </r>
  </si>
  <si>
    <r>
      <rPr>
        <sz val="9"/>
        <rFont val="Yu Gothic"/>
        <family val="0"/>
        <charset val="1"/>
      </rPr>
      <t xml:space="preserve">NIST AI RMF, ISO 42001, CSA AICM, AI</t>
    </r>
    <r>
      <rPr>
        <sz val="9"/>
        <rFont val="Noto Sans CJK SC"/>
        <family val="2"/>
      </rPr>
      <t xml:space="preserve">事業者</t>
    </r>
    <r>
      <rPr>
        <sz val="9"/>
        <rFont val="Yu Gothic"/>
        <family val="0"/>
        <charset val="1"/>
      </rPr>
      <t xml:space="preserve">GL</t>
    </r>
  </si>
  <si>
    <r>
      <rPr>
        <sz val="9"/>
        <rFont val="Yu Gothic"/>
        <family val="0"/>
        <charset val="1"/>
      </rPr>
      <t xml:space="preserve">AI</t>
    </r>
    <r>
      <rPr>
        <sz val="9"/>
        <rFont val="Noto Sans CJK SC"/>
        <family val="2"/>
      </rPr>
      <t xml:space="preserve">セキュリティ</t>
    </r>
    <r>
      <rPr>
        <sz val="9"/>
        <rFont val="Yu Gothic"/>
        <family val="0"/>
        <charset val="1"/>
      </rPr>
      <t xml:space="preserve">KPI</t>
    </r>
    <r>
      <rPr>
        <sz val="9"/>
        <rFont val="Noto Sans CJK SC"/>
        <family val="2"/>
      </rPr>
      <t xml:space="preserve">の設定と評価により、被害からの復旧と再発防止のサイクルが回る状態になります。</t>
    </r>
  </si>
  <si>
    <t xml:space="preserve">ベストプラクティス、教訓、インシデントフォレンジック結果を文書化して社内共有し、再発を防止する。</t>
  </si>
  <si>
    <t xml:space="preserve">NIST AI RMF, ISO 42001, NCSC/CISA</t>
  </si>
  <si>
    <t xml:space="preserve">ベストプラクティス・教訓のドキュメント化により、被害からの復旧と再発防止のサイクルが回る状態になります。</t>
  </si>
  <si>
    <r>
      <rPr>
        <sz val="9"/>
        <rFont val="Noto Sans CJK SC"/>
        <family val="2"/>
      </rPr>
      <t xml:space="preserve">新たな脱獄手法・攻撃用</t>
    </r>
    <r>
      <rPr>
        <sz val="9"/>
        <rFont val="Yu Gothic"/>
        <family val="0"/>
        <charset val="1"/>
      </rPr>
      <t xml:space="preserve">AI</t>
    </r>
    <r>
      <rPr>
        <sz val="9"/>
        <rFont val="Noto Sans CJK SC"/>
        <family val="2"/>
      </rPr>
      <t xml:space="preserve">の進化を分析し、攻撃手法の変化を予測してガバナンス体制と技術的対策を先手で強化する。</t>
    </r>
  </si>
  <si>
    <t xml:space="preserve">NIST AI RMF, CSA AICM, NCSC/CISA</t>
  </si>
  <si>
    <r>
      <rPr>
        <sz val="9"/>
        <rFont val="Yu Gothic"/>
        <family val="0"/>
        <charset val="1"/>
      </rPr>
      <t xml:space="preserve">AI</t>
    </r>
    <r>
      <rPr>
        <sz val="9"/>
        <rFont val="Noto Sans CJK SC"/>
        <family val="2"/>
      </rPr>
      <t xml:space="preserve">セキュリティのトレンド分析と将来予測により、被害からの復旧と再発防止のサイクルが回る状態になります。</t>
    </r>
  </si>
  <si>
    <r>
      <rPr>
        <sz val="9"/>
        <rFont val="Yu Gothic"/>
        <family val="0"/>
        <charset val="1"/>
      </rPr>
      <t xml:space="preserve">KPI</t>
    </r>
    <r>
      <rPr>
        <sz val="9"/>
        <rFont val="Noto Sans CJK SC"/>
        <family val="2"/>
      </rPr>
      <t xml:space="preserve">・教訓・トレンド分析を集計し、</t>
    </r>
    <r>
      <rPr>
        <sz val="9"/>
        <rFont val="Yu Gothic"/>
        <family val="0"/>
        <charset val="1"/>
      </rPr>
      <t xml:space="preserve">AI</t>
    </r>
    <r>
      <rPr>
        <sz val="9"/>
        <rFont val="Noto Sans CJK SC"/>
        <family val="2"/>
      </rPr>
      <t xml:space="preserve">ガバナンス委員会で基本方針・ガードレール閾値・インフラ要件・教育カリキュラムを継続的にアップデートする。</t>
    </r>
  </si>
  <si>
    <r>
      <rPr>
        <sz val="9"/>
        <rFont val="Yu Gothic"/>
        <family val="0"/>
        <charset val="1"/>
      </rPr>
      <t xml:space="preserve">ISO 42001, NIST AI RMF, CSA AICM, EU AI Act, AI</t>
    </r>
    <r>
      <rPr>
        <sz val="9"/>
        <rFont val="Noto Sans CJK SC"/>
        <family val="2"/>
      </rPr>
      <t xml:space="preserve">事業者</t>
    </r>
    <r>
      <rPr>
        <sz val="9"/>
        <rFont val="Yu Gothic"/>
        <family val="0"/>
        <charset val="1"/>
      </rPr>
      <t xml:space="preserve">GL</t>
    </r>
  </si>
  <si>
    <t xml:space="preserve">セキュリティメトリクスによる定期ガバナンスレビューにより、被害からの復旧と再発防止のサイクルが回る状態になります。</t>
  </si>
  <si>
    <t xml:space="preserve">インシデント・演習の教訓をガードレールルール・評価ケース・検知シグネチャへ反映するまでをワークフロー化し、反映漏れを防ぐ。</t>
  </si>
  <si>
    <t xml:space="preserve">NIST AI RMF, OWASP AISVS</t>
  </si>
  <si>
    <t xml:space="preserve">教訓の防御機構への自動反映により、被害からの復旧と再発防止のサイクルが回る状態になります。</t>
  </si>
  <si>
    <r>
      <rPr>
        <sz val="9"/>
        <rFont val="Yu Gothic"/>
        <family val="0"/>
        <charset val="1"/>
      </rPr>
      <t xml:space="preserve">OWASP</t>
    </r>
    <r>
      <rPr>
        <sz val="9"/>
        <rFont val="Noto Sans CJK SC"/>
        <family val="2"/>
      </rPr>
      <t xml:space="preserve">・</t>
    </r>
    <r>
      <rPr>
        <sz val="9"/>
        <rFont val="Yu Gothic"/>
        <family val="0"/>
        <charset val="1"/>
      </rPr>
      <t xml:space="preserve">ATLAS</t>
    </r>
    <r>
      <rPr>
        <sz val="9"/>
        <rFont val="Noto Sans CJK SC"/>
        <family val="2"/>
      </rPr>
      <t xml:space="preserve">・各国ガイドラインの改訂を四半期で確認し、フレームワーク・統制への反映要否を判断するプロセスを運用する。</t>
    </r>
  </si>
  <si>
    <r>
      <rPr>
        <sz val="9"/>
        <rFont val="Yu Gothic"/>
        <family val="0"/>
        <charset val="1"/>
      </rPr>
      <t xml:space="preserve">Five Eyes</t>
    </r>
    <r>
      <rPr>
        <sz val="9"/>
        <rFont val="Noto Sans CJK SC"/>
        <family val="2"/>
      </rPr>
      <t xml:space="preserve">声明</t>
    </r>
    <r>
      <rPr>
        <sz val="9"/>
        <rFont val="Yu Gothic"/>
        <family val="0"/>
        <charset val="1"/>
      </rPr>
      <t xml:space="preserve">, ISO 42001</t>
    </r>
  </si>
  <si>
    <t xml:space="preserve">参照基準・脅威情報の改訂追随により、被害からの復旧と再発防止のサイクルが回る状態になります。</t>
  </si>
  <si>
    <t xml:space="preserve">モデル退役時の重みデータ・学習データ・埋め込み・ログの安全な廃棄／保持判断、依存システムへの影響評価を含む廃棄プロセスを定義する。</t>
  </si>
  <si>
    <r>
      <rPr>
        <sz val="9"/>
        <rFont val="Noto Sans CJK SC"/>
        <family val="2"/>
      </rPr>
      <t xml:space="preserve">モデル・データの安全な廃棄に関するリスクを低減し、</t>
    </r>
    <r>
      <rPr>
        <sz val="9"/>
        <rFont val="Yu Gothic"/>
        <family val="0"/>
        <charset val="1"/>
      </rPr>
      <t xml:space="preserve">AIMF RC</t>
    </r>
    <r>
      <rPr>
        <sz val="9"/>
        <rFont val="Noto Sans CJK SC"/>
        <family val="2"/>
      </rPr>
      <t xml:space="preserve">区分（</t>
    </r>
    <r>
      <rPr>
        <sz val="9"/>
        <rFont val="Yu Gothic"/>
        <family val="0"/>
        <charset val="1"/>
      </rPr>
      <t xml:space="preserve">DCM</t>
    </r>
    <r>
      <rPr>
        <sz val="9"/>
        <rFont val="Noto Sans CJK SC"/>
        <family val="2"/>
      </rPr>
      <t xml:space="preserve">カテゴリ）の要求に対応する。</t>
    </r>
  </si>
  <si>
    <t xml:space="preserve">OWASP AISVS, ISO 42001, CSA AICM, NCSC/CISA</t>
  </si>
  <si>
    <t xml:space="preserve">モデル・データの安全な廃棄（デコミッション）により、被害からの復旧と再発防止のサイクルが回る状態になります。</t>
  </si>
  <si>
    <r>
      <rPr>
        <sz val="9"/>
        <rFont val="Noto Sans CJK SC"/>
        <family val="2"/>
      </rPr>
      <t xml:space="preserve">削除要求・保持期限到来データについて、モデル・ベクトル</t>
    </r>
    <r>
      <rPr>
        <sz val="9"/>
        <rFont val="Yu Gothic"/>
        <family val="0"/>
        <charset val="1"/>
      </rPr>
      <t xml:space="preserve">DB</t>
    </r>
    <r>
      <rPr>
        <sz val="9"/>
        <rFont val="Noto Sans CJK SC"/>
        <family val="2"/>
      </rPr>
      <t xml:space="preserve">・ログからの削除または忘却措置を実施し、削除の有効性を検証する。</t>
    </r>
  </si>
  <si>
    <t xml:space="preserve">ISO 42001, EU AI Act, OWASP AISVS</t>
  </si>
  <si>
    <r>
      <rPr>
        <sz val="9"/>
        <rFont val="Noto Sans CJK SC"/>
        <family val="2"/>
      </rPr>
      <t xml:space="preserve">データ削除・機械的忘却（</t>
    </r>
    <r>
      <rPr>
        <sz val="9"/>
        <rFont val="Yu Gothic"/>
        <family val="0"/>
        <charset val="1"/>
      </rPr>
      <t xml:space="preserve">Unlearning</t>
    </r>
    <r>
      <rPr>
        <sz val="9"/>
        <rFont val="Noto Sans CJK SC"/>
        <family val="2"/>
      </rPr>
      <t xml:space="preserve">）の実施と検証により、被害からの復旧と再発防止のサイクルが回る状態になります。</t>
    </r>
  </si>
  <si>
    <r>
      <rPr>
        <sz val="9"/>
        <rFont val="Noto Sans CJK SC"/>
        <family val="2"/>
      </rPr>
      <t xml:space="preserve">提供中の</t>
    </r>
    <r>
      <rPr>
        <sz val="9"/>
        <rFont val="Yu Gothic"/>
        <family val="0"/>
        <charset val="1"/>
      </rPr>
      <t xml:space="preserve">AI</t>
    </r>
    <r>
      <rPr>
        <sz val="9"/>
        <rFont val="Noto Sans CJK SC"/>
        <family val="2"/>
      </rPr>
      <t xml:space="preserve">システムについて、性能・堅牢性・インシデント傾向を体系的に収集・分析する市販後モニタリング計画を策定し、リスクマネジメント（</t>
    </r>
    <r>
      <rPr>
        <sz val="9"/>
        <rFont val="Yu Gothic"/>
        <family val="0"/>
        <charset val="1"/>
      </rPr>
      <t xml:space="preserve">GV-1</t>
    </r>
    <r>
      <rPr>
        <sz val="9"/>
        <rFont val="Noto Sans CJK SC"/>
        <family val="2"/>
      </rPr>
      <t xml:space="preserve">）へフィードバックする。</t>
    </r>
  </si>
  <si>
    <r>
      <rPr>
        <sz val="9"/>
        <rFont val="Noto Sans CJK SC"/>
        <family val="2"/>
      </rPr>
      <t xml:space="preserve">市販後モニタリングに関するリスクを低減し、</t>
    </r>
    <r>
      <rPr>
        <sz val="9"/>
        <rFont val="Yu Gothic"/>
        <family val="0"/>
        <charset val="1"/>
      </rPr>
      <t xml:space="preserve">AIMF RC</t>
    </r>
    <r>
      <rPr>
        <sz val="9"/>
        <rFont val="Noto Sans CJK SC"/>
        <family val="2"/>
      </rPr>
      <t xml:space="preserve">区分（</t>
    </r>
    <r>
      <rPr>
        <sz val="9"/>
        <rFont val="Yu Gothic"/>
        <family val="0"/>
        <charset val="1"/>
      </rPr>
      <t xml:space="preserve">PMM</t>
    </r>
    <r>
      <rPr>
        <sz val="9"/>
        <rFont val="Noto Sans CJK SC"/>
        <family val="2"/>
      </rPr>
      <t xml:space="preserve">カテゴリ）の要求に対応する。</t>
    </r>
  </si>
  <si>
    <t xml:space="preserve">EU AI Act, NIST AI RMF, ISO 42001</t>
  </si>
  <si>
    <r>
      <rPr>
        <sz val="9"/>
        <rFont val="Noto Sans CJK SC"/>
        <family val="2"/>
      </rPr>
      <t xml:space="preserve">市販後モニタリング計画（</t>
    </r>
    <r>
      <rPr>
        <sz val="9"/>
        <rFont val="Yu Gothic"/>
        <family val="0"/>
        <charset val="1"/>
      </rPr>
      <t xml:space="preserve">Post-market Monitoring</t>
    </r>
    <r>
      <rPr>
        <sz val="9"/>
        <rFont val="Noto Sans CJK SC"/>
        <family val="2"/>
      </rPr>
      <t xml:space="preserve">）により、被害からの復旧と再発防止のサイクルが回る状態になります。</t>
    </r>
  </si>
  <si>
    <r>
      <rPr>
        <b val="true"/>
        <sz val="10"/>
        <color rgb="FFFFFFFF"/>
        <rFont val="Noto Sans CJK SC"/>
        <family val="2"/>
      </rPr>
      <t xml:space="preserve">候補施策</t>
    </r>
    <r>
      <rPr>
        <b val="true"/>
        <sz val="10"/>
        <color rgb="FFFFFFFF"/>
        <rFont val="Yu Gothic"/>
        <family val="0"/>
        <charset val="1"/>
      </rPr>
      <t xml:space="preserve">ID</t>
    </r>
  </si>
  <si>
    <t xml:space="preserve">候補施策名</t>
  </si>
  <si>
    <t xml:space="preserve">マッピング理由</t>
  </si>
  <si>
    <t xml:space="preserve">優先抽出条件</t>
  </si>
  <si>
    <r>
      <rPr>
        <sz val="9"/>
        <rFont val="Noto Sans CJK SC"/>
        <family val="2"/>
      </rPr>
      <t xml:space="preserve">質問はコントロール実装状況を問うため、同一コントロールの実装施策と</t>
    </r>
    <r>
      <rPr>
        <sz val="9"/>
        <rFont val="Yu Gothic"/>
        <family val="0"/>
        <charset val="1"/>
      </rPr>
      <t xml:space="preserve">1:1</t>
    </r>
    <r>
      <rPr>
        <sz val="9"/>
        <rFont val="Noto Sans CJK SC"/>
        <family val="2"/>
      </rPr>
      <t xml:space="preserve">で対応する。</t>
    </r>
  </si>
  <si>
    <t xml:space="preserve">現状評価が目標評価未満、または優先度スコアが閾値以上（対象外を除く）</t>
  </si>
  <si>
    <t xml:space="preserve">依存施策名</t>
  </si>
  <si>
    <t xml:space="preserve">依存理由</t>
  </si>
  <si>
    <t xml:space="preserve">配置ルール</t>
  </si>
  <si>
    <t xml:space="preserve">権限同期の範囲定義に棚卸しが必要</t>
  </si>
  <si>
    <r>
      <rPr>
        <sz val="9"/>
        <rFont val="Noto Sans CJK SC"/>
        <family val="2"/>
      </rPr>
      <t xml:space="preserve">棚卸し→</t>
    </r>
    <r>
      <rPr>
        <sz val="9"/>
        <rFont val="Yu Gothic"/>
        <family val="0"/>
        <charset val="1"/>
      </rPr>
      <t xml:space="preserve">ACL</t>
    </r>
    <r>
      <rPr>
        <sz val="9"/>
        <rFont val="Noto Sans CJK SC"/>
        <family val="2"/>
      </rPr>
      <t xml:space="preserve">同期</t>
    </r>
  </si>
  <si>
    <r>
      <rPr>
        <sz val="9"/>
        <rFont val="Noto Sans CJK SC"/>
        <family val="2"/>
      </rPr>
      <t xml:space="preserve">スキャン対象の</t>
    </r>
    <r>
      <rPr>
        <sz val="9"/>
        <rFont val="Yu Gothic"/>
        <family val="0"/>
        <charset val="1"/>
      </rPr>
      <t xml:space="preserve">SBOM</t>
    </r>
    <r>
      <rPr>
        <sz val="9"/>
        <rFont val="Noto Sans CJK SC"/>
        <family val="2"/>
      </rPr>
      <t xml:space="preserve">整備が前提</t>
    </r>
  </si>
  <si>
    <r>
      <rPr>
        <sz val="9"/>
        <rFont val="Yu Gothic"/>
        <family val="0"/>
        <charset val="1"/>
      </rPr>
      <t xml:space="preserve">SBOM</t>
    </r>
    <r>
      <rPr>
        <sz val="9"/>
        <rFont val="Noto Sans CJK SC"/>
        <family val="2"/>
      </rPr>
      <t xml:space="preserve">生成→継続スキャン</t>
    </r>
  </si>
  <si>
    <t xml:space="preserve">権限の現状把握が最小化設計の前提</t>
  </si>
  <si>
    <t xml:space="preserve">トポロジー把握→最小権限</t>
  </si>
  <si>
    <r>
      <rPr>
        <sz val="9"/>
        <rFont val="Noto Sans CJK SC"/>
        <family val="2"/>
      </rPr>
      <t xml:space="preserve">承認済みツールリストが</t>
    </r>
    <r>
      <rPr>
        <sz val="9"/>
        <rFont val="Yu Gothic"/>
        <family val="0"/>
        <charset val="1"/>
      </rPr>
      <t xml:space="preserve">ACL</t>
    </r>
    <r>
      <rPr>
        <sz val="9"/>
        <rFont val="Noto Sans CJK SC"/>
        <family val="2"/>
      </rPr>
      <t xml:space="preserve">の前提</t>
    </r>
  </si>
  <si>
    <r>
      <rPr>
        <sz val="9"/>
        <rFont val="Noto Sans CJK SC"/>
        <family val="2"/>
      </rPr>
      <t xml:space="preserve">ツール審査→</t>
    </r>
    <r>
      <rPr>
        <sz val="9"/>
        <rFont val="Yu Gothic"/>
        <family val="0"/>
        <charset val="1"/>
      </rPr>
      <t xml:space="preserve">ACL</t>
    </r>
  </si>
  <si>
    <t xml:space="preserve">相関分析にはログ形式の標準化が必要</t>
  </si>
  <si>
    <r>
      <rPr>
        <sz val="9"/>
        <rFont val="Noto Sans CJK SC"/>
        <family val="2"/>
      </rPr>
      <t xml:space="preserve">ログ標準化→</t>
    </r>
    <r>
      <rPr>
        <sz val="9"/>
        <rFont val="Yu Gothic"/>
        <family val="0"/>
        <charset val="1"/>
      </rPr>
      <t xml:space="preserve">SIEM</t>
    </r>
    <r>
      <rPr>
        <sz val="9"/>
        <rFont val="Noto Sans CJK SC"/>
        <family val="2"/>
      </rPr>
      <t xml:space="preserve">統合</t>
    </r>
  </si>
  <si>
    <t xml:space="preserve">ハンティングは統合テレメトリが前提</t>
  </si>
  <si>
    <r>
      <rPr>
        <sz val="9"/>
        <rFont val="Yu Gothic"/>
        <family val="0"/>
        <charset val="1"/>
      </rPr>
      <t xml:space="preserve">SIEM</t>
    </r>
    <r>
      <rPr>
        <sz val="9"/>
        <rFont val="Noto Sans CJK SC"/>
        <family val="2"/>
      </rPr>
      <t xml:space="preserve">統合→ハンティング</t>
    </r>
  </si>
  <si>
    <r>
      <rPr>
        <sz val="9"/>
        <rFont val="Noto Sans CJK SC"/>
        <family val="2"/>
      </rPr>
      <t xml:space="preserve">対象</t>
    </r>
    <r>
      <rPr>
        <sz val="9"/>
        <rFont val="Yu Gothic"/>
        <family val="0"/>
        <charset val="1"/>
      </rPr>
      <t xml:space="preserve">TTP</t>
    </r>
    <r>
      <rPr>
        <sz val="9"/>
        <rFont val="Noto Sans CJK SC"/>
        <family val="2"/>
      </rPr>
      <t xml:space="preserve">の特定が先行</t>
    </r>
  </si>
  <si>
    <t xml:space="preserve">脅威モデリング→カバレッジ管理</t>
  </si>
  <si>
    <t xml:space="preserve">適用対象システムの可視化が前提</t>
  </si>
  <si>
    <t xml:space="preserve">台帳→ガードレール</t>
  </si>
  <si>
    <t xml:space="preserve">承認済み目標の定義が検知基準になる</t>
  </si>
  <si>
    <t xml:space="preserve">目標定義→逸脱検知</t>
  </si>
  <si>
    <t xml:space="preserve">停止判断には状態監視が必要</t>
  </si>
  <si>
    <t xml:space="preserve">状態監視→キルスイッチ</t>
  </si>
  <si>
    <t xml:space="preserve">モデル資産の台帳化が前提</t>
  </si>
  <si>
    <r>
      <rPr>
        <sz val="9"/>
        <rFont val="Yu Gothic"/>
        <family val="0"/>
        <charset val="1"/>
      </rPr>
      <t xml:space="preserve">AI-BOM→</t>
    </r>
    <r>
      <rPr>
        <sz val="9"/>
        <rFont val="Noto Sans CJK SC"/>
        <family val="2"/>
      </rPr>
      <t xml:space="preserve">レジストリ統制</t>
    </r>
  </si>
  <si>
    <r>
      <rPr>
        <sz val="9"/>
        <rFont val="Noto Sans CJK SC"/>
        <family val="2"/>
      </rPr>
      <t xml:space="preserve">エージェント</t>
    </r>
    <r>
      <rPr>
        <sz val="9"/>
        <rFont val="Yu Gothic"/>
        <family val="0"/>
        <charset val="1"/>
      </rPr>
      <t xml:space="preserve">ID</t>
    </r>
    <r>
      <rPr>
        <sz val="9"/>
        <rFont val="Noto Sans CJK SC"/>
        <family val="2"/>
      </rPr>
      <t xml:space="preserve">の発行管理が前提</t>
    </r>
  </si>
  <si>
    <r>
      <rPr>
        <sz val="9"/>
        <rFont val="Yu Gothic"/>
        <family val="0"/>
        <charset val="1"/>
      </rPr>
      <t xml:space="preserve">ID</t>
    </r>
    <r>
      <rPr>
        <sz val="9"/>
        <rFont val="Noto Sans CJK SC"/>
        <family val="2"/>
      </rPr>
      <t xml:space="preserve">管理→短命トークン</t>
    </r>
  </si>
  <si>
    <t xml:space="preserve">代替可能性の評価が切替設計の前提</t>
  </si>
  <si>
    <t xml:space="preserve">集中リスク評価→フェイルオーバー</t>
  </si>
  <si>
    <t xml:space="preserve">評価スイートの整備が自動化の前提</t>
  </si>
  <si>
    <r>
      <rPr>
        <sz val="9"/>
        <rFont val="Noto Sans CJK SC"/>
        <family val="2"/>
      </rPr>
      <t xml:space="preserve">評価スイート→</t>
    </r>
    <r>
      <rPr>
        <sz val="9"/>
        <rFont val="Yu Gothic"/>
        <family val="0"/>
        <charset val="1"/>
      </rPr>
      <t xml:space="preserve">CI/CD</t>
    </r>
    <r>
      <rPr>
        <sz val="9"/>
        <rFont val="Noto Sans CJK SC"/>
        <family val="2"/>
      </rPr>
      <t xml:space="preserve">組込</t>
    </r>
  </si>
  <si>
    <t xml:space="preserve">法定報告該当性の判断基準が前提</t>
  </si>
  <si>
    <t xml:space="preserve">分類基準→外部報告</t>
  </si>
  <si>
    <t xml:space="preserve">抽出</t>
  </si>
  <si>
    <t xml:space="preserve">導入難易度</t>
  </si>
  <si>
    <t xml:space="preserve">抽出回数</t>
  </si>
  <si>
    <t xml:space="preserve">採用</t>
  </si>
  <si>
    <t xml:space="preserve">推奨優先度</t>
  </si>
  <si>
    <r>
      <rPr>
        <b val="true"/>
        <sz val="10"/>
        <color rgb="FFFFFFFF"/>
        <rFont val="Noto Sans CJK SC"/>
        <family val="2"/>
      </rPr>
      <t xml:space="preserve">調整優先度</t>
    </r>
    <r>
      <rPr>
        <b val="true"/>
        <sz val="10"/>
        <color rgb="FFFFFFFF"/>
        <rFont val="Yu Gothic"/>
        <family val="0"/>
        <charset val="1"/>
      </rPr>
      <t xml:space="preserve">(</t>
    </r>
    <r>
      <rPr>
        <b val="true"/>
        <sz val="10"/>
        <color rgb="FFFFFFFF"/>
        <rFont val="Noto Sans CJK SC"/>
        <family val="2"/>
      </rPr>
      <t xml:space="preserve">内部</t>
    </r>
    <r>
      <rPr>
        <b val="true"/>
        <sz val="10"/>
        <color rgb="FFFFFFFF"/>
        <rFont val="Yu Gothic"/>
        <family val="0"/>
        <charset val="1"/>
      </rPr>
      <t xml:space="preserve">)</t>
    </r>
  </si>
  <si>
    <r>
      <rPr>
        <b val="true"/>
        <sz val="10"/>
        <color rgb="FFFFFFFF"/>
        <rFont val="Noto Sans CJK SC"/>
        <family val="2"/>
      </rPr>
      <t xml:space="preserve">区分内順位</t>
    </r>
    <r>
      <rPr>
        <b val="true"/>
        <sz val="10"/>
        <color rgb="FFFFFFFF"/>
        <rFont val="Yu Gothic"/>
        <family val="0"/>
        <charset val="1"/>
      </rPr>
      <t xml:space="preserve">(</t>
    </r>
    <r>
      <rPr>
        <b val="true"/>
        <sz val="10"/>
        <color rgb="FFFFFFFF"/>
        <rFont val="Noto Sans CJK SC"/>
        <family val="2"/>
      </rPr>
      <t xml:space="preserve">内部</t>
    </r>
    <r>
      <rPr>
        <b val="true"/>
        <sz val="10"/>
        <color rgb="FFFFFFFF"/>
        <rFont val="Yu Gothic"/>
        <family val="0"/>
        <charset val="1"/>
      </rPr>
      <t xml:space="preserve">)</t>
    </r>
  </si>
  <si>
    <r>
      <rPr>
        <b val="true"/>
        <sz val="10"/>
        <color rgb="FFFFFFFF"/>
        <rFont val="Noto Sans CJK SC"/>
        <family val="2"/>
      </rPr>
      <t xml:space="preserve">順位キー</t>
    </r>
    <r>
      <rPr>
        <b val="true"/>
        <sz val="10"/>
        <color rgb="FFFFFFFF"/>
        <rFont val="Yu Gothic"/>
        <family val="0"/>
        <charset val="1"/>
      </rPr>
      <t xml:space="preserve">(</t>
    </r>
    <r>
      <rPr>
        <b val="true"/>
        <sz val="10"/>
        <color rgb="FFFFFFFF"/>
        <rFont val="Noto Sans CJK SC"/>
        <family val="2"/>
      </rPr>
      <t xml:space="preserve">内部</t>
    </r>
    <r>
      <rPr>
        <b val="true"/>
        <sz val="10"/>
        <color rgb="FFFFFFFF"/>
        <rFont val="Yu Gothic"/>
        <family val="0"/>
        <charset val="1"/>
      </rPr>
      <t xml:space="preserve">)</t>
    </r>
  </si>
  <si>
    <r>
      <rPr>
        <b val="true"/>
        <sz val="11"/>
        <color rgb="FF1F4E79"/>
        <rFont val="Noto Sans CJK SC"/>
        <family val="2"/>
      </rPr>
      <t xml:space="preserve">短期 </t>
    </r>
    <r>
      <rPr>
        <b val="true"/>
        <sz val="11"/>
        <color rgb="FF1F4E79"/>
        <rFont val="Yu Gothic"/>
        <family val="0"/>
        <charset val="1"/>
      </rPr>
      <t xml:space="preserve">Top5</t>
    </r>
    <r>
      <rPr>
        <b val="true"/>
        <sz val="11"/>
        <color rgb="FF1F4E79"/>
        <rFont val="Noto Sans CJK SC"/>
        <family val="2"/>
      </rPr>
      <t xml:space="preserve">（〜</t>
    </r>
    <r>
      <rPr>
        <b val="true"/>
        <sz val="11"/>
        <color rgb="FF1F4E79"/>
        <rFont val="Yu Gothic"/>
        <family val="0"/>
        <charset val="1"/>
      </rPr>
      <t xml:space="preserve">6</t>
    </r>
    <r>
      <rPr>
        <b val="true"/>
        <sz val="11"/>
        <color rgb="FF1F4E79"/>
        <rFont val="Noto Sans CJK SC"/>
        <family val="2"/>
      </rPr>
      <t xml:space="preserve">か月）</t>
    </r>
  </si>
  <si>
    <r>
      <rPr>
        <b val="true"/>
        <sz val="11"/>
        <color rgb="FF1F4E79"/>
        <rFont val="Noto Sans CJK SC"/>
        <family val="2"/>
      </rPr>
      <t xml:space="preserve">中期 </t>
    </r>
    <r>
      <rPr>
        <b val="true"/>
        <sz val="11"/>
        <color rgb="FF1F4E79"/>
        <rFont val="Yu Gothic"/>
        <family val="0"/>
        <charset val="1"/>
      </rPr>
      <t xml:space="preserve">Top5</t>
    </r>
    <r>
      <rPr>
        <b val="true"/>
        <sz val="11"/>
        <color rgb="FF1F4E79"/>
        <rFont val="Noto Sans CJK SC"/>
        <family val="2"/>
      </rPr>
      <t xml:space="preserve">（</t>
    </r>
    <r>
      <rPr>
        <b val="true"/>
        <sz val="11"/>
        <color rgb="FF1F4E79"/>
        <rFont val="Yu Gothic"/>
        <family val="0"/>
        <charset val="1"/>
      </rPr>
      <t xml:space="preserve">6</t>
    </r>
    <r>
      <rPr>
        <b val="true"/>
        <sz val="11"/>
        <color rgb="FF1F4E79"/>
        <rFont val="Noto Sans CJK SC"/>
        <family val="2"/>
      </rPr>
      <t xml:space="preserve">〜</t>
    </r>
    <r>
      <rPr>
        <b val="true"/>
        <sz val="11"/>
        <color rgb="FF1F4E79"/>
        <rFont val="Yu Gothic"/>
        <family val="0"/>
        <charset val="1"/>
      </rPr>
      <t xml:space="preserve">18</t>
    </r>
    <r>
      <rPr>
        <b val="true"/>
        <sz val="11"/>
        <color rgb="FF1F4E79"/>
        <rFont val="Noto Sans CJK SC"/>
        <family val="2"/>
      </rPr>
      <t xml:space="preserve">か月）</t>
    </r>
  </si>
  <si>
    <r>
      <rPr>
        <b val="true"/>
        <sz val="11"/>
        <color rgb="FF1F4E79"/>
        <rFont val="Noto Sans CJK SC"/>
        <family val="2"/>
      </rPr>
      <t xml:space="preserve">長期 </t>
    </r>
    <r>
      <rPr>
        <b val="true"/>
        <sz val="11"/>
        <color rgb="FF1F4E79"/>
        <rFont val="Yu Gothic"/>
        <family val="0"/>
        <charset val="1"/>
      </rPr>
      <t xml:space="preserve">Top5</t>
    </r>
    <r>
      <rPr>
        <b val="true"/>
        <sz val="11"/>
        <color rgb="FF1F4E79"/>
        <rFont val="Noto Sans CJK SC"/>
        <family val="2"/>
      </rPr>
      <t xml:space="preserve">（</t>
    </r>
    <r>
      <rPr>
        <b val="true"/>
        <sz val="11"/>
        <color rgb="FF1F4E79"/>
        <rFont val="Yu Gothic"/>
        <family val="0"/>
        <charset val="1"/>
      </rPr>
      <t xml:space="preserve">18</t>
    </r>
    <r>
      <rPr>
        <b val="true"/>
        <sz val="11"/>
        <color rgb="FF1F4E79"/>
        <rFont val="Noto Sans CJK SC"/>
        <family val="2"/>
      </rPr>
      <t xml:space="preserve">か月〜）</t>
    </r>
  </si>
  <si>
    <t xml:space="preserve">順位</t>
  </si>
  <si>
    <r>
      <rPr>
        <b val="true"/>
        <sz val="10"/>
        <color rgb="FFFFFFFF"/>
        <rFont val="Yu Gothic"/>
        <family val="0"/>
        <charset val="1"/>
      </rPr>
      <t xml:space="preserve">AIMF</t>
    </r>
    <r>
      <rPr>
        <b val="true"/>
        <sz val="10"/>
        <color rgb="FFFFFFFF"/>
        <rFont val="Noto Sans CJK SC"/>
        <family val="2"/>
      </rPr>
      <t xml:space="preserve">区分</t>
    </r>
  </si>
  <si>
    <r>
      <rPr>
        <b val="true"/>
        <sz val="10"/>
        <color rgb="FFFFFFFF"/>
        <rFont val="Yu Gothic"/>
        <family val="0"/>
        <charset val="1"/>
      </rPr>
      <t xml:space="preserve">(</t>
    </r>
    <r>
      <rPr>
        <b val="true"/>
        <sz val="10"/>
        <color rgb="FFFFFFFF"/>
        <rFont val="Noto Sans CJK SC"/>
        <family val="2"/>
      </rPr>
      <t xml:space="preserve">内部</t>
    </r>
    <r>
      <rPr>
        <b val="true"/>
        <sz val="10"/>
        <color rgb="FFFFFFFF"/>
        <rFont val="Yu Gothic"/>
        <family val="0"/>
        <charset val="1"/>
      </rPr>
      <t xml:space="preserve">)</t>
    </r>
    <r>
      <rPr>
        <b val="true"/>
        <sz val="10"/>
        <color rgb="FFFFFFFF"/>
        <rFont val="Noto Sans CJK SC"/>
        <family val="2"/>
      </rPr>
      <t xml:space="preserve">区分</t>
    </r>
  </si>
  <si>
    <r>
      <rPr>
        <b val="true"/>
        <sz val="10"/>
        <color rgb="FFFFFFFF"/>
        <rFont val="Yu Gothic"/>
        <family val="0"/>
        <charset val="1"/>
      </rPr>
      <t xml:space="preserve">(</t>
    </r>
    <r>
      <rPr>
        <b val="true"/>
        <sz val="10"/>
        <color rgb="FFFFFFFF"/>
        <rFont val="Noto Sans CJK SC"/>
        <family val="2"/>
      </rPr>
      <t xml:space="preserve">内部</t>
    </r>
    <r>
      <rPr>
        <b val="true"/>
        <sz val="10"/>
        <color rgb="FFFFFFFF"/>
        <rFont val="Yu Gothic"/>
        <family val="0"/>
        <charset val="1"/>
      </rPr>
      <t xml:space="preserve">)</t>
    </r>
    <r>
      <rPr>
        <b val="true"/>
        <sz val="10"/>
        <color rgb="FFFFFFFF"/>
        <rFont val="Noto Sans CJK SC"/>
        <family val="2"/>
      </rPr>
      <t xml:space="preserve">順位</t>
    </r>
  </si>
  <si>
    <t xml:space="preserve">依存採用</t>
  </si>
  <si>
    <t xml:space="preserve">開始月</t>
  </si>
  <si>
    <t xml:space="preserve">終了月</t>
  </si>
  <si>
    <r>
      <rPr>
        <b val="true"/>
        <sz val="9"/>
        <color rgb="FFFFFFFF"/>
        <rFont val="Noto Sans CJK SC"/>
        <family val="2"/>
      </rPr>
      <t xml:space="preserve">施策</t>
    </r>
    <r>
      <rPr>
        <b val="true"/>
        <sz val="9"/>
        <color rgb="FFFFFFFF"/>
        <rFont val="Yu Gothic"/>
        <family val="0"/>
        <charset val="1"/>
      </rPr>
      <t xml:space="preserve">ID</t>
    </r>
  </si>
  <si>
    <t xml:space="preserve">Q1</t>
  </si>
  <si>
    <t xml:space="preserve">Q2</t>
  </si>
  <si>
    <t xml:space="preserve">Q3</t>
  </si>
  <si>
    <t xml:space="preserve">Q4</t>
  </si>
  <si>
    <t xml:space="preserve">Q5</t>
  </si>
  <si>
    <t xml:space="preserve">Q6</t>
  </si>
  <si>
    <t xml:space="preserve">Q7</t>
  </si>
  <si>
    <t xml:space="preserve">Q8</t>
  </si>
  <si>
    <t xml:space="preserve">Q9</t>
  </si>
  <si>
    <t xml:space="preserve">Q10</t>
  </si>
  <si>
    <t xml:space="preserve">Q11</t>
  </si>
  <si>
    <t xml:space="preserve">Q12</t>
  </si>
  <si>
    <t xml:space="preserve">月 →</t>
  </si>
  <si>
    <r>
      <rPr>
        <b val="true"/>
        <sz val="15"/>
        <color rgb="FF1F4E79"/>
        <rFont val="Yu Gothic"/>
        <family val="0"/>
        <charset val="1"/>
      </rPr>
      <t xml:space="preserve">AIMF v0.1</t>
    </r>
    <r>
      <rPr>
        <b val="true"/>
        <sz val="15"/>
        <color rgb="FF1F4E79"/>
        <rFont val="Noto Sans CJK SC"/>
        <family val="2"/>
      </rPr>
      <t xml:space="preserve">（</t>
    </r>
    <r>
      <rPr>
        <b val="true"/>
        <sz val="15"/>
        <color rgb="FF1F4E79"/>
        <rFont val="Yu Gothic"/>
        <family val="0"/>
        <charset val="1"/>
      </rPr>
      <t xml:space="preserve">β</t>
    </r>
    <r>
      <rPr>
        <b val="true"/>
        <sz val="15"/>
        <color rgb="FF1F4E79"/>
        <rFont val="Noto Sans CJK SC"/>
        <family val="2"/>
      </rPr>
      <t xml:space="preserve">版）成熟度ダッシュボード</t>
    </r>
  </si>
  <si>
    <r>
      <rPr>
        <b val="true"/>
        <sz val="12"/>
        <color rgb="FF1F4E79"/>
        <rFont val="Noto Sans CJK SC"/>
        <family val="2"/>
      </rPr>
      <t xml:space="preserve">■ 回答進捗（適用対象ベース：</t>
    </r>
    <r>
      <rPr>
        <b val="true"/>
        <sz val="12"/>
        <color rgb="FF1F4E79"/>
        <rFont val="Yu Gothic"/>
        <family val="0"/>
        <charset val="1"/>
      </rPr>
      <t xml:space="preserve">AI</t>
    </r>
    <r>
      <rPr>
        <b val="true"/>
        <sz val="12"/>
        <color rgb="FF1F4E79"/>
        <rFont val="Noto Sans CJK SC"/>
        <family val="2"/>
      </rPr>
      <t xml:space="preserve">利用プロファイルにより対象外は分母から自動除外）</t>
    </r>
  </si>
  <si>
    <t xml:space="preserve">適用対象数</t>
  </si>
  <si>
    <t xml:space="preserve">対象外数</t>
  </si>
  <si>
    <t xml:space="preserve">回答済み</t>
  </si>
  <si>
    <t xml:space="preserve">進捗率</t>
  </si>
  <si>
    <t xml:space="preserve">うちベースライン回答済み</t>
  </si>
  <si>
    <t xml:space="preserve">うち拡張回答済み</t>
  </si>
  <si>
    <r>
      <rPr>
        <b val="true"/>
        <sz val="12"/>
        <color rgb="FF1F4E79"/>
        <rFont val="Noto Sans CJK SC"/>
        <family val="2"/>
      </rPr>
      <t xml:space="preserve">■ 区分別成熟度（</t>
    </r>
    <r>
      <rPr>
        <b val="true"/>
        <sz val="12"/>
        <color rgb="FF1F4E79"/>
        <rFont val="Yu Gothic"/>
        <family val="0"/>
        <charset val="1"/>
      </rPr>
      <t xml:space="preserve">NIST CSF 2.0</t>
    </r>
    <r>
      <rPr>
        <b val="true"/>
        <sz val="12"/>
        <color rgb="FF1F4E79"/>
        <rFont val="Noto Sans CJK SC"/>
        <family val="2"/>
      </rPr>
      <t xml:space="preserve">の</t>
    </r>
    <r>
      <rPr>
        <b val="true"/>
        <sz val="12"/>
        <color rgb="FF1F4E79"/>
        <rFont val="Yu Gothic"/>
        <family val="0"/>
        <charset val="1"/>
      </rPr>
      <t xml:space="preserve">6</t>
    </r>
    <r>
      <rPr>
        <b val="true"/>
        <sz val="12"/>
        <color rgb="FF1F4E79"/>
        <rFont val="Noto Sans CJK SC"/>
        <family val="2"/>
      </rPr>
      <t xml:space="preserve">機能）</t>
    </r>
  </si>
  <si>
    <t xml:space="preserve">適用設問数</t>
  </si>
  <si>
    <t xml:space="preserve">現状平均</t>
  </si>
  <si>
    <t xml:space="preserve">目標平均</t>
  </si>
  <si>
    <t xml:space="preserve">ギャップ平均</t>
  </si>
  <si>
    <t xml:space="preserve">達成率</t>
  </si>
  <si>
    <t xml:space="preserve">採用施策数</t>
  </si>
  <si>
    <r>
      <rPr>
        <b val="true"/>
        <sz val="12"/>
        <color rgb="FF1F4E79"/>
        <rFont val="Yu Gothic"/>
        <family val="0"/>
        <charset val="1"/>
      </rPr>
      <t xml:space="preserve">■ control-type</t>
    </r>
    <r>
      <rPr>
        <b val="true"/>
        <sz val="12"/>
        <color rgb="FF1F4E79"/>
        <rFont val="Noto Sans CJK SC"/>
        <family val="2"/>
      </rPr>
      <t xml:space="preserve">別（未実装の性質を区別：</t>
    </r>
    <r>
      <rPr>
        <b val="true"/>
        <sz val="12"/>
        <color rgb="FF1F4E79"/>
        <rFont val="Yu Gothic"/>
        <family val="0"/>
        <charset val="1"/>
      </rPr>
      <t xml:space="preserve">Enhancement=</t>
    </r>
    <r>
      <rPr>
        <b val="true"/>
        <sz val="12"/>
        <color rgb="FF1F4E79"/>
        <rFont val="Noto Sans CJK SC"/>
        <family val="2"/>
      </rPr>
      <t xml:space="preserve">既存運用の適用漏れ／</t>
    </r>
    <r>
      <rPr>
        <b val="true"/>
        <sz val="12"/>
        <color rgb="FF1F4E79"/>
        <rFont val="Yu Gothic"/>
        <family val="0"/>
        <charset val="1"/>
      </rPr>
      <t xml:space="preserve">Expansion=AI</t>
    </r>
    <r>
      <rPr>
        <b val="true"/>
        <sz val="12"/>
        <color rgb="FF1F4E79"/>
        <rFont val="Noto Sans CJK SC"/>
        <family val="2"/>
      </rPr>
      <t xml:space="preserve">固有統制の未整備）</t>
    </r>
  </si>
  <si>
    <t xml:space="preserve">解釈</t>
  </si>
  <si>
    <r>
      <rPr>
        <sz val="10"/>
        <rFont val="Yu Gothic"/>
        <family val="0"/>
        <charset val="1"/>
      </rPr>
      <t xml:space="preserve">AI</t>
    </r>
    <r>
      <rPr>
        <sz val="10"/>
        <rFont val="Noto Sans CJK SC"/>
        <family val="2"/>
      </rPr>
      <t xml:space="preserve">特有の新設統制。低い場合は</t>
    </r>
    <r>
      <rPr>
        <sz val="10"/>
        <rFont val="Yu Gothic"/>
        <family val="0"/>
        <charset val="1"/>
      </rPr>
      <t xml:space="preserve">AI</t>
    </r>
    <r>
      <rPr>
        <sz val="10"/>
        <rFont val="Noto Sans CJK SC"/>
        <family val="2"/>
      </rPr>
      <t xml:space="preserve">固有統制が未整備 → 新規の設計・体制整備が必要</t>
    </r>
  </si>
  <si>
    <r>
      <rPr>
        <sz val="10"/>
        <rFont val="Noto Sans CJK SC"/>
        <family val="2"/>
      </rPr>
      <t xml:space="preserve">既存統制の</t>
    </r>
    <r>
      <rPr>
        <sz val="10"/>
        <rFont val="Yu Gothic"/>
        <family val="0"/>
        <charset val="1"/>
      </rPr>
      <t xml:space="preserve">AI</t>
    </r>
    <r>
      <rPr>
        <sz val="10"/>
        <rFont val="Noto Sans CJK SC"/>
        <family val="2"/>
      </rPr>
      <t xml:space="preserve">拡張。低い場合は既存セキュリティ運用の適用漏れ → 既存</t>
    </r>
    <r>
      <rPr>
        <sz val="10"/>
        <rFont val="Yu Gothic"/>
        <family val="0"/>
        <charset val="1"/>
      </rPr>
      <t xml:space="preserve">ISMS</t>
    </r>
    <r>
      <rPr>
        <sz val="10"/>
        <rFont val="Noto Sans CJK SC"/>
        <family val="2"/>
      </rPr>
      <t xml:space="preserve">への追補で対応可</t>
    </r>
  </si>
  <si>
    <r>
      <rPr>
        <b val="true"/>
        <sz val="12"/>
        <color rgb="FF1F4E79"/>
        <rFont val="Yu Gothic"/>
        <family val="0"/>
        <charset val="1"/>
      </rPr>
      <t xml:space="preserve">■ AI</t>
    </r>
    <r>
      <rPr>
        <b val="true"/>
        <sz val="12"/>
        <color rgb="FF1F4E79"/>
        <rFont val="Noto Sans CJK SC"/>
        <family val="2"/>
      </rPr>
      <t xml:space="preserve">類型別レディネス（各類型に適用される設問＝類型固有＋</t>
    </r>
    <r>
      <rPr>
        <b val="true"/>
        <sz val="12"/>
        <color rgb="FF1F4E79"/>
        <rFont val="Yu Gothic"/>
        <family val="0"/>
        <charset val="1"/>
      </rPr>
      <t xml:space="preserve">all </t>
    </r>
    <r>
      <rPr>
        <b val="true"/>
        <sz val="12"/>
        <color rgb="FF1F4E79"/>
        <rFont val="Noto Sans CJK SC"/>
        <family val="2"/>
      </rPr>
      <t xml:space="preserve">の現状平均）</t>
    </r>
  </si>
  <si>
    <r>
      <rPr>
        <b val="true"/>
        <sz val="10"/>
        <color rgb="FFFFFFFF"/>
        <rFont val="Yu Gothic"/>
        <family val="0"/>
        <charset val="1"/>
      </rPr>
      <t xml:space="preserve">AI</t>
    </r>
    <r>
      <rPr>
        <b val="true"/>
        <sz val="10"/>
        <color rgb="FFFFFFFF"/>
        <rFont val="Noto Sans CJK SC"/>
        <family val="2"/>
      </rPr>
      <t xml:space="preserve">類型</t>
    </r>
  </si>
  <si>
    <t xml:space="preserve">利用</t>
  </si>
  <si>
    <t xml:space="preserve">対象設問数</t>
  </si>
  <si>
    <r>
      <rPr>
        <b val="true"/>
        <sz val="10"/>
        <rFont val="Noto Sans CJK SC"/>
        <family val="2"/>
      </rPr>
      <t xml:space="preserve">従来型</t>
    </r>
    <r>
      <rPr>
        <b val="true"/>
        <sz val="10"/>
        <rFont val="Yu Gothic"/>
        <family val="0"/>
        <charset val="1"/>
      </rPr>
      <t xml:space="preserve">AI</t>
    </r>
  </si>
  <si>
    <r>
      <rPr>
        <b val="true"/>
        <sz val="10"/>
        <rFont val="Noto Sans CJK SC"/>
        <family val="2"/>
      </rPr>
      <t xml:space="preserve">生成</t>
    </r>
    <r>
      <rPr>
        <b val="true"/>
        <sz val="10"/>
        <rFont val="Yu Gothic"/>
        <family val="0"/>
        <charset val="1"/>
      </rPr>
      <t xml:space="preserve">AI</t>
    </r>
    <r>
      <rPr>
        <b val="true"/>
        <sz val="10"/>
        <rFont val="Noto Sans CJK SC"/>
        <family val="2"/>
      </rPr>
      <t xml:space="preserve">（</t>
    </r>
    <r>
      <rPr>
        <b val="true"/>
        <sz val="10"/>
        <rFont val="Yu Gothic"/>
        <family val="0"/>
        <charset val="1"/>
      </rPr>
      <t xml:space="preserve">LLM</t>
    </r>
    <r>
      <rPr>
        <b val="true"/>
        <sz val="10"/>
        <rFont val="Noto Sans CJK SC"/>
        <family val="2"/>
      </rPr>
      <t xml:space="preserve">・</t>
    </r>
    <r>
      <rPr>
        <b val="true"/>
        <sz val="10"/>
        <rFont val="Yu Gothic"/>
        <family val="0"/>
        <charset val="1"/>
      </rPr>
      <t xml:space="preserve">RAG</t>
    </r>
    <r>
      <rPr>
        <b val="true"/>
        <sz val="10"/>
        <rFont val="Noto Sans CJK SC"/>
        <family val="2"/>
      </rPr>
      <t xml:space="preserve">）</t>
    </r>
  </si>
  <si>
    <r>
      <rPr>
        <b val="true"/>
        <sz val="10"/>
        <rFont val="Yu Gothic"/>
        <family val="0"/>
        <charset val="1"/>
      </rPr>
      <t xml:space="preserve">AI</t>
    </r>
    <r>
      <rPr>
        <b val="true"/>
        <sz val="10"/>
        <rFont val="Noto Sans CJK SC"/>
        <family val="2"/>
      </rPr>
      <t xml:space="preserve">エージェント</t>
    </r>
  </si>
  <si>
    <t xml:space="preserve">マルチエージェント</t>
  </si>
  <si>
    <t xml:space="preserve">■ ロードマップ区分別 採用施策数</t>
  </si>
  <si>
    <r>
      <rPr>
        <b val="true"/>
        <sz val="12"/>
        <color rgb="FF1F4E79"/>
        <rFont val="Noto Sans CJK SC"/>
        <family val="2"/>
      </rPr>
      <t xml:space="preserve">■ カテゴリ別 平均ギャップ ワースト</t>
    </r>
    <r>
      <rPr>
        <b val="true"/>
        <sz val="12"/>
        <color rgb="FF1F4E79"/>
        <rFont val="Yu Gothic"/>
        <family val="0"/>
        <charset val="1"/>
      </rPr>
      <t xml:space="preserve">10</t>
    </r>
    <r>
      <rPr>
        <b val="true"/>
        <sz val="12"/>
        <color rgb="FF1F4E79"/>
        <rFont val="Noto Sans CJK SC"/>
        <family val="2"/>
      </rPr>
      <t xml:space="preserve">（優先的に底上げすべき領域）</t>
    </r>
  </si>
  <si>
    <t xml:space="preserve">（内部計算：カテゴリ別集計）</t>
  </si>
  <si>
    <t xml:space="preserve">カテゴリ名称</t>
  </si>
  <si>
    <t xml:space="preserve">平均ギャップ</t>
  </si>
  <si>
    <t xml:space="preserve">名称</t>
  </si>
  <si>
    <t xml:space="preserve">調整値</t>
  </si>
  <si>
    <t xml:space="preserve">ガバナンス・組織体制の確立と文化の醸成</t>
  </si>
  <si>
    <r>
      <rPr>
        <sz val="10"/>
        <rFont val="Yu Gothic"/>
        <family val="0"/>
        <charset val="1"/>
      </rPr>
      <t xml:space="preserve">AI</t>
    </r>
    <r>
      <rPr>
        <sz val="10"/>
        <rFont val="Noto Sans CJK SC"/>
        <family val="2"/>
      </rPr>
      <t xml:space="preserve">方針・規程体系</t>
    </r>
  </si>
  <si>
    <r>
      <rPr>
        <sz val="10"/>
        <rFont val="Yu Gothic"/>
        <family val="0"/>
        <charset val="1"/>
      </rPr>
      <t xml:space="preserve">AI</t>
    </r>
    <r>
      <rPr>
        <sz val="10"/>
        <rFont val="Noto Sans CJK SC"/>
        <family val="2"/>
      </rPr>
      <t xml:space="preserve">リスクマネジメント</t>
    </r>
  </si>
  <si>
    <t xml:space="preserve">法規制・コンプライアンス</t>
  </si>
  <si>
    <t xml:space="preserve">監査・保証・成熟度評価</t>
  </si>
  <si>
    <t xml:space="preserve">透明性・説明責任</t>
  </si>
  <si>
    <r>
      <rPr>
        <sz val="10"/>
        <rFont val="Yu Gothic"/>
        <family val="0"/>
        <charset val="1"/>
      </rPr>
      <t xml:space="preserve">AI</t>
    </r>
    <r>
      <rPr>
        <sz val="10"/>
        <rFont val="Noto Sans CJK SC"/>
        <family val="2"/>
      </rPr>
      <t xml:space="preserve">資産・コンテキスト・インフラの可視化と棚卸し</t>
    </r>
  </si>
  <si>
    <t xml:space="preserve">ユースケース・事業コンテキスト管理</t>
  </si>
  <si>
    <t xml:space="preserve">サプライチェーンリスク管理</t>
  </si>
  <si>
    <t xml:space="preserve">データガバナンス</t>
  </si>
  <si>
    <r>
      <rPr>
        <sz val="10"/>
        <rFont val="Yu Gothic"/>
        <family val="0"/>
        <charset val="1"/>
      </rPr>
      <t xml:space="preserve">AI</t>
    </r>
    <r>
      <rPr>
        <sz val="10"/>
        <rFont val="Noto Sans CJK SC"/>
        <family val="2"/>
      </rPr>
      <t xml:space="preserve">脅威分析・脅威インテリジェンス</t>
    </r>
  </si>
  <si>
    <r>
      <rPr>
        <b val="true"/>
        <sz val="12"/>
        <color rgb="FF1F4E79"/>
        <rFont val="Noto Sans CJK SC"/>
        <family val="2"/>
      </rPr>
      <t xml:space="preserve">■ 優先度スコア </t>
    </r>
    <r>
      <rPr>
        <b val="true"/>
        <sz val="12"/>
        <color rgb="FF1F4E79"/>
        <rFont val="Yu Gothic"/>
        <family val="0"/>
        <charset val="1"/>
      </rPr>
      <t xml:space="preserve">Top10 </t>
    </r>
    <r>
      <rPr>
        <b val="true"/>
        <sz val="12"/>
        <color rgb="FF1F4E79"/>
        <rFont val="Noto Sans CJK SC"/>
        <family val="2"/>
      </rPr>
      <t xml:space="preserve">課題</t>
    </r>
  </si>
  <si>
    <t xml:space="preserve">迅速な脆弱性対応・リスク判断フロー</t>
  </si>
  <si>
    <t xml:space="preserve">現状</t>
  </si>
  <si>
    <t xml:space="preserve">目標</t>
  </si>
  <si>
    <r>
      <rPr>
        <sz val="10"/>
        <rFont val="Yu Gothic"/>
        <family val="0"/>
        <charset val="1"/>
      </rPr>
      <t xml:space="preserve">AI</t>
    </r>
    <r>
      <rPr>
        <sz val="10"/>
        <rFont val="Noto Sans CJK SC"/>
        <family val="2"/>
      </rPr>
      <t xml:space="preserve">インフラ・ネットワークの要塞化</t>
    </r>
  </si>
  <si>
    <t xml:space="preserve">アイデンティティ・アクセス制御</t>
  </si>
  <si>
    <r>
      <rPr>
        <sz val="10"/>
        <rFont val="Yu Gothic"/>
        <family val="0"/>
        <charset val="1"/>
      </rPr>
      <t xml:space="preserve">AI</t>
    </r>
    <r>
      <rPr>
        <sz val="10"/>
        <rFont val="Noto Sans CJK SC"/>
        <family val="2"/>
      </rPr>
      <t xml:space="preserve">データ保護</t>
    </r>
  </si>
  <si>
    <t xml:space="preserve">モデルライフサイクル・成果物完全性</t>
  </si>
  <si>
    <t xml:space="preserve">プロアクティブなリスク評価・実戦演習</t>
  </si>
  <si>
    <t xml:space="preserve">ガードレール・出力統制</t>
  </si>
  <si>
    <t xml:space="preserve">エージェント・ツール接続セキュリティ</t>
  </si>
  <si>
    <t xml:space="preserve">人間による監督</t>
  </si>
  <si>
    <t xml:space="preserve">敵対的堅牢性</t>
  </si>
  <si>
    <r>
      <rPr>
        <sz val="10"/>
        <rFont val="Yu Gothic"/>
        <family val="0"/>
        <charset val="1"/>
      </rPr>
      <t xml:space="preserve">AI</t>
    </r>
    <r>
      <rPr>
        <sz val="10"/>
        <rFont val="Noto Sans CJK SC"/>
        <family val="2"/>
      </rPr>
      <t xml:space="preserve">時代に対応する既存セキュリティの強化</t>
    </r>
  </si>
  <si>
    <r>
      <rPr>
        <sz val="10"/>
        <rFont val="Noto Sans CJK SC"/>
        <family val="2"/>
      </rPr>
      <t xml:space="preserve">層別</t>
    </r>
    <r>
      <rPr>
        <sz val="10"/>
        <rFont val="Yu Gothic"/>
        <family val="0"/>
        <charset val="1"/>
      </rPr>
      <t xml:space="preserve">AI</t>
    </r>
    <r>
      <rPr>
        <sz val="10"/>
        <rFont val="Noto Sans CJK SC"/>
        <family val="2"/>
      </rPr>
      <t xml:space="preserve">セキュリティ教育</t>
    </r>
  </si>
  <si>
    <t xml:space="preserve">サプライチェーン脆弱性の継続的・動的検知</t>
  </si>
  <si>
    <t xml:space="preserve">意味論・入出力監視</t>
  </si>
  <si>
    <t xml:space="preserve">エージェント挙動・ツール実行の動的監視</t>
  </si>
  <si>
    <t xml:space="preserve">インフラ・データ・モデルの健全性監視</t>
  </si>
  <si>
    <r>
      <rPr>
        <sz val="10"/>
        <rFont val="Yu Gothic"/>
        <family val="0"/>
        <charset val="1"/>
      </rPr>
      <t xml:space="preserve">SOC</t>
    </r>
    <r>
      <rPr>
        <sz val="10"/>
        <rFont val="Noto Sans CJK SC"/>
        <family val="2"/>
      </rPr>
      <t xml:space="preserve">統合・検知運用</t>
    </r>
  </si>
  <si>
    <t xml:space="preserve">ログ・証跡基盤</t>
  </si>
  <si>
    <t xml:space="preserve">インシデントレスポンス体制の拡張と自動化</t>
  </si>
  <si>
    <t xml:space="preserve">封じ込め・隔離</t>
  </si>
  <si>
    <t xml:space="preserve">外部報告・ステークホルダー通知</t>
  </si>
  <si>
    <t xml:space="preserve">インシデント事後分析</t>
  </si>
  <si>
    <t xml:space="preserve">レジリエンスの最大化</t>
  </si>
  <si>
    <t xml:space="preserve">継続的改善</t>
  </si>
  <si>
    <t xml:space="preserve">モデル・データの安全な廃棄</t>
  </si>
  <si>
    <t xml:space="preserve">市販後モニタリング</t>
  </si>
  <si>
    <r>
      <rPr>
        <b val="true"/>
        <sz val="13"/>
        <color rgb="FF1F4E79"/>
        <rFont val="Yu Gothic"/>
        <family val="0"/>
        <charset val="1"/>
      </rPr>
      <t xml:space="preserve">PowerPoint</t>
    </r>
    <r>
      <rPr>
        <b val="true"/>
        <sz val="13"/>
        <color rgb="FF1F4E79"/>
        <rFont val="Noto Sans CJK SC"/>
        <family val="2"/>
      </rPr>
      <t xml:space="preserve">報告書 転記ガイド</t>
    </r>
  </si>
  <si>
    <t xml:space="preserve">スライド</t>
  </si>
  <si>
    <t xml:space="preserve">参照シート</t>
  </si>
  <si>
    <t xml:space="preserve">参照箇所</t>
  </si>
  <si>
    <r>
      <rPr>
        <sz val="10"/>
        <rFont val="Yu Gothic"/>
        <family val="0"/>
        <charset val="1"/>
      </rPr>
      <t xml:space="preserve">1. </t>
    </r>
    <r>
      <rPr>
        <sz val="10"/>
        <rFont val="Noto Sans CJK SC"/>
        <family val="2"/>
      </rPr>
      <t xml:space="preserve">エグゼクティブサマリー</t>
    </r>
  </si>
  <si>
    <t xml:space="preserve">回答進捗・区分別成熟度・採用施策数</t>
  </si>
  <si>
    <t xml:space="preserve">A3:F5 / A7:G14</t>
  </si>
  <si>
    <r>
      <rPr>
        <sz val="10"/>
        <rFont val="Yu Gothic"/>
        <family val="0"/>
        <charset val="1"/>
      </rPr>
      <t xml:space="preserve">2. </t>
    </r>
    <r>
      <rPr>
        <sz val="10"/>
        <rFont val="Noto Sans CJK SC"/>
        <family val="2"/>
      </rPr>
      <t xml:space="preserve">区分別レーダーチャート</t>
    </r>
  </si>
  <si>
    <r>
      <rPr>
        <sz val="10"/>
        <rFont val="Noto Sans CJK SC"/>
        <family val="2"/>
      </rPr>
      <t xml:space="preserve">現状 </t>
    </r>
    <r>
      <rPr>
        <sz val="10"/>
        <rFont val="Yu Gothic"/>
        <family val="0"/>
        <charset val="1"/>
      </rPr>
      <t xml:space="preserve">vs </t>
    </r>
    <r>
      <rPr>
        <sz val="10"/>
        <rFont val="Noto Sans CJK SC"/>
        <family val="2"/>
      </rPr>
      <t xml:space="preserve">目標の成熟度レーダー（</t>
    </r>
    <r>
      <rPr>
        <sz val="10"/>
        <rFont val="Yu Gothic"/>
        <family val="0"/>
        <charset val="1"/>
      </rPr>
      <t xml:space="preserve">6</t>
    </r>
    <r>
      <rPr>
        <sz val="10"/>
        <rFont val="Noto Sans CJK SC"/>
        <family val="2"/>
      </rPr>
      <t xml:space="preserve">区分）</t>
    </r>
  </si>
  <si>
    <r>
      <rPr>
        <sz val="10"/>
        <rFont val="Noto Sans CJK SC"/>
        <family val="2"/>
      </rPr>
      <t xml:space="preserve">レーダーチャート（</t>
    </r>
    <r>
      <rPr>
        <sz val="10"/>
        <rFont val="Yu Gothic"/>
        <family val="0"/>
        <charset val="1"/>
      </rPr>
      <t xml:space="preserve">H2</t>
    </r>
    <r>
      <rPr>
        <sz val="10"/>
        <rFont val="Noto Sans CJK SC"/>
        <family val="2"/>
      </rPr>
      <t xml:space="preserve">）</t>
    </r>
  </si>
  <si>
    <r>
      <rPr>
        <sz val="10"/>
        <rFont val="Yu Gothic"/>
        <family val="0"/>
        <charset val="1"/>
      </rPr>
      <t xml:space="preserve">3. control-type</t>
    </r>
    <r>
      <rPr>
        <sz val="10"/>
        <rFont val="Noto Sans CJK SC"/>
        <family val="2"/>
      </rPr>
      <t xml:space="preserve">分析</t>
    </r>
  </si>
  <si>
    <r>
      <rPr>
        <sz val="10"/>
        <rFont val="Yu Gothic"/>
        <family val="0"/>
        <charset val="1"/>
      </rPr>
      <t xml:space="preserve">AI</t>
    </r>
    <r>
      <rPr>
        <sz val="10"/>
        <rFont val="Noto Sans CJK SC"/>
        <family val="2"/>
      </rPr>
      <t xml:space="preserve">固有統制の未整備 </t>
    </r>
    <r>
      <rPr>
        <sz val="10"/>
        <rFont val="Yu Gothic"/>
        <family val="0"/>
        <charset val="1"/>
      </rPr>
      <t xml:space="preserve">vs </t>
    </r>
    <r>
      <rPr>
        <sz val="10"/>
        <rFont val="Noto Sans CJK SC"/>
        <family val="2"/>
      </rPr>
      <t xml:space="preserve">既存運用の適用漏れ</t>
    </r>
  </si>
  <si>
    <r>
      <rPr>
        <sz val="10"/>
        <rFont val="Yu Gothic"/>
        <family val="0"/>
        <charset val="1"/>
      </rPr>
      <t xml:space="preserve">A16:F19</t>
    </r>
    <r>
      <rPr>
        <sz val="10"/>
        <rFont val="Noto Sans CJK SC"/>
        <family val="2"/>
      </rPr>
      <t xml:space="preserve">＋棒グラフ</t>
    </r>
  </si>
  <si>
    <r>
      <rPr>
        <sz val="10"/>
        <rFont val="Yu Gothic"/>
        <family val="0"/>
        <charset val="1"/>
      </rPr>
      <t xml:space="preserve">4. AI</t>
    </r>
    <r>
      <rPr>
        <sz val="10"/>
        <rFont val="Noto Sans CJK SC"/>
        <family val="2"/>
      </rPr>
      <t xml:space="preserve">類型別レディネス</t>
    </r>
  </si>
  <si>
    <r>
      <rPr>
        <sz val="10"/>
        <rFont val="Noto Sans CJK SC"/>
        <family val="2"/>
      </rPr>
      <t xml:space="preserve">従来型</t>
    </r>
    <r>
      <rPr>
        <sz val="10"/>
        <rFont val="Yu Gothic"/>
        <family val="0"/>
        <charset val="1"/>
      </rPr>
      <t xml:space="preserve">AI</t>
    </r>
    <r>
      <rPr>
        <sz val="10"/>
        <rFont val="Noto Sans CJK SC"/>
        <family val="2"/>
      </rPr>
      <t xml:space="preserve">／生成</t>
    </r>
    <r>
      <rPr>
        <sz val="10"/>
        <rFont val="Yu Gothic"/>
        <family val="0"/>
        <charset val="1"/>
      </rPr>
      <t xml:space="preserve">AI</t>
    </r>
    <r>
      <rPr>
        <sz val="10"/>
        <rFont val="Noto Sans CJK SC"/>
        <family val="2"/>
      </rPr>
      <t xml:space="preserve">／エージェント／マルチの現状</t>
    </r>
  </si>
  <si>
    <r>
      <rPr>
        <sz val="10"/>
        <rFont val="Yu Gothic"/>
        <family val="0"/>
        <charset val="1"/>
      </rPr>
      <t xml:space="preserve">A21:E26</t>
    </r>
    <r>
      <rPr>
        <sz val="10"/>
        <rFont val="Noto Sans CJK SC"/>
        <family val="2"/>
      </rPr>
      <t xml:space="preserve">＋棒グラフ</t>
    </r>
  </si>
  <si>
    <r>
      <rPr>
        <sz val="10"/>
        <rFont val="Yu Gothic"/>
        <family val="0"/>
        <charset val="1"/>
      </rPr>
      <t xml:space="preserve">5. </t>
    </r>
    <r>
      <rPr>
        <sz val="10"/>
        <rFont val="Noto Sans CJK SC"/>
        <family val="2"/>
      </rPr>
      <t xml:space="preserve">重点改善領域</t>
    </r>
  </si>
  <si>
    <r>
      <rPr>
        <sz val="10"/>
        <rFont val="Noto Sans CJK SC"/>
        <family val="2"/>
      </rPr>
      <t xml:space="preserve">カテゴリ別ギャップ ワースト</t>
    </r>
    <r>
      <rPr>
        <sz val="10"/>
        <rFont val="Yu Gothic"/>
        <family val="0"/>
        <charset val="1"/>
      </rPr>
      <t xml:space="preserve">10</t>
    </r>
  </si>
  <si>
    <t xml:space="preserve">A34:F45</t>
  </si>
  <si>
    <r>
      <rPr>
        <sz val="10"/>
        <rFont val="Yu Gothic"/>
        <family val="0"/>
        <charset val="1"/>
      </rPr>
      <t xml:space="preserve">6. </t>
    </r>
    <r>
      <rPr>
        <sz val="10"/>
        <rFont val="Noto Sans CJK SC"/>
        <family val="2"/>
      </rPr>
      <t xml:space="preserve">優先課題</t>
    </r>
    <r>
      <rPr>
        <sz val="10"/>
        <rFont val="Yu Gothic"/>
        <family val="0"/>
        <charset val="1"/>
      </rPr>
      <t xml:space="preserve">Top10</t>
    </r>
  </si>
  <si>
    <t xml:space="preserve">優先度スコア上位の課題一覧</t>
  </si>
  <si>
    <t xml:space="preserve">A47:H58</t>
  </si>
  <si>
    <r>
      <rPr>
        <sz val="10"/>
        <rFont val="Yu Gothic"/>
        <family val="0"/>
        <charset val="1"/>
      </rPr>
      <t xml:space="preserve">7. </t>
    </r>
    <r>
      <rPr>
        <sz val="10"/>
        <rFont val="Noto Sans CJK SC"/>
        <family val="2"/>
      </rPr>
      <t xml:space="preserve">実行計画</t>
    </r>
  </si>
  <si>
    <r>
      <rPr>
        <sz val="10"/>
        <rFont val="Noto Sans CJK SC"/>
        <family val="2"/>
      </rPr>
      <t xml:space="preserve">短中長</t>
    </r>
    <r>
      <rPr>
        <sz val="10"/>
        <rFont val="Yu Gothic"/>
        <family val="0"/>
        <charset val="1"/>
      </rPr>
      <t xml:space="preserve">Top5</t>
    </r>
    <r>
      <rPr>
        <sz val="10"/>
        <rFont val="Noto Sans CJK SC"/>
        <family val="2"/>
      </rPr>
      <t xml:space="preserve">と区分別ロードマップ</t>
    </r>
  </si>
  <si>
    <r>
      <rPr>
        <sz val="10"/>
        <rFont val="Yu Gothic"/>
        <family val="0"/>
        <charset val="1"/>
      </rPr>
      <t xml:space="preserve">07_</t>
    </r>
    <r>
      <rPr>
        <sz val="10"/>
        <rFont val="Noto Sans CJK SC"/>
        <family val="2"/>
      </rPr>
      <t xml:space="preserve">短中長</t>
    </r>
    <r>
      <rPr>
        <sz val="10"/>
        <rFont val="Yu Gothic"/>
        <family val="0"/>
        <charset val="1"/>
      </rPr>
      <t xml:space="preserve">Top5 / 08_</t>
    </r>
    <r>
      <rPr>
        <sz val="10"/>
        <rFont val="Noto Sans CJK SC"/>
        <family val="2"/>
      </rPr>
      <t xml:space="preserve">ロードマップ</t>
    </r>
  </si>
  <si>
    <t xml:space="preserve">各シート全体</t>
  </si>
  <si>
    <r>
      <rPr>
        <sz val="10"/>
        <rFont val="Yu Gothic"/>
        <family val="0"/>
        <charset val="1"/>
      </rPr>
      <t xml:space="preserve">8. </t>
    </r>
    <r>
      <rPr>
        <sz val="10"/>
        <rFont val="Noto Sans CJK SC"/>
        <family val="2"/>
      </rPr>
      <t xml:space="preserve">スケジュール</t>
    </r>
  </si>
  <si>
    <r>
      <rPr>
        <sz val="10"/>
        <rFont val="Yu Gothic"/>
        <family val="0"/>
        <charset val="1"/>
      </rPr>
      <t xml:space="preserve">36</t>
    </r>
    <r>
      <rPr>
        <sz val="10"/>
        <rFont val="Noto Sans CJK SC"/>
        <family val="2"/>
      </rPr>
      <t xml:space="preserve">か月ガントチャート</t>
    </r>
  </si>
  <si>
    <r>
      <rPr>
        <sz val="10"/>
        <rFont val="Yu Gothic"/>
        <family val="0"/>
        <charset val="1"/>
      </rPr>
      <t xml:space="preserve">10_</t>
    </r>
    <r>
      <rPr>
        <sz val="10"/>
        <rFont val="Noto Sans CJK SC"/>
        <family val="2"/>
      </rPr>
      <t xml:space="preserve">ガントチャート</t>
    </r>
  </si>
  <si>
    <t xml:space="preserve">採用施策の行のみ抜粋</t>
  </si>
</sst>
</file>

<file path=xl/styles.xml><?xml version="1.0" encoding="utf-8"?>
<styleSheet xmlns="http://schemas.openxmlformats.org/spreadsheetml/2006/main">
  <numFmts count="5">
    <numFmt numFmtId="164" formatCode="General"/>
    <numFmt numFmtId="165" formatCode="0.0"/>
    <numFmt numFmtId="166" formatCode="General"/>
    <numFmt numFmtId="167" formatCode="0%"/>
    <numFmt numFmtId="168" formatCode="0.00"/>
  </numFmts>
  <fonts count="33">
    <font>
      <sz val="11"/>
      <color theme="1"/>
      <name val="Calibri"/>
      <family val="2"/>
      <charset val="1"/>
    </font>
    <font>
      <sz val="10"/>
      <name val="Arial"/>
      <family val="0"/>
    </font>
    <font>
      <sz val="10"/>
      <name val="Arial"/>
      <family val="0"/>
    </font>
    <font>
      <sz val="10"/>
      <name val="Arial"/>
      <family val="0"/>
    </font>
    <font>
      <b val="true"/>
      <sz val="14"/>
      <color rgb="FF1F4E79"/>
      <name val="Yu Gothic"/>
      <family val="0"/>
      <charset val="1"/>
    </font>
    <font>
      <b val="true"/>
      <sz val="14"/>
      <color rgb="FF1F4E79"/>
      <name val="Noto Sans CJK SC"/>
      <family val="2"/>
    </font>
    <font>
      <sz val="10"/>
      <name val="Yu Gothic"/>
      <family val="0"/>
      <charset val="1"/>
    </font>
    <font>
      <sz val="10"/>
      <name val="Noto Sans CJK SC"/>
      <family val="2"/>
    </font>
    <font>
      <b val="true"/>
      <sz val="11"/>
      <color rgb="FF1F4E79"/>
      <name val="Noto Sans CJK SC"/>
      <family val="2"/>
    </font>
    <font>
      <b val="true"/>
      <sz val="10"/>
      <name val="Noto Sans CJK SC"/>
      <family val="2"/>
    </font>
    <font>
      <b val="true"/>
      <sz val="10"/>
      <name val="Yu Gothic"/>
      <family val="0"/>
      <charset val="1"/>
    </font>
    <font>
      <b val="true"/>
      <sz val="11"/>
      <color rgb="FF1F4E79"/>
      <name val="Yu Gothic"/>
      <family val="0"/>
      <charset val="1"/>
    </font>
    <font>
      <b val="true"/>
      <sz val="10"/>
      <color rgb="FFFFFFFF"/>
      <name val="Noto Sans CJK SC"/>
      <family val="2"/>
    </font>
    <font>
      <b val="true"/>
      <sz val="10"/>
      <color rgb="FFFFFFFF"/>
      <name val="Yu Gothic"/>
      <family val="0"/>
      <charset val="1"/>
    </font>
    <font>
      <sz val="9"/>
      <name val="Yu Gothic"/>
      <family val="0"/>
      <charset val="1"/>
    </font>
    <font>
      <sz val="9"/>
      <name val="Noto Sans CJK SC"/>
      <family val="2"/>
    </font>
    <font>
      <sz val="10"/>
      <color rgb="FF0000FF"/>
      <name val="Yu Gothic"/>
      <family val="0"/>
      <charset val="1"/>
    </font>
    <font>
      <b val="true"/>
      <sz val="9"/>
      <color rgb="FFFFFFFF"/>
      <name val="Noto Sans CJK SC"/>
      <family val="2"/>
    </font>
    <font>
      <b val="true"/>
      <sz val="9"/>
      <color rgb="FFFFFFFF"/>
      <name val="Yu Gothic"/>
      <family val="0"/>
      <charset val="1"/>
    </font>
    <font>
      <b val="true"/>
      <sz val="8"/>
      <name val="Yu Gothic"/>
      <family val="0"/>
      <charset val="1"/>
    </font>
    <font>
      <b val="true"/>
      <sz val="8"/>
      <name val="Noto Sans CJK SC"/>
      <family val="2"/>
    </font>
    <font>
      <b val="true"/>
      <sz val="8"/>
      <color rgb="FFFFFFFF"/>
      <name val="Yu Gothic"/>
      <family val="0"/>
      <charset val="1"/>
    </font>
    <font>
      <sz val="8"/>
      <name val="Yu Gothic"/>
      <family val="0"/>
      <charset val="1"/>
    </font>
    <font>
      <b val="true"/>
      <sz val="15"/>
      <color rgb="FF1F4E79"/>
      <name val="Yu Gothic"/>
      <family val="0"/>
      <charset val="1"/>
    </font>
    <font>
      <b val="true"/>
      <sz val="15"/>
      <color rgb="FF1F4E79"/>
      <name val="Noto Sans CJK SC"/>
      <family val="2"/>
    </font>
    <font>
      <b val="true"/>
      <sz val="12"/>
      <color rgb="FF1F4E79"/>
      <name val="Noto Sans CJK SC"/>
      <family val="2"/>
    </font>
    <font>
      <b val="true"/>
      <sz val="12"/>
      <color rgb="FF1F4E79"/>
      <name val="Yu Gothic"/>
      <family val="0"/>
      <charset val="1"/>
    </font>
    <font>
      <sz val="9"/>
      <color rgb="FF808080"/>
      <name val="Noto Sans CJK SC"/>
      <family val="2"/>
    </font>
    <font>
      <b val="true"/>
      <sz val="18"/>
      <color rgb="FF000000"/>
      <name val="Noto Sans CJK SC"/>
      <family val="2"/>
    </font>
    <font>
      <b val="true"/>
      <sz val="18"/>
      <color rgb="FF000000"/>
      <name val="Calibri"/>
      <family val="2"/>
    </font>
    <font>
      <sz val="10"/>
      <color rgb="FF000000"/>
      <name val="Calibri"/>
      <family val="2"/>
    </font>
    <font>
      <b val="true"/>
      <sz val="13"/>
      <color rgb="FF1F4E79"/>
      <name val="Yu Gothic"/>
      <family val="0"/>
      <charset val="1"/>
    </font>
    <font>
      <b val="true"/>
      <sz val="13"/>
      <color rgb="FF1F4E79"/>
      <name val="Noto Sans CJK SC"/>
      <family val="2"/>
    </font>
  </fonts>
  <fills count="5">
    <fill>
      <patternFill patternType="none"/>
    </fill>
    <fill>
      <patternFill patternType="gray125"/>
    </fill>
    <fill>
      <patternFill patternType="solid">
        <fgColor rgb="FFD9E2F3"/>
        <bgColor rgb="FFE7E6E6"/>
      </patternFill>
    </fill>
    <fill>
      <patternFill patternType="solid">
        <fgColor rgb="FFFFF2CC"/>
        <bgColor rgb="FFF9F9F9"/>
      </patternFill>
    </fill>
    <fill>
      <patternFill patternType="solid">
        <fgColor rgb="FF1F4E79"/>
        <bgColor rgb="FF2E5F99"/>
      </patternFill>
    </fill>
  </fills>
  <borders count="2">
    <border diagonalUp="false" diagonalDown="false">
      <left/>
      <right/>
      <top/>
      <bottom/>
      <diagonal/>
    </border>
    <border diagonalUp="false" diagonalDown="false">
      <left style="thin">
        <color rgb="FFB0B7C0"/>
      </left>
      <right style="thin">
        <color rgb="FFB0B7C0"/>
      </right>
      <top style="thin">
        <color rgb="FFB0B7C0"/>
      </top>
      <bottom style="thin">
        <color rgb="FFB0B7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16" fillId="0" borderId="1" xfId="0" applyFont="true" applyBorder="true" applyAlignment="true" applyProtection="false">
      <alignment horizontal="center"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center" vertical="top" textRotation="0" wrapText="true" indent="0" shrinkToFit="false"/>
      <protection locked="true" hidden="false"/>
    </xf>
    <xf numFmtId="164" fontId="17" fillId="4"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4" borderId="1" xfId="0" applyFont="true" applyBorder="true" applyAlignment="true" applyProtection="false">
      <alignment horizontal="center" vertical="bottom" textRotation="0" wrapText="fals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center" vertical="top" textRotation="0" wrapText="true" indent="0" shrinkToFit="false"/>
      <protection locked="true" hidden="false"/>
    </xf>
    <xf numFmtId="164" fontId="22" fillId="0" borderId="1" xfId="0" applyFont="true" applyBorder="true" applyAlignment="true" applyProtection="false">
      <alignment horizontal="center" vertical="top"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center" vertical="center" textRotation="0" wrapText="true" indent="0" shrinkToFit="false"/>
      <protection locked="true" hidden="false"/>
    </xf>
    <xf numFmtId="167" fontId="6"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8" fontId="6" fillId="0" borderId="1" xfId="0" applyFont="true" applyBorder="true" applyAlignment="true" applyProtection="false">
      <alignment horizontal="center" vertical="center" textRotation="0" wrapText="tru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2EFDA"/>
        </patternFill>
      </fill>
    </dxf>
    <dxf>
      <fill>
        <patternFill>
          <bgColor rgb="FFE7E6E6"/>
        </patternFill>
      </fill>
    </dxf>
    <dxf>
      <font>
        <color rgb="FF3E6990"/>
      </font>
      <fill>
        <patternFill>
          <bgColor rgb="FF3E699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7C0"/>
      <rgbColor rgb="FF808080"/>
      <rgbColor rgb="FF9999FF"/>
      <rgbColor rgb="FFAB4744"/>
      <rgbColor rgb="FFFFF2CC"/>
      <rgbColor rgb="FFD9E2F3"/>
      <rgbColor rgb="FF660066"/>
      <rgbColor rgb="FFD09493"/>
      <rgbColor rgb="FF2E5F99"/>
      <rgbColor rgb="FFD9D9D9"/>
      <rgbColor rgb="FF000080"/>
      <rgbColor rgb="FFFF00FF"/>
      <rgbColor rgb="FFFFFF00"/>
      <rgbColor rgb="FF00FFFF"/>
      <rgbColor rgb="FF800080"/>
      <rgbColor rgb="FF800000"/>
      <rgbColor rgb="FF008080"/>
      <rgbColor rgb="FF0000FF"/>
      <rgbColor rgb="FF00CCFF"/>
      <rgbColor rgb="FFF9F9F9"/>
      <rgbColor rgb="FFE2EFDA"/>
      <rgbColor rgb="FFE7E6E6"/>
      <rgbColor rgb="FF99CCFF"/>
      <rgbColor rgb="FFFF99CC"/>
      <rgbColor rgb="FFCC99FF"/>
      <rgbColor rgb="FFFFCC99"/>
      <rgbColor rgb="FF397BCA"/>
      <rgbColor rgb="FF33CCCC"/>
      <rgbColor rgb="FF99CC00"/>
      <rgbColor rgb="FFFFCC00"/>
      <rgbColor rgb="FFFF9900"/>
      <rgbColor rgb="FFCE3A36"/>
      <rgbColor rgb="FF3E6990"/>
      <rgbColor rgb="FF878787"/>
      <rgbColor rgb="FF003366"/>
      <rgbColor rgb="FF4F81BD"/>
      <rgbColor rgb="FF003300"/>
      <rgbColor rgb="FF333300"/>
      <rgbColor rgb="FF9C2F2C"/>
      <rgbColor rgb="FFC0504D"/>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区分別成熟度（現状 vs 目標）</a:t>
            </a:r>
          </a:p>
        </c:rich>
      </c:tx>
      <c:overlay val="0"/>
      <c:spPr>
        <a:noFill/>
        <a:ln w="0">
          <a:noFill/>
        </a:ln>
      </c:spPr>
    </c:title>
    <c:autoTitleDeleted val="0"/>
    <c:plotArea>
      <c:radarChart>
        <c:radarStyle val="filled"/>
        <c:varyColors val="0"/>
        <c:ser>
          <c:idx val="0"/>
          <c:order val="0"/>
          <c:tx>
            <c:strRef>
              <c:f>11_ダッシュボード!C8</c:f>
              <c:strCache>
                <c:ptCount val="1"/>
                <c:pt idx="0">
                  <c:v>現状平均</c:v>
                </c:pt>
              </c:strCache>
            </c:strRef>
          </c:tx>
          <c:spPr>
            <a:gradFill>
              <a:gsLst>
                <a:gs pos="0">
                  <a:srgbClr val="2e5f99"/>
                </a:gs>
                <a:gs pos="80000">
                  <a:srgbClr val="3c7ac7"/>
                </a:gs>
                <a:gs pos="100000">
                  <a:srgbClr val="397bca"/>
                </a:gs>
              </a:gsLst>
              <a:lin ang="16200000"/>
            </a:gradFill>
            <a:ln w="0">
              <a:noFill/>
            </a:ln>
          </c:spP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11_ダッシュボード!$A$9:$A$14</c:f>
              <c:strCache>
                <c:ptCount val="6"/>
                <c:pt idx="0">
                  <c:v>GV</c:v>
                </c:pt>
                <c:pt idx="1">
                  <c:v>ID</c:v>
                </c:pt>
                <c:pt idx="2">
                  <c:v>PR</c:v>
                </c:pt>
                <c:pt idx="3">
                  <c:v>DE</c:v>
                </c:pt>
                <c:pt idx="4">
                  <c:v>RS</c:v>
                </c:pt>
                <c:pt idx="5">
                  <c:v>RC</c:v>
                </c:pt>
              </c:strCache>
            </c:strRef>
          </c:cat>
          <c:val>
            <c:numRef>
              <c:f>11_ダッシュボード!$C$9:$C$14</c:f>
              <c:numCache>
                <c:formatCode>0.00</c:formatCode>
                <c:ptCount val="6"/>
                <c:pt idx="0">
                  <c:v>0</c:v>
                </c:pt>
                <c:pt idx="1">
                  <c:v>0</c:v>
                </c:pt>
                <c:pt idx="2">
                  <c:v>0</c:v>
                </c:pt>
                <c:pt idx="3">
                  <c:v>0</c:v>
                </c:pt>
                <c:pt idx="4">
                  <c:v>0</c:v>
                </c:pt>
                <c:pt idx="5">
                  <c:v>0</c:v>
                </c:pt>
              </c:numCache>
            </c:numRef>
          </c:val>
        </c:ser>
        <c:ser>
          <c:idx val="1"/>
          <c:order val="1"/>
          <c:tx>
            <c:strRef>
              <c:f>11_ダッシュボード!D8</c:f>
              <c:strCache>
                <c:ptCount val="1"/>
                <c:pt idx="0">
                  <c:v>目標平均</c:v>
                </c:pt>
              </c:strCache>
            </c:strRef>
          </c:tx>
          <c:spPr>
            <a:gradFill>
              <a:gsLst>
                <a:gs pos="0">
                  <a:srgbClr val="9c2f2c"/>
                </a:gs>
                <a:gs pos="80000">
                  <a:srgbClr val="cb3d39"/>
                </a:gs>
                <a:gs pos="100000">
                  <a:srgbClr val="ce3a36"/>
                </a:gs>
              </a:gsLst>
              <a:lin ang="16200000"/>
            </a:gradFill>
            <a:ln w="0">
              <a:noFill/>
            </a:ln>
          </c:spP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11_ダッシュボード!$A$9:$A$14</c:f>
              <c:strCache>
                <c:ptCount val="6"/>
                <c:pt idx="0">
                  <c:v>GV</c:v>
                </c:pt>
                <c:pt idx="1">
                  <c:v>ID</c:v>
                </c:pt>
                <c:pt idx="2">
                  <c:v>PR</c:v>
                </c:pt>
                <c:pt idx="3">
                  <c:v>DE</c:v>
                </c:pt>
                <c:pt idx="4">
                  <c:v>RS</c:v>
                </c:pt>
                <c:pt idx="5">
                  <c:v>RC</c:v>
                </c:pt>
              </c:strCache>
            </c:strRef>
          </c:cat>
          <c:val>
            <c:numRef>
              <c:f>11_ダッシュボード!$D$9:$D$14</c:f>
              <c:numCache>
                <c:formatCode>0.00</c:formatCode>
                <c:ptCount val="6"/>
                <c:pt idx="0">
                  <c:v>3.39</c:v>
                </c:pt>
                <c:pt idx="1">
                  <c:v>3.28</c:v>
                </c:pt>
                <c:pt idx="2">
                  <c:v>3.35</c:v>
                </c:pt>
                <c:pt idx="3">
                  <c:v>3.25</c:v>
                </c:pt>
                <c:pt idx="4">
                  <c:v>3.3</c:v>
                </c:pt>
                <c:pt idx="5">
                  <c:v>3.56</c:v>
                </c:pt>
              </c:numCache>
            </c:numRef>
          </c:val>
        </c:ser>
        <c:axId val="12652031"/>
        <c:axId val="60809300"/>
      </c:radarChart>
      <c:catAx>
        <c:axId val="12652031"/>
        <c:scaling>
          <c:orientation val="maxMin"/>
        </c:scaling>
        <c:delete val="0"/>
        <c:axPos val="b"/>
        <c:numFmt formatCode="General" sourceLinked="1"/>
        <c:majorTickMark val="none"/>
        <c:minorTickMark val="none"/>
        <c:tickLblPos val="nextTo"/>
        <c:spPr>
          <a:ln w="9360">
            <a:noFill/>
          </a:ln>
        </c:spPr>
        <c:txPr>
          <a:bodyPr/>
          <a:lstStyle/>
          <a:p>
            <a:pPr>
              <a:defRPr b="0" sz="1000" spc="-1" strike="noStrike">
                <a:solidFill>
                  <a:srgbClr val="000000"/>
                </a:solidFill>
                <a:latin typeface="Calibri"/>
              </a:defRPr>
            </a:pPr>
          </a:p>
        </c:txPr>
        <c:crossAx val="60809300"/>
        <c:crosses val="autoZero"/>
        <c:auto val="1"/>
        <c:lblAlgn val="ctr"/>
        <c:lblOffset val="100"/>
        <c:noMultiLvlLbl val="0"/>
      </c:catAx>
      <c:valAx>
        <c:axId val="60809300"/>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652031"/>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control-type別（現状 vs 目標）</a:t>
            </a:r>
          </a:p>
        </c:rich>
      </c:tx>
      <c:overlay val="0"/>
      <c:spPr>
        <a:noFill/>
        <a:ln w="0">
          <a:noFill/>
        </a:ln>
      </c:spPr>
    </c:title>
    <c:autoTitleDeleted val="0"/>
    <c:plotArea>
      <c:barChart>
        <c:barDir val="col"/>
        <c:grouping val="clustered"/>
        <c:varyColors val="0"/>
        <c:ser>
          <c:idx val="0"/>
          <c:order val="0"/>
          <c:tx>
            <c:strRef>
              <c:f>11_ダッシュボード!C17</c:f>
              <c:strCache>
                <c:ptCount val="1"/>
                <c:pt idx="0">
                  <c:v>現状平均</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11_ダッシュボード!$A$18:$A$19</c:f>
              <c:strCache>
                <c:ptCount val="2"/>
                <c:pt idx="0">
                  <c:v>AI-Expansion</c:v>
                </c:pt>
                <c:pt idx="1">
                  <c:v>AI-Enhancement</c:v>
                </c:pt>
              </c:strCache>
            </c:strRef>
          </c:cat>
          <c:val>
            <c:numRef>
              <c:f>11_ダッシュボード!$C$18:$C$19</c:f>
              <c:numCache>
                <c:formatCode>0.00</c:formatCode>
                <c:ptCount val="2"/>
                <c:pt idx="0">
                  <c:v>0</c:v>
                </c:pt>
                <c:pt idx="1">
                  <c:v>0</c:v>
                </c:pt>
              </c:numCache>
            </c:numRef>
          </c:val>
        </c:ser>
        <c:ser>
          <c:idx val="1"/>
          <c:order val="1"/>
          <c:tx>
            <c:strRef>
              <c:f>11_ダッシュボード!D17</c:f>
              <c:strCache>
                <c:ptCount val="1"/>
                <c:pt idx="0">
                  <c:v>目標平均</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11_ダッシュボード!$A$18:$A$19</c:f>
              <c:strCache>
                <c:ptCount val="2"/>
                <c:pt idx="0">
                  <c:v>AI-Expansion</c:v>
                </c:pt>
                <c:pt idx="1">
                  <c:v>AI-Enhancement</c:v>
                </c:pt>
              </c:strCache>
            </c:strRef>
          </c:cat>
          <c:val>
            <c:numRef>
              <c:f>11_ダッシュボード!$D$18:$D$19</c:f>
              <c:numCache>
                <c:formatCode>0.00</c:formatCode>
                <c:ptCount val="2"/>
                <c:pt idx="0">
                  <c:v>3.3</c:v>
                </c:pt>
                <c:pt idx="1">
                  <c:v>3.39</c:v>
                </c:pt>
              </c:numCache>
            </c:numRef>
          </c:val>
        </c:ser>
        <c:gapWidth val="150"/>
        <c:overlap val="0"/>
        <c:axId val="92137031"/>
        <c:axId val="87789593"/>
      </c:barChart>
      <c:catAx>
        <c:axId val="9213703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789593"/>
        <c:crosses val="autoZero"/>
        <c:auto val="1"/>
        <c:lblAlgn val="ctr"/>
        <c:lblOffset val="100"/>
        <c:noMultiLvlLbl val="0"/>
      </c:catAx>
      <c:valAx>
        <c:axId val="87789593"/>
        <c:scaling>
          <c:orientation val="minMax"/>
          <c:max val="4"/>
          <c:min val="0"/>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13703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AI類型別レディネス（現状 vs 目標平均）</a:t>
            </a:r>
          </a:p>
        </c:rich>
      </c:tx>
      <c:overlay val="0"/>
      <c:spPr>
        <a:noFill/>
        <a:ln w="0">
          <a:noFill/>
        </a:ln>
      </c:spPr>
    </c:title>
    <c:autoTitleDeleted val="0"/>
    <c:plotArea>
      <c:barChart>
        <c:barDir val="col"/>
        <c:grouping val="clustered"/>
        <c:varyColors val="0"/>
        <c:ser>
          <c:idx val="0"/>
          <c:order val="0"/>
          <c:tx>
            <c:strRef>
              <c:f>11_ダッシュボード!D22</c:f>
              <c:strCache>
                <c:ptCount val="1"/>
                <c:pt idx="0">
                  <c:v>現状平均</c:v>
                </c:pt>
              </c:strCache>
            </c:strRef>
          </c:tx>
          <c:spPr>
            <a:solidFill>
              <a:srgbClr val="ab4744"/>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11_ダッシュボード!$A$23:$A$26</c:f>
              <c:strCache>
                <c:ptCount val="4"/>
                <c:pt idx="0">
                  <c:v>従来型AI</c:v>
                </c:pt>
                <c:pt idx="1">
                  <c:v>生成AI（LLM・RAG）</c:v>
                </c:pt>
                <c:pt idx="2">
                  <c:v>AIエージェント</c:v>
                </c:pt>
                <c:pt idx="3">
                  <c:v>マルチエージェント</c:v>
                </c:pt>
              </c:strCache>
            </c:strRef>
          </c:cat>
          <c:val>
            <c:numRef>
              <c:f>11_ダッシュボード!$D$23:$D$26</c:f>
              <c:numCache>
                <c:formatCode>0.00</c:formatCode>
                <c:ptCount val="4"/>
                <c:pt idx="0">
                  <c:v>0</c:v>
                </c:pt>
                <c:pt idx="1">
                  <c:v>0</c:v>
                </c:pt>
                <c:pt idx="2">
                  <c:v>0</c:v>
                </c:pt>
                <c:pt idx="3">
                  <c:v>0</c:v>
                </c:pt>
              </c:numCache>
            </c:numRef>
          </c:val>
        </c:ser>
        <c:ser>
          <c:idx val="1"/>
          <c:order val="1"/>
          <c:tx>
            <c:strRef>
              <c:f>11_ダッシュボード!E22</c:f>
              <c:strCache>
                <c:ptCount val="1"/>
                <c:pt idx="0">
                  <c:v>目標平均</c:v>
                </c:pt>
              </c:strCache>
            </c:strRef>
          </c:tx>
          <c:spPr>
            <a:solidFill>
              <a:srgbClr val="d09493"/>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11_ダッシュボード!$A$23:$A$26</c:f>
              <c:strCache>
                <c:ptCount val="4"/>
                <c:pt idx="0">
                  <c:v>従来型AI</c:v>
                </c:pt>
                <c:pt idx="1">
                  <c:v>生成AI（LLM・RAG）</c:v>
                </c:pt>
                <c:pt idx="2">
                  <c:v>AIエージェント</c:v>
                </c:pt>
                <c:pt idx="3">
                  <c:v>マルチエージェント</c:v>
                </c:pt>
              </c:strCache>
            </c:strRef>
          </c:cat>
          <c:val>
            <c:numRef>
              <c:f>11_ダッシュボード!$E$23:$E$26</c:f>
              <c:numCache>
                <c:formatCode>0.00</c:formatCode>
                <c:ptCount val="4"/>
                <c:pt idx="0">
                  <c:v>3.33</c:v>
                </c:pt>
                <c:pt idx="1">
                  <c:v>3.34</c:v>
                </c:pt>
                <c:pt idx="2">
                  <c:v>3.33</c:v>
                </c:pt>
                <c:pt idx="3">
                  <c:v>3.33</c:v>
                </c:pt>
              </c:numCache>
            </c:numRef>
          </c:val>
        </c:ser>
        <c:gapWidth val="150"/>
        <c:overlap val="0"/>
        <c:axId val="62252767"/>
        <c:axId val="72290762"/>
      </c:barChart>
      <c:catAx>
        <c:axId val="6225276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290762"/>
        <c:crosses val="autoZero"/>
        <c:auto val="1"/>
        <c:lblAlgn val="ctr"/>
        <c:lblOffset val="100"/>
        <c:noMultiLvlLbl val="0"/>
      </c:catAx>
      <c:valAx>
        <c:axId val="72290762"/>
        <c:scaling>
          <c:orientation val="minMax"/>
          <c:max val="4"/>
          <c:min val="0"/>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25276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0</xdr:row>
      <xdr:rowOff>190440</xdr:rowOff>
    </xdr:from>
    <xdr:to>
      <xdr:col>11</xdr:col>
      <xdr:colOff>1797480</xdr:colOff>
      <xdr:row>13</xdr:row>
      <xdr:rowOff>2160</xdr:rowOff>
    </xdr:to>
    <xdr:graphicFrame>
      <xdr:nvGraphicFramePr>
        <xdr:cNvPr id="0" name="Chart 1"/>
        <xdr:cNvGraphicFramePr/>
      </xdr:nvGraphicFramePr>
      <xdr:xfrm>
        <a:off x="7823880" y="190440"/>
        <a:ext cx="395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11</xdr:row>
      <xdr:rowOff>181080</xdr:rowOff>
    </xdr:from>
    <xdr:to>
      <xdr:col>20</xdr:col>
      <xdr:colOff>182160</xdr:colOff>
      <xdr:row>17</xdr:row>
      <xdr:rowOff>1067040</xdr:rowOff>
    </xdr:to>
    <xdr:graphicFrame>
      <xdr:nvGraphicFramePr>
        <xdr:cNvPr id="1" name="Chart 2"/>
        <xdr:cNvGraphicFramePr/>
      </xdr:nvGraphicFramePr>
      <xdr:xfrm>
        <a:off x="13980960" y="3048120"/>
        <a:ext cx="3239640" cy="23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17</xdr:row>
      <xdr:rowOff>1394280</xdr:rowOff>
    </xdr:from>
    <xdr:to>
      <xdr:col>20</xdr:col>
      <xdr:colOff>182160</xdr:colOff>
      <xdr:row>18</xdr:row>
      <xdr:rowOff>1374480</xdr:rowOff>
    </xdr:to>
    <xdr:graphicFrame>
      <xdr:nvGraphicFramePr>
        <xdr:cNvPr id="2" name="Chart 3"/>
        <xdr:cNvGraphicFramePr/>
      </xdr:nvGraphicFramePr>
      <xdr:xfrm>
        <a:off x="13980960" y="5715000"/>
        <a:ext cx="3239640" cy="23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8"/>
    <col collapsed="false" customWidth="true" hidden="false" outlineLevel="0" max="3" min="3" style="0" width="62"/>
  </cols>
  <sheetData>
    <row r="1" customFormat="false" ht="21.6"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2"/>
      <c r="B5" s="2"/>
      <c r="C5" s="2"/>
    </row>
    <row r="6" customFormat="false" ht="15" hidden="false" customHeight="false" outlineLevel="0" collapsed="false">
      <c r="A6" s="4" t="s">
        <v>3</v>
      </c>
      <c r="B6" s="2"/>
      <c r="C6" s="2"/>
    </row>
    <row r="7" customFormat="false" ht="15" hidden="false" customHeight="false" outlineLevel="0" collapsed="false">
      <c r="A7" s="5" t="s">
        <v>4</v>
      </c>
      <c r="B7" s="5" t="s">
        <v>5</v>
      </c>
      <c r="C7" s="5" t="s">
        <v>6</v>
      </c>
    </row>
    <row r="8" customFormat="false" ht="15" hidden="false" customHeight="false" outlineLevel="0" collapsed="false">
      <c r="A8" s="2" t="s">
        <v>7</v>
      </c>
      <c r="B8" s="2" t="s">
        <v>8</v>
      </c>
      <c r="C8" s="2" t="s">
        <v>9</v>
      </c>
    </row>
    <row r="9" customFormat="false" ht="15" hidden="false" customHeight="false" outlineLevel="0" collapsed="false">
      <c r="A9" s="2" t="s">
        <v>10</v>
      </c>
      <c r="B9" s="2" t="s">
        <v>11</v>
      </c>
      <c r="C9" s="3" t="s">
        <v>12</v>
      </c>
    </row>
    <row r="10" customFormat="false" ht="15" hidden="false" customHeight="false" outlineLevel="0" collapsed="false">
      <c r="A10" s="2" t="s">
        <v>13</v>
      </c>
      <c r="B10" s="3" t="s">
        <v>14</v>
      </c>
      <c r="C10" s="3" t="s">
        <v>15</v>
      </c>
    </row>
    <row r="11" customFormat="false" ht="15" hidden="false" customHeight="false" outlineLevel="0" collapsed="false">
      <c r="A11" s="2" t="s">
        <v>16</v>
      </c>
      <c r="B11" s="2" t="s">
        <v>17</v>
      </c>
      <c r="C11" s="3" t="s">
        <v>18</v>
      </c>
    </row>
    <row r="12" customFormat="false" ht="15" hidden="false" customHeight="false" outlineLevel="0" collapsed="false">
      <c r="A12" s="2" t="s">
        <v>19</v>
      </c>
      <c r="B12" s="2" t="s">
        <v>20</v>
      </c>
      <c r="C12" s="3" t="s">
        <v>21</v>
      </c>
    </row>
    <row r="13" customFormat="false" ht="15" hidden="false" customHeight="false" outlineLevel="0" collapsed="false">
      <c r="A13" s="2" t="s">
        <v>22</v>
      </c>
      <c r="B13" s="2" t="s">
        <v>23</v>
      </c>
      <c r="C13" s="3" t="s">
        <v>24</v>
      </c>
    </row>
    <row r="14" customFormat="false" ht="15" hidden="false" customHeight="false" outlineLevel="0" collapsed="false">
      <c r="A14" s="2" t="s">
        <v>25</v>
      </c>
      <c r="B14" s="2" t="s">
        <v>26</v>
      </c>
      <c r="C14" s="3" t="s">
        <v>27</v>
      </c>
    </row>
    <row r="15" customFormat="false" ht="15" hidden="false" customHeight="false" outlineLevel="0" collapsed="false">
      <c r="A15" s="2" t="s">
        <v>28</v>
      </c>
      <c r="B15" s="2" t="s">
        <v>29</v>
      </c>
      <c r="C15" s="3" t="s">
        <v>30</v>
      </c>
    </row>
    <row r="16" customFormat="false" ht="15" hidden="false" customHeight="false" outlineLevel="0" collapsed="false">
      <c r="A16" s="2"/>
      <c r="B16" s="2"/>
      <c r="C16" s="2"/>
    </row>
    <row r="17" customFormat="false" ht="15" hidden="false" customHeight="false" outlineLevel="0" collapsed="false">
      <c r="A17" s="4" t="s">
        <v>31</v>
      </c>
      <c r="B17" s="2"/>
      <c r="C17" s="2"/>
    </row>
    <row r="18" customFormat="false" ht="15" hidden="false" customHeight="false" outlineLevel="0" collapsed="false">
      <c r="A18" s="5" t="s">
        <v>32</v>
      </c>
      <c r="B18" s="5" t="s">
        <v>33</v>
      </c>
      <c r="C18" s="5" t="s">
        <v>34</v>
      </c>
    </row>
    <row r="19" customFormat="false" ht="15" hidden="false" customHeight="false" outlineLevel="0" collapsed="false">
      <c r="A19" s="3" t="s">
        <v>35</v>
      </c>
      <c r="B19" s="6" t="n">
        <v>40</v>
      </c>
      <c r="C19" s="3" t="s">
        <v>36</v>
      </c>
    </row>
    <row r="20" customFormat="false" ht="15" hidden="false" customHeight="false" outlineLevel="0" collapsed="false">
      <c r="A20" s="3" t="s">
        <v>37</v>
      </c>
      <c r="B20" s="6" t="n">
        <v>1</v>
      </c>
      <c r="C20" s="3" t="s">
        <v>38</v>
      </c>
    </row>
    <row r="21" customFormat="false" ht="15" hidden="false" customHeight="false" outlineLevel="0" collapsed="false">
      <c r="A21" s="3" t="s">
        <v>39</v>
      </c>
      <c r="B21" s="6" t="n">
        <v>7</v>
      </c>
      <c r="C21" s="3" t="s">
        <v>40</v>
      </c>
    </row>
    <row r="22" customFormat="false" ht="15" hidden="false" customHeight="false" outlineLevel="0" collapsed="false">
      <c r="A22" s="3" t="s">
        <v>41</v>
      </c>
      <c r="B22" s="6" t="n">
        <v>19</v>
      </c>
      <c r="C22" s="3" t="s">
        <v>42</v>
      </c>
    </row>
    <row r="23" customFormat="false" ht="17.15" hidden="false" customHeight="false" outlineLevel="0" collapsed="false">
      <c r="A23" s="7" t="s">
        <v>43</v>
      </c>
      <c r="B23" s="2"/>
      <c r="C23" s="3" t="s">
        <v>44</v>
      </c>
    </row>
    <row r="24" customFormat="false" ht="15" hidden="false" customHeight="false" outlineLevel="0" collapsed="false">
      <c r="A24" s="3" t="s">
        <v>45</v>
      </c>
      <c r="B24" s="6" t="s">
        <v>46</v>
      </c>
      <c r="C24" s="2" t="s">
        <v>47</v>
      </c>
    </row>
    <row r="25" customFormat="false" ht="15" hidden="false" customHeight="false" outlineLevel="0" collapsed="false">
      <c r="A25" s="3" t="s">
        <v>48</v>
      </c>
      <c r="B25" s="6" t="s">
        <v>46</v>
      </c>
      <c r="C25" s="2" t="s">
        <v>49</v>
      </c>
    </row>
    <row r="26" customFormat="false" ht="15" hidden="false" customHeight="false" outlineLevel="0" collapsed="false">
      <c r="A26" s="2" t="s">
        <v>50</v>
      </c>
      <c r="B26" s="6" t="s">
        <v>46</v>
      </c>
      <c r="C26" s="2" t="s">
        <v>51</v>
      </c>
    </row>
    <row r="27" customFormat="false" ht="15" hidden="false" customHeight="false" outlineLevel="0" collapsed="false">
      <c r="A27" s="3" t="s">
        <v>52</v>
      </c>
      <c r="B27" s="6" t="s">
        <v>46</v>
      </c>
      <c r="C27" s="2" t="s">
        <v>53</v>
      </c>
    </row>
    <row r="28" customFormat="false" ht="15" hidden="false" customHeight="false" outlineLevel="0" collapsed="false">
      <c r="A28" s="2"/>
      <c r="B28" s="2"/>
      <c r="C28" s="2"/>
    </row>
    <row r="29" customFormat="false" ht="15" hidden="false" customHeight="false" outlineLevel="0" collapsed="false">
      <c r="A29" s="4" t="s">
        <v>54</v>
      </c>
      <c r="B29" s="2"/>
      <c r="C29" s="2"/>
    </row>
    <row r="30" customFormat="false" ht="15" hidden="false" customHeight="false" outlineLevel="0" collapsed="false">
      <c r="A30" s="3" t="s">
        <v>55</v>
      </c>
      <c r="B30" s="2" t="s">
        <v>56</v>
      </c>
      <c r="C30" s="3" t="s">
        <v>57</v>
      </c>
    </row>
    <row r="31" customFormat="false" ht="15" hidden="false" customHeight="false" outlineLevel="0" collapsed="false">
      <c r="A31" s="3" t="s">
        <v>58</v>
      </c>
      <c r="B31" s="3" t="s">
        <v>59</v>
      </c>
      <c r="C31" s="3" t="s">
        <v>60</v>
      </c>
    </row>
    <row r="32" customFormat="false" ht="15" hidden="false" customHeight="false" outlineLevel="0" collapsed="false">
      <c r="A32" s="2" t="s">
        <v>61</v>
      </c>
      <c r="B32" s="2" t="s">
        <v>62</v>
      </c>
      <c r="C32" s="3" t="s">
        <v>63</v>
      </c>
    </row>
    <row r="33" customFormat="false" ht="15" hidden="false" customHeight="false" outlineLevel="0" collapsed="false">
      <c r="A33" s="3" t="s">
        <v>64</v>
      </c>
      <c r="B33" s="3" t="s">
        <v>65</v>
      </c>
      <c r="C33" s="3" t="s">
        <v>66</v>
      </c>
    </row>
    <row r="34" customFormat="false" ht="15" hidden="false" customHeight="false" outlineLevel="0" collapsed="false">
      <c r="A34" s="3" t="s">
        <v>67</v>
      </c>
      <c r="B34" s="3" t="s">
        <v>68</v>
      </c>
      <c r="C34" s="2"/>
    </row>
  </sheetData>
  <dataValidations count="1">
    <dataValidation allowBlank="false" errorStyle="stop" operator="between" showDropDown="false" showErrorMessage="false" showInputMessage="false" sqref="B24:B27"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5"/>
    <col collapsed="false" customWidth="true" hidden="false" outlineLevel="0" max="3" min="3" style="0" width="6"/>
    <col collapsed="false" customWidth="true" hidden="false" outlineLevel="0" max="4" min="4" style="0" width="26"/>
    <col collapsed="false" customWidth="true" hidden="false" outlineLevel="0" max="5" min="5" style="0" width="50"/>
    <col collapsed="false" customWidth="true" hidden="false" outlineLevel="0" max="6" min="6" style="0" width="12"/>
    <col collapsed="false" customWidth="true" hidden="false" outlineLevel="0" max="7" min="7" style="0" width="17"/>
    <col collapsed="false" customWidth="true" hidden="false" outlineLevel="0" max="12" min="8" style="0" width="7"/>
    <col collapsed="false" customWidth="true" hidden="false" outlineLevel="0" max="15" min="13" style="0" width="8"/>
    <col collapsed="false" customWidth="true" hidden="false" outlineLevel="0" max="16" min="16" style="0" width="7"/>
    <col collapsed="false" customWidth="true" hidden="false" outlineLevel="0" max="18" min="17" style="0" width="8"/>
    <col collapsed="false" customWidth="true" hidden="false" outlineLevel="0" max="19" min="19" style="0" width="7"/>
    <col collapsed="false" customWidth="true" hidden="false" outlineLevel="0" max="20" min="20" style="0" width="15"/>
    <col collapsed="false" customWidth="true" hidden="false" outlineLevel="0" max="21" min="21" style="0" width="24"/>
    <col collapsed="false" customWidth="true" hidden="false" outlineLevel="0" max="24" min="22" style="0" width="9"/>
  </cols>
  <sheetData>
    <row r="1" customFormat="false" ht="44" hidden="false" customHeight="false" outlineLevel="0" collapsed="false">
      <c r="A1" s="8" t="s">
        <v>69</v>
      </c>
      <c r="B1" s="8" t="s">
        <v>70</v>
      </c>
      <c r="C1" s="8" t="s">
        <v>71</v>
      </c>
      <c r="D1" s="8" t="s">
        <v>72</v>
      </c>
      <c r="E1" s="8" t="s">
        <v>73</v>
      </c>
      <c r="F1" s="9" t="s">
        <v>74</v>
      </c>
      <c r="G1" s="9" t="s">
        <v>75</v>
      </c>
      <c r="H1" s="8" t="s">
        <v>76</v>
      </c>
      <c r="I1" s="8" t="s">
        <v>77</v>
      </c>
      <c r="J1" s="8" t="s">
        <v>78</v>
      </c>
      <c r="K1" s="8" t="s">
        <v>79</v>
      </c>
      <c r="L1" s="8" t="s">
        <v>80</v>
      </c>
      <c r="M1" s="8" t="s">
        <v>81</v>
      </c>
      <c r="N1" s="8" t="s">
        <v>82</v>
      </c>
      <c r="O1" s="9" t="s">
        <v>83</v>
      </c>
      <c r="P1" s="8" t="s">
        <v>84</v>
      </c>
      <c r="Q1" s="8" t="s">
        <v>85</v>
      </c>
      <c r="R1" s="8" t="s">
        <v>86</v>
      </c>
      <c r="S1" s="8" t="s">
        <v>87</v>
      </c>
      <c r="T1" s="8" t="s">
        <v>88</v>
      </c>
      <c r="U1" s="8" t="s">
        <v>89</v>
      </c>
      <c r="V1" s="8" t="s">
        <v>90</v>
      </c>
      <c r="W1" s="8" t="s">
        <v>91</v>
      </c>
      <c r="X1" s="9" t="s">
        <v>92</v>
      </c>
    </row>
    <row r="2" customFormat="false" ht="39.55" hidden="false" customHeight="false" outlineLevel="0" collapsed="false">
      <c r="A2" s="10" t="s">
        <v>93</v>
      </c>
      <c r="B2" s="10" t="s">
        <v>94</v>
      </c>
      <c r="C2" s="10" t="s">
        <v>95</v>
      </c>
      <c r="D2" s="10" t="s">
        <v>96</v>
      </c>
      <c r="E2" s="11" t="s">
        <v>97</v>
      </c>
      <c r="F2" s="10" t="s">
        <v>98</v>
      </c>
      <c r="G2" s="10" t="s">
        <v>99</v>
      </c>
      <c r="H2" s="12" t="str">
        <f aca="false">IF(OR($G2="all",AND(00_はじめに!$B$24="Y",ISNUMBER(SEARCH("traditional",$G2))),AND(00_はじめに!$B$25="Y",ISNUMBER(SEARCH("generative",$G2))),AND(00_はじめに!$B$26="Y",ISNUMBER(SEARCH("ai-agent",$G2))),AND(00_はじめに!$B$27="Y",ISNUMBER(SEARCH("multi-agent",$G2)))),"○","対象外")</f>
        <v>○</v>
      </c>
      <c r="I2" s="13"/>
      <c r="J2" s="14" t="n">
        <v>4</v>
      </c>
      <c r="K2" s="12" t="str">
        <f aca="false">IF(OR($H2="対象外",$I2="",$J2=""),"",$J2-$I2)</f>
        <v/>
      </c>
      <c r="L2" s="14" t="n">
        <v>4</v>
      </c>
      <c r="M2" s="14" t="n">
        <v>3</v>
      </c>
      <c r="N2" s="14" t="n">
        <v>5</v>
      </c>
      <c r="O2" s="14" t="n">
        <v>5</v>
      </c>
      <c r="P2" s="14" t="n">
        <v>4</v>
      </c>
      <c r="Q2" s="14" t="n">
        <v>2</v>
      </c>
      <c r="R2" s="15" t="str">
        <f aca="false">IF(OR($H2="対象外",$K2="",$L2="",$M2="",$N2="",$O2="",$P2="",$Q2=""),"",($K2*$L2*$M2*$N2*$O2*$P2)/$Q2)</f>
        <v/>
      </c>
      <c r="S2" s="12" t="str">
        <f aca="false">IF($H2="対象外","",IF(OR($I2="",$J2=""),"",IF(OR($J2-$I2&gt;0,AND($R2&lt;&gt;"",$R2&gt;=00_はじめに!$B$19)),"○","")))</f>
        <v/>
      </c>
      <c r="T2" s="10" t="str">
        <f aca="false">IFERROR(VLOOKUP($A2,03_質問施策マッピング!$A:$B,2,0),"")</f>
        <v>AIMF-GV-ORG-001</v>
      </c>
      <c r="U2" s="10" t="str">
        <f aca="false">IF($T2="","",IFERROR(VLOOKUP($T2,02_施策マスター!$A:$B,2,0),""))</f>
        <v>AIガバナンス委員会の設置</v>
      </c>
      <c r="V2" s="10" t="str">
        <f aca="false">IF($R2="","",$R2+(1000-ROW())/1000000)</f>
        <v/>
      </c>
      <c r="W2" s="10" t="str">
        <f aca="false">IF($V2="","",COUNTIF($V$2:$V$208,"&gt;"&amp;$V2)+1)</f>
        <v/>
      </c>
      <c r="X2" s="10" t="s">
        <v>100</v>
      </c>
    </row>
    <row r="3" customFormat="false" ht="32.8" hidden="false" customHeight="false" outlineLevel="0" collapsed="false">
      <c r="A3" s="10" t="s">
        <v>101</v>
      </c>
      <c r="B3" s="10" t="s">
        <v>94</v>
      </c>
      <c r="C3" s="10" t="s">
        <v>95</v>
      </c>
      <c r="D3" s="10" t="s">
        <v>102</v>
      </c>
      <c r="E3" s="11" t="s">
        <v>103</v>
      </c>
      <c r="F3" s="10" t="s">
        <v>98</v>
      </c>
      <c r="G3" s="10" t="s">
        <v>99</v>
      </c>
      <c r="H3" s="12" t="str">
        <f aca="false">IF(OR($G3="all",AND(00_はじめに!$B$24="Y",ISNUMBER(SEARCH("traditional",$G3))),AND(00_はじめに!$B$25="Y",ISNUMBER(SEARCH("generative",$G3))),AND(00_はじめに!$B$26="Y",ISNUMBER(SEARCH("ai-agent",$G3))),AND(00_はじめに!$B$27="Y",ISNUMBER(SEARCH("multi-agent",$G3)))),"○","対象外")</f>
        <v>○</v>
      </c>
      <c r="I3" s="13"/>
      <c r="J3" s="14" t="n">
        <v>4</v>
      </c>
      <c r="K3" s="12" t="str">
        <f aca="false">IF(OR($H3="対象外",$I3="",$J3=""),"",$J3-$I3)</f>
        <v/>
      </c>
      <c r="L3" s="14" t="n">
        <v>4</v>
      </c>
      <c r="M3" s="14" t="n">
        <v>3</v>
      </c>
      <c r="N3" s="14" t="n">
        <v>5</v>
      </c>
      <c r="O3" s="14" t="n">
        <v>5</v>
      </c>
      <c r="P3" s="14" t="n">
        <v>4</v>
      </c>
      <c r="Q3" s="14" t="n">
        <v>2</v>
      </c>
      <c r="R3" s="15" t="str">
        <f aca="false">IF(OR($H3="対象外",$K3="",$L3="",$M3="",$N3="",$O3="",$P3="",$Q3=""),"",($K3*$L3*$M3*$N3*$O3*$P3)/$Q3)</f>
        <v/>
      </c>
      <c r="S3" s="12" t="str">
        <f aca="false">IF($H3="対象外","",IF(OR($I3="",$J3=""),"",IF(OR($J3-$I3&gt;0,AND($R3&lt;&gt;"",$R3&gt;=00_はじめに!$B$19)),"○","")))</f>
        <v/>
      </c>
      <c r="T3" s="10" t="str">
        <f aca="false">IFERROR(VLOOKUP($A3,03_質問施策マッピング!$A:$B,2,0),"")</f>
        <v>AIMF-GV-ORG-002</v>
      </c>
      <c r="U3" s="10" t="str">
        <f aca="false">IF($T3="","",IFERROR(VLOOKUP($T3,02_施策マスター!$A:$B,2,0),""))</f>
        <v>AI活用基本方針・ガイドラインの策定</v>
      </c>
      <c r="V3" s="10" t="str">
        <f aca="false">IF($R3="","",$R3+(1000-ROW())/1000000)</f>
        <v/>
      </c>
      <c r="W3" s="10" t="str">
        <f aca="false">IF($V3="","",COUNTIF($V$2:$V$208,"&gt;"&amp;$V3)+1)</f>
        <v/>
      </c>
      <c r="X3" s="10" t="s">
        <v>100</v>
      </c>
    </row>
    <row r="4" customFormat="false" ht="39.55" hidden="false" customHeight="false" outlineLevel="0" collapsed="false">
      <c r="A4" s="10" t="s">
        <v>104</v>
      </c>
      <c r="B4" s="10" t="s">
        <v>94</v>
      </c>
      <c r="C4" s="10" t="s">
        <v>95</v>
      </c>
      <c r="D4" s="10" t="s">
        <v>105</v>
      </c>
      <c r="E4" s="11" t="s">
        <v>106</v>
      </c>
      <c r="F4" s="10" t="s">
        <v>98</v>
      </c>
      <c r="G4" s="10" t="s">
        <v>99</v>
      </c>
      <c r="H4" s="12" t="str">
        <f aca="false">IF(OR($G4="all",AND(00_はじめに!$B$24="Y",ISNUMBER(SEARCH("traditional",$G4))),AND(00_はじめに!$B$25="Y",ISNUMBER(SEARCH("generative",$G4))),AND(00_はじめに!$B$26="Y",ISNUMBER(SEARCH("ai-agent",$G4))),AND(00_はじめに!$B$27="Y",ISNUMBER(SEARCH("multi-agent",$G4)))),"○","対象外")</f>
        <v>○</v>
      </c>
      <c r="I4" s="13"/>
      <c r="J4" s="14" t="n">
        <v>4</v>
      </c>
      <c r="K4" s="12" t="str">
        <f aca="false">IF(OR($H4="対象外",$I4="",$J4=""),"",$J4-$I4)</f>
        <v/>
      </c>
      <c r="L4" s="14" t="n">
        <v>4</v>
      </c>
      <c r="M4" s="14" t="n">
        <v>3</v>
      </c>
      <c r="N4" s="14" t="n">
        <v>5</v>
      </c>
      <c r="O4" s="14" t="n">
        <v>5</v>
      </c>
      <c r="P4" s="14" t="n">
        <v>4</v>
      </c>
      <c r="Q4" s="14" t="n">
        <v>2</v>
      </c>
      <c r="R4" s="15" t="str">
        <f aca="false">IF(OR($H4="対象外",$K4="",$L4="",$M4="",$N4="",$O4="",$P4="",$Q4=""),"",($K4*$L4*$M4*$N4*$O4*$P4)/$Q4)</f>
        <v/>
      </c>
      <c r="S4" s="12" t="str">
        <f aca="false">IF($H4="対象外","",IF(OR($I4="",$J4=""),"",IF(OR($J4-$I4&gt;0,AND($R4&lt;&gt;"",$R4&gt;=00_はじめに!$B$19)),"○","")))</f>
        <v/>
      </c>
      <c r="T4" s="10" t="str">
        <f aca="false">IFERROR(VLOOKUP($A4,03_質問施策マッピング!$A:$B,2,0),"")</f>
        <v>AIMF-GV-ORG-003</v>
      </c>
      <c r="U4" s="10" t="str">
        <f aca="false">IF($T4="","",IFERROR(VLOOKUP($T4,02_施策マスター!$A:$B,2,0),""))</f>
        <v>AIリスクアセスメント・プロジェクト承認プロセスの構築</v>
      </c>
      <c r="V4" s="10" t="str">
        <f aca="false">IF($R4="","",$R4+(1000-ROW())/1000000)</f>
        <v/>
      </c>
      <c r="W4" s="10" t="str">
        <f aca="false">IF($V4="","",COUNTIF($V$2:$V$208,"&gt;"&amp;$V4)+1)</f>
        <v/>
      </c>
      <c r="X4" s="10" t="s">
        <v>100</v>
      </c>
    </row>
    <row r="5" customFormat="false" ht="32.8" hidden="false" customHeight="false" outlineLevel="0" collapsed="false">
      <c r="A5" s="10" t="s">
        <v>107</v>
      </c>
      <c r="B5" s="10" t="s">
        <v>94</v>
      </c>
      <c r="C5" s="10" t="s">
        <v>95</v>
      </c>
      <c r="D5" s="10" t="s">
        <v>108</v>
      </c>
      <c r="E5" s="11" t="s">
        <v>109</v>
      </c>
      <c r="F5" s="10" t="s">
        <v>98</v>
      </c>
      <c r="G5" s="10" t="s">
        <v>99</v>
      </c>
      <c r="H5" s="12" t="str">
        <f aca="false">IF(OR($G5="all",AND(00_はじめに!$B$24="Y",ISNUMBER(SEARCH("traditional",$G5))),AND(00_はじめに!$B$25="Y",ISNUMBER(SEARCH("generative",$G5))),AND(00_はじめに!$B$26="Y",ISNUMBER(SEARCH("ai-agent",$G5))),AND(00_はじめに!$B$27="Y",ISNUMBER(SEARCH("multi-agent",$G5)))),"○","対象外")</f>
        <v>○</v>
      </c>
      <c r="I5" s="13"/>
      <c r="J5" s="14" t="n">
        <v>4</v>
      </c>
      <c r="K5" s="12" t="str">
        <f aca="false">IF(OR($H5="対象外",$I5="",$J5=""),"",$J5-$I5)</f>
        <v/>
      </c>
      <c r="L5" s="14" t="n">
        <v>4</v>
      </c>
      <c r="M5" s="14" t="n">
        <v>3</v>
      </c>
      <c r="N5" s="14" t="n">
        <v>5</v>
      </c>
      <c r="O5" s="14" t="n">
        <v>5</v>
      </c>
      <c r="P5" s="14" t="n">
        <v>4</v>
      </c>
      <c r="Q5" s="14" t="n">
        <v>2</v>
      </c>
      <c r="R5" s="15" t="str">
        <f aca="false">IF(OR($H5="対象外",$K5="",$L5="",$M5="",$N5="",$O5="",$P5="",$Q5=""),"",($K5*$L5*$M5*$N5*$O5*$P5)/$Q5)</f>
        <v/>
      </c>
      <c r="S5" s="12" t="str">
        <f aca="false">IF($H5="対象外","",IF(OR($I5="",$J5=""),"",IF(OR($J5-$I5&gt;0,AND($R5&lt;&gt;"",$R5&gt;=00_はじめに!$B$19)),"○","")))</f>
        <v/>
      </c>
      <c r="T5" s="10" t="str">
        <f aca="false">IFERROR(VLOOKUP($A5,03_質問施策マッピング!$A:$B,2,0),"")</f>
        <v>AIMF-GV-ORG-004</v>
      </c>
      <c r="U5" s="10" t="str">
        <f aca="false">IF($T5="","",IFERROR(VLOOKUP($T5,02_施策マスター!$A:$B,2,0),""))</f>
        <v>AIセキュリティ文化の醸成</v>
      </c>
      <c r="V5" s="10" t="str">
        <f aca="false">IF($R5="","",$R5+(1000-ROW())/1000000)</f>
        <v/>
      </c>
      <c r="W5" s="10" t="str">
        <f aca="false">IF($V5="","",COUNTIF($V$2:$V$208,"&gt;"&amp;$V5)+1)</f>
        <v/>
      </c>
      <c r="X5" s="10" t="s">
        <v>100</v>
      </c>
    </row>
    <row r="6" customFormat="false" ht="32.8" hidden="false" customHeight="false" outlineLevel="0" collapsed="false">
      <c r="A6" s="10" t="s">
        <v>110</v>
      </c>
      <c r="B6" s="10" t="s">
        <v>94</v>
      </c>
      <c r="C6" s="10" t="s">
        <v>95</v>
      </c>
      <c r="D6" s="10" t="s">
        <v>111</v>
      </c>
      <c r="E6" s="10" t="s">
        <v>112</v>
      </c>
      <c r="F6" s="10" t="s">
        <v>98</v>
      </c>
      <c r="G6" s="10" t="s">
        <v>99</v>
      </c>
      <c r="H6" s="12" t="str">
        <f aca="false">IF(OR($G6="all",AND(00_はじめに!$B$24="Y",ISNUMBER(SEARCH("traditional",$G6))),AND(00_はじめに!$B$25="Y",ISNUMBER(SEARCH("generative",$G6))),AND(00_はじめに!$B$26="Y",ISNUMBER(SEARCH("ai-agent",$G6))),AND(00_はじめに!$B$27="Y",ISNUMBER(SEARCH("multi-agent",$G6)))),"○","対象外")</f>
        <v>○</v>
      </c>
      <c r="I6" s="13"/>
      <c r="J6" s="14" t="n">
        <v>4</v>
      </c>
      <c r="K6" s="12" t="str">
        <f aca="false">IF(OR($H6="対象外",$I6="",$J6=""),"",$J6-$I6)</f>
        <v/>
      </c>
      <c r="L6" s="14" t="n">
        <v>4</v>
      </c>
      <c r="M6" s="14" t="n">
        <v>3</v>
      </c>
      <c r="N6" s="14" t="n">
        <v>5</v>
      </c>
      <c r="O6" s="14" t="n">
        <v>5</v>
      </c>
      <c r="P6" s="14" t="n">
        <v>4</v>
      </c>
      <c r="Q6" s="14" t="n">
        <v>2</v>
      </c>
      <c r="R6" s="15" t="str">
        <f aca="false">IF(OR($H6="対象外",$K6="",$L6="",$M6="",$N6="",$O6="",$P6="",$Q6=""),"",($K6*$L6*$M6*$N6*$O6*$P6)/$Q6)</f>
        <v/>
      </c>
      <c r="S6" s="12" t="str">
        <f aca="false">IF($H6="対象外","",IF(OR($I6="",$J6=""),"",IF(OR($J6-$I6&gt;0,AND($R6&lt;&gt;"",$R6&gt;=00_はじめに!$B$19)),"○","")))</f>
        <v/>
      </c>
      <c r="T6" s="10" t="str">
        <f aca="false">IFERROR(VLOOKUP($A6,03_質問施策マッピング!$A:$B,2,0),"")</f>
        <v>AIMF-GV-ORG-005</v>
      </c>
      <c r="U6" s="10" t="str">
        <f aca="false">IF($T6="","",IFERROR(VLOOKUP($T6,02_施策マスター!$A:$B,2,0),""))</f>
        <v>AIセキュリティの社内コミュニケーション強化</v>
      </c>
      <c r="V6" s="10" t="str">
        <f aca="false">IF($R6="","",$R6+(1000-ROW())/1000000)</f>
        <v/>
      </c>
      <c r="W6" s="10" t="str">
        <f aca="false">IF($V6="","",COUNTIF($V$2:$V$208,"&gt;"&amp;$V6)+1)</f>
        <v/>
      </c>
      <c r="X6" s="10" t="s">
        <v>100</v>
      </c>
    </row>
    <row r="7" customFormat="false" ht="32.8" hidden="false" customHeight="false" outlineLevel="0" collapsed="false">
      <c r="A7" s="10" t="s">
        <v>113</v>
      </c>
      <c r="B7" s="10" t="s">
        <v>94</v>
      </c>
      <c r="C7" s="10" t="s">
        <v>95</v>
      </c>
      <c r="D7" s="10" t="s">
        <v>114</v>
      </c>
      <c r="E7" s="10" t="s">
        <v>115</v>
      </c>
      <c r="F7" s="10" t="s">
        <v>98</v>
      </c>
      <c r="G7" s="10" t="s">
        <v>99</v>
      </c>
      <c r="H7" s="12" t="str">
        <f aca="false">IF(OR($G7="all",AND(00_はじめに!$B$24="Y",ISNUMBER(SEARCH("traditional",$G7))),AND(00_はじめに!$B$25="Y",ISNUMBER(SEARCH("generative",$G7))),AND(00_はじめに!$B$26="Y",ISNUMBER(SEARCH("ai-agent",$G7))),AND(00_はじめに!$B$27="Y",ISNUMBER(SEARCH("multi-agent",$G7)))),"○","対象外")</f>
        <v>○</v>
      </c>
      <c r="I7" s="13"/>
      <c r="J7" s="14" t="n">
        <v>3</v>
      </c>
      <c r="K7" s="12" t="str">
        <f aca="false">IF(OR($H7="対象外",$I7="",$J7=""),"",$J7-$I7)</f>
        <v/>
      </c>
      <c r="L7" s="14" t="n">
        <v>4</v>
      </c>
      <c r="M7" s="14" t="n">
        <v>3</v>
      </c>
      <c r="N7" s="14" t="n">
        <v>5</v>
      </c>
      <c r="O7" s="14" t="n">
        <v>5</v>
      </c>
      <c r="P7" s="14" t="n">
        <v>4</v>
      </c>
      <c r="Q7" s="14" t="n">
        <v>2</v>
      </c>
      <c r="R7" s="15" t="str">
        <f aca="false">IF(OR($H7="対象外",$K7="",$L7="",$M7="",$N7="",$O7="",$P7="",$Q7=""),"",($K7*$L7*$M7*$N7*$O7*$P7)/$Q7)</f>
        <v/>
      </c>
      <c r="S7" s="12" t="str">
        <f aca="false">IF($H7="対象外","",IF(OR($I7="",$J7=""),"",IF(OR($J7-$I7&gt;0,AND($R7&lt;&gt;"",$R7&gt;=00_はじめに!$B$19)),"○","")))</f>
        <v/>
      </c>
      <c r="T7" s="10" t="str">
        <f aca="false">IFERROR(VLOOKUP($A7,03_質問施策マッピング!$A:$B,2,0),"")</f>
        <v>AIMF-GV-ORG-006</v>
      </c>
      <c r="U7" s="10" t="str">
        <f aca="false">IF($T7="","",IFERROR(VLOOKUP($T7,02_施策マスター!$A:$B,2,0),""))</f>
        <v>AI統括責任者（CAIO/AIセキュリティ責任者）の任命</v>
      </c>
      <c r="V7" s="10" t="str">
        <f aca="false">IF($R7="","",$R7+(1000-ROW())/1000000)</f>
        <v/>
      </c>
      <c r="W7" s="10" t="str">
        <f aca="false">IF($V7="","",COUNTIF($V$2:$V$208,"&gt;"&amp;$V7)+1)</f>
        <v/>
      </c>
      <c r="X7" s="10" t="s">
        <v>116</v>
      </c>
    </row>
    <row r="8" customFormat="false" ht="32.8" hidden="false" customHeight="false" outlineLevel="0" collapsed="false">
      <c r="A8" s="10" t="s">
        <v>117</v>
      </c>
      <c r="B8" s="10" t="s">
        <v>94</v>
      </c>
      <c r="C8" s="10" t="s">
        <v>95</v>
      </c>
      <c r="D8" s="10" t="s">
        <v>118</v>
      </c>
      <c r="E8" s="10" t="s">
        <v>119</v>
      </c>
      <c r="F8" s="10" t="s">
        <v>98</v>
      </c>
      <c r="G8" s="10" t="s">
        <v>99</v>
      </c>
      <c r="H8" s="12" t="str">
        <f aca="false">IF(OR($G8="all",AND(00_はじめに!$B$24="Y",ISNUMBER(SEARCH("traditional",$G8))),AND(00_はじめに!$B$25="Y",ISNUMBER(SEARCH("generative",$G8))),AND(00_はじめに!$B$26="Y",ISNUMBER(SEARCH("ai-agent",$G8))),AND(00_はじめに!$B$27="Y",ISNUMBER(SEARCH("multi-agent",$G8)))),"○","対象外")</f>
        <v>○</v>
      </c>
      <c r="I8" s="13"/>
      <c r="J8" s="14" t="n">
        <v>3</v>
      </c>
      <c r="K8" s="12" t="str">
        <f aca="false">IF(OR($H8="対象外",$I8="",$J8=""),"",$J8-$I8)</f>
        <v/>
      </c>
      <c r="L8" s="14" t="n">
        <v>4</v>
      </c>
      <c r="M8" s="14" t="n">
        <v>3</v>
      </c>
      <c r="N8" s="14" t="n">
        <v>5</v>
      </c>
      <c r="O8" s="14" t="n">
        <v>5</v>
      </c>
      <c r="P8" s="14" t="n">
        <v>4</v>
      </c>
      <c r="Q8" s="14" t="n">
        <v>2</v>
      </c>
      <c r="R8" s="15" t="str">
        <f aca="false">IF(OR($H8="対象外",$K8="",$L8="",$M8="",$N8="",$O8="",$P8="",$Q8=""),"",($K8*$L8*$M8*$N8*$O8*$P8)/$Q8)</f>
        <v/>
      </c>
      <c r="S8" s="12" t="str">
        <f aca="false">IF($H8="対象外","",IF(OR($I8="",$J8=""),"",IF(OR($J8-$I8&gt;0,AND($R8&lt;&gt;"",$R8&gt;=00_はじめに!$B$19)),"○","")))</f>
        <v/>
      </c>
      <c r="T8" s="10" t="str">
        <f aca="false">IFERROR(VLOOKUP($A8,03_質問施策マッピング!$A:$B,2,0),"")</f>
        <v>AIMF-GV-ORG-007</v>
      </c>
      <c r="U8" s="10" t="str">
        <f aca="false">IF($T8="","",IFERROR(VLOOKUP($T8,02_施策マスター!$A:$B,2,0),""))</f>
        <v>AIセキュリティ予算・リソースの確保</v>
      </c>
      <c r="V8" s="10" t="str">
        <f aca="false">IF($R8="","",$R8+(1000-ROW())/1000000)</f>
        <v/>
      </c>
      <c r="W8" s="10" t="str">
        <f aca="false">IF($V8="","",COUNTIF($V$2:$V$208,"&gt;"&amp;$V8)+1)</f>
        <v/>
      </c>
      <c r="X8" s="10" t="s">
        <v>116</v>
      </c>
    </row>
    <row r="9" customFormat="false" ht="32.8" hidden="false" customHeight="false" outlineLevel="0" collapsed="false">
      <c r="A9" s="10" t="s">
        <v>120</v>
      </c>
      <c r="B9" s="10" t="s">
        <v>94</v>
      </c>
      <c r="C9" s="10" t="s">
        <v>95</v>
      </c>
      <c r="D9" s="10" t="s">
        <v>121</v>
      </c>
      <c r="E9" s="11" t="s">
        <v>122</v>
      </c>
      <c r="F9" s="10" t="s">
        <v>98</v>
      </c>
      <c r="G9" s="10" t="s">
        <v>99</v>
      </c>
      <c r="H9" s="12" t="str">
        <f aca="false">IF(OR($G9="all",AND(00_はじめに!$B$24="Y",ISNUMBER(SEARCH("traditional",$G9))),AND(00_はじめに!$B$25="Y",ISNUMBER(SEARCH("generative",$G9))),AND(00_はじめに!$B$26="Y",ISNUMBER(SEARCH("ai-agent",$G9))),AND(00_はじめに!$B$27="Y",ISNUMBER(SEARCH("multi-agent",$G9)))),"○","対象外")</f>
        <v>○</v>
      </c>
      <c r="I9" s="13"/>
      <c r="J9" s="14" t="n">
        <v>3</v>
      </c>
      <c r="K9" s="12" t="str">
        <f aca="false">IF(OR($H9="対象外",$I9="",$J9=""),"",$J9-$I9)</f>
        <v/>
      </c>
      <c r="L9" s="14" t="n">
        <v>4</v>
      </c>
      <c r="M9" s="14" t="n">
        <v>3</v>
      </c>
      <c r="N9" s="14" t="n">
        <v>5</v>
      </c>
      <c r="O9" s="14" t="n">
        <v>5</v>
      </c>
      <c r="P9" s="14" t="n">
        <v>4</v>
      </c>
      <c r="Q9" s="14" t="n">
        <v>2</v>
      </c>
      <c r="R9" s="15" t="str">
        <f aca="false">IF(OR($H9="対象外",$K9="",$L9="",$M9="",$N9="",$O9="",$P9="",$Q9=""),"",($K9*$L9*$M9*$N9*$O9*$P9)/$Q9)</f>
        <v/>
      </c>
      <c r="S9" s="12" t="str">
        <f aca="false">IF($H9="対象外","",IF(OR($I9="",$J9=""),"",IF(OR($J9-$I9&gt;0,AND($R9&lt;&gt;"",$R9&gt;=00_はじめに!$B$19)),"○","")))</f>
        <v/>
      </c>
      <c r="T9" s="10" t="str">
        <f aca="false">IFERROR(VLOOKUP($A9,03_質問施策マッピング!$A:$B,2,0),"")</f>
        <v>AIMF-GV-ORG-008</v>
      </c>
      <c r="U9" s="10" t="str">
        <f aca="false">IF($T9="","",IFERROR(VLOOKUP($T9,02_施策マスター!$A:$B,2,0),""))</f>
        <v>AIライフサイクル全体のRACI定義</v>
      </c>
      <c r="V9" s="10" t="str">
        <f aca="false">IF($R9="","",$R9+(1000-ROW())/1000000)</f>
        <v/>
      </c>
      <c r="W9" s="10" t="str">
        <f aca="false">IF($V9="","",COUNTIF($V$2:$V$208,"&gt;"&amp;$V9)+1)</f>
        <v/>
      </c>
      <c r="X9" s="10" t="s">
        <v>116</v>
      </c>
    </row>
    <row r="10" customFormat="false" ht="32.8" hidden="false" customHeight="false" outlineLevel="0" collapsed="false">
      <c r="A10" s="10" t="s">
        <v>123</v>
      </c>
      <c r="B10" s="10" t="s">
        <v>94</v>
      </c>
      <c r="C10" s="10" t="s">
        <v>95</v>
      </c>
      <c r="D10" s="10" t="s">
        <v>124</v>
      </c>
      <c r="E10" s="11" t="s">
        <v>125</v>
      </c>
      <c r="F10" s="10" t="s">
        <v>98</v>
      </c>
      <c r="G10" s="10" t="s">
        <v>99</v>
      </c>
      <c r="H10" s="12" t="str">
        <f aca="false">IF(OR($G10="all",AND(00_はじめに!$B$24="Y",ISNUMBER(SEARCH("traditional",$G10))),AND(00_はじめに!$B$25="Y",ISNUMBER(SEARCH("generative",$G10))),AND(00_はじめに!$B$26="Y",ISNUMBER(SEARCH("ai-agent",$G10))),AND(00_はじめに!$B$27="Y",ISNUMBER(SEARCH("multi-agent",$G10)))),"○","対象外")</f>
        <v>○</v>
      </c>
      <c r="I10" s="13"/>
      <c r="J10" s="14" t="n">
        <v>3</v>
      </c>
      <c r="K10" s="12" t="str">
        <f aca="false">IF(OR($H10="対象外",$I10="",$J10=""),"",$J10-$I10)</f>
        <v/>
      </c>
      <c r="L10" s="14" t="n">
        <v>4</v>
      </c>
      <c r="M10" s="14" t="n">
        <v>3</v>
      </c>
      <c r="N10" s="14" t="n">
        <v>5</v>
      </c>
      <c r="O10" s="14" t="n">
        <v>5</v>
      </c>
      <c r="P10" s="14" t="n">
        <v>4</v>
      </c>
      <c r="Q10" s="14" t="n">
        <v>2</v>
      </c>
      <c r="R10" s="15" t="str">
        <f aca="false">IF(OR($H10="対象外",$K10="",$L10="",$M10="",$N10="",$O10="",$P10="",$Q10=""),"",($K10*$L10*$M10*$N10*$O10*$P10)/$Q10)</f>
        <v/>
      </c>
      <c r="S10" s="12" t="str">
        <f aca="false">IF($H10="対象外","",IF(OR($I10="",$J10=""),"",IF(OR($J10-$I10&gt;0,AND($R10&lt;&gt;"",$R10&gt;=00_はじめに!$B$19)),"○","")))</f>
        <v/>
      </c>
      <c r="T10" s="10" t="str">
        <f aca="false">IFERROR(VLOOKUP($A10,03_質問施策マッピング!$A:$B,2,0),"")</f>
        <v>AIMF-GV-ORG-009</v>
      </c>
      <c r="U10" s="10" t="str">
        <f aca="false">IF($T10="","",IFERROR(VLOOKUP($T10,02_施策マスター!$A:$B,2,0),""))</f>
        <v>AI倫理審査との連携プロセス</v>
      </c>
      <c r="V10" s="10" t="str">
        <f aca="false">IF($R10="","",$R10+(1000-ROW())/1000000)</f>
        <v/>
      </c>
      <c r="W10" s="10" t="str">
        <f aca="false">IF($V10="","",COUNTIF($V$2:$V$208,"&gt;"&amp;$V10)+1)</f>
        <v/>
      </c>
      <c r="X10" s="10" t="s">
        <v>116</v>
      </c>
    </row>
    <row r="11" customFormat="false" ht="32.8" hidden="false" customHeight="false" outlineLevel="0" collapsed="false">
      <c r="A11" s="10" t="s">
        <v>126</v>
      </c>
      <c r="B11" s="10" t="s">
        <v>94</v>
      </c>
      <c r="C11" s="10" t="s">
        <v>127</v>
      </c>
      <c r="D11" s="10" t="s">
        <v>128</v>
      </c>
      <c r="E11" s="10" t="s">
        <v>129</v>
      </c>
      <c r="F11" s="10" t="s">
        <v>98</v>
      </c>
      <c r="G11" s="10" t="s">
        <v>99</v>
      </c>
      <c r="H11" s="12" t="str">
        <f aca="false">IF(OR($G11="all",AND(00_はじめに!$B$24="Y",ISNUMBER(SEARCH("traditional",$G11))),AND(00_はじめに!$B$25="Y",ISNUMBER(SEARCH("generative",$G11))),AND(00_はじめに!$B$26="Y",ISNUMBER(SEARCH("ai-agent",$G11))),AND(00_はじめに!$B$27="Y",ISNUMBER(SEARCH("multi-agent",$G11)))),"○","対象外")</f>
        <v>○</v>
      </c>
      <c r="I11" s="13"/>
      <c r="J11" s="14" t="n">
        <v>3</v>
      </c>
      <c r="K11" s="12" t="str">
        <f aca="false">IF(OR($H11="対象外",$I11="",$J11=""),"",$J11-$I11)</f>
        <v/>
      </c>
      <c r="L11" s="14" t="n">
        <v>4</v>
      </c>
      <c r="M11" s="14" t="n">
        <v>3</v>
      </c>
      <c r="N11" s="14" t="n">
        <v>5</v>
      </c>
      <c r="O11" s="14" t="n">
        <v>5</v>
      </c>
      <c r="P11" s="14" t="n">
        <v>4</v>
      </c>
      <c r="Q11" s="14" t="n">
        <v>2</v>
      </c>
      <c r="R11" s="15" t="str">
        <f aca="false">IF(OR($H11="対象外",$K11="",$L11="",$M11="",$N11="",$O11="",$P11="",$Q11=""),"",($K11*$L11*$M11*$N11*$O11*$P11)/$Q11)</f>
        <v/>
      </c>
      <c r="S11" s="12" t="str">
        <f aca="false">IF($H11="対象外","",IF(OR($I11="",$J11=""),"",IF(OR($J11-$I11&gt;0,AND($R11&lt;&gt;"",$R11&gt;=00_はじめに!$B$19)),"○","")))</f>
        <v/>
      </c>
      <c r="T11" s="10" t="str">
        <f aca="false">IFERROR(VLOOKUP($A11,03_質問施策マッピング!$A:$B,2,0),"")</f>
        <v>AIMF-GV-POL-001</v>
      </c>
      <c r="U11" s="10" t="str">
        <f aca="false">IF($T11="","",IFERROR(VLOOKUP($T11,02_施策マスター!$A:$B,2,0),""))</f>
        <v>AIポリシースイートの体系化</v>
      </c>
      <c r="V11" s="10" t="str">
        <f aca="false">IF($R11="","",$R11+(1000-ROW())/1000000)</f>
        <v/>
      </c>
      <c r="W11" s="10" t="str">
        <f aca="false">IF($V11="","",COUNTIF($V$2:$V$208,"&gt;"&amp;$V11)+1)</f>
        <v/>
      </c>
      <c r="X11" s="10" t="s">
        <v>116</v>
      </c>
    </row>
    <row r="12" customFormat="false" ht="26.85" hidden="false" customHeight="false" outlineLevel="0" collapsed="false">
      <c r="A12" s="10" t="s">
        <v>130</v>
      </c>
      <c r="B12" s="10" t="s">
        <v>94</v>
      </c>
      <c r="C12" s="10" t="s">
        <v>127</v>
      </c>
      <c r="D12" s="11" t="s">
        <v>131</v>
      </c>
      <c r="E12" s="11" t="s">
        <v>132</v>
      </c>
      <c r="F12" s="10" t="s">
        <v>133</v>
      </c>
      <c r="G12" s="10" t="s">
        <v>134</v>
      </c>
      <c r="H12" s="12" t="str">
        <f aca="false">IF(OR($G12="all",AND(00_はじめに!$B$24="Y",ISNUMBER(SEARCH("traditional",$G12))),AND(00_はじめに!$B$25="Y",ISNUMBER(SEARCH("generative",$G12))),AND(00_はじめに!$B$26="Y",ISNUMBER(SEARCH("ai-agent",$G12))),AND(00_はじめに!$B$27="Y",ISNUMBER(SEARCH("multi-agent",$G12)))),"○","対象外")</f>
        <v>○</v>
      </c>
      <c r="I12" s="13"/>
      <c r="J12" s="14" t="n">
        <v>3</v>
      </c>
      <c r="K12" s="12" t="str">
        <f aca="false">IF(OR($H12="対象外",$I12="",$J12=""),"",$J12-$I12)</f>
        <v/>
      </c>
      <c r="L12" s="14" t="n">
        <v>4</v>
      </c>
      <c r="M12" s="14" t="n">
        <v>3</v>
      </c>
      <c r="N12" s="14" t="n">
        <v>5</v>
      </c>
      <c r="O12" s="14" t="n">
        <v>3</v>
      </c>
      <c r="P12" s="14" t="n">
        <v>4</v>
      </c>
      <c r="Q12" s="14" t="n">
        <v>3</v>
      </c>
      <c r="R12" s="15" t="str">
        <f aca="false">IF(OR($H12="対象外",$K12="",$L12="",$M12="",$N12="",$O12="",$P12="",$Q12=""),"",($K12*$L12*$M12*$N12*$O12*$P12)/$Q12)</f>
        <v/>
      </c>
      <c r="S12" s="12" t="str">
        <f aca="false">IF($H12="対象外","",IF(OR($I12="",$J12=""),"",IF(OR($J12-$I12&gt;0,AND($R12&lt;&gt;"",$R12&gt;=00_はじめに!$B$19)),"○","")))</f>
        <v/>
      </c>
      <c r="T12" s="10" t="str">
        <f aca="false">IFERROR(VLOOKUP($A12,03_質問施策マッピング!$A:$B,2,0),"")</f>
        <v>AIMF-GV-POL-002</v>
      </c>
      <c r="U12" s="10" t="str">
        <f aca="false">IF($T12="","",IFERROR(VLOOKUP($T12,02_施策マスター!$A:$B,2,0),""))</f>
        <v>生成AI利用細則（入力禁止情報・プロンプト取扱規程）</v>
      </c>
      <c r="V12" s="10" t="str">
        <f aca="false">IF($R12="","",$R12+(1000-ROW())/1000000)</f>
        <v/>
      </c>
      <c r="W12" s="10" t="str">
        <f aca="false">IF($V12="","",COUNTIF($V$2:$V$208,"&gt;"&amp;$V12)+1)</f>
        <v/>
      </c>
      <c r="X12" s="10" t="s">
        <v>116</v>
      </c>
    </row>
    <row r="13" customFormat="false" ht="39.55" hidden="false" customHeight="false" outlineLevel="0" collapsed="false">
      <c r="A13" s="10" t="s">
        <v>135</v>
      </c>
      <c r="B13" s="10" t="s">
        <v>94</v>
      </c>
      <c r="C13" s="10" t="s">
        <v>127</v>
      </c>
      <c r="D13" s="11" t="s">
        <v>136</v>
      </c>
      <c r="E13" s="11" t="s">
        <v>137</v>
      </c>
      <c r="F13" s="10" t="s">
        <v>98</v>
      </c>
      <c r="G13" s="10" t="s">
        <v>99</v>
      </c>
      <c r="H13" s="12" t="str">
        <f aca="false">IF(OR($G13="all",AND(00_はじめに!$B$24="Y",ISNUMBER(SEARCH("traditional",$G13))),AND(00_はじめに!$B$25="Y",ISNUMBER(SEARCH("generative",$G13))),AND(00_はじめに!$B$26="Y",ISNUMBER(SEARCH("ai-agent",$G13))),AND(00_はじめに!$B$27="Y",ISNUMBER(SEARCH("multi-agent",$G13)))),"○","対象外")</f>
        <v>○</v>
      </c>
      <c r="I13" s="13"/>
      <c r="J13" s="14" t="n">
        <v>3</v>
      </c>
      <c r="K13" s="12" t="str">
        <f aca="false">IF(OR($H13="対象外",$I13="",$J13=""),"",$J13-$I13)</f>
        <v/>
      </c>
      <c r="L13" s="14" t="n">
        <v>4</v>
      </c>
      <c r="M13" s="14" t="n">
        <v>3</v>
      </c>
      <c r="N13" s="14" t="n">
        <v>5</v>
      </c>
      <c r="O13" s="14" t="n">
        <v>5</v>
      </c>
      <c r="P13" s="14" t="n">
        <v>4</v>
      </c>
      <c r="Q13" s="14" t="n">
        <v>2</v>
      </c>
      <c r="R13" s="15" t="str">
        <f aca="false">IF(OR($H13="対象外",$K13="",$L13="",$M13="",$N13="",$O13="",$P13="",$Q13=""),"",($K13*$L13*$M13*$N13*$O13*$P13)/$Q13)</f>
        <v/>
      </c>
      <c r="S13" s="12" t="str">
        <f aca="false">IF($H13="対象外","",IF(OR($I13="",$J13=""),"",IF(OR($J13-$I13&gt;0,AND($R13&lt;&gt;"",$R13&gt;=00_はじめに!$B$19)),"○","")))</f>
        <v/>
      </c>
      <c r="T13" s="10" t="str">
        <f aca="false">IFERROR(VLOOKUP($A13,03_質問施策マッピング!$A:$B,2,0),"")</f>
        <v>AIMF-GV-POL-003</v>
      </c>
      <c r="U13" s="10" t="str">
        <f aca="false">IF($T13="","",IFERROR(VLOOKUP($T13,02_施策マスター!$A:$B,2,0),""))</f>
        <v>承認済みAIサービスカタログと例外管理</v>
      </c>
      <c r="V13" s="10" t="str">
        <f aca="false">IF($R13="","",$R13+(1000-ROW())/1000000)</f>
        <v/>
      </c>
      <c r="W13" s="10" t="str">
        <f aca="false">IF($V13="","",COUNTIF($V$2:$V$208,"&gt;"&amp;$V13)+1)</f>
        <v/>
      </c>
      <c r="X13" s="10" t="s">
        <v>116</v>
      </c>
    </row>
    <row r="14" customFormat="false" ht="32.8" hidden="false" customHeight="false" outlineLevel="0" collapsed="false">
      <c r="A14" s="10" t="s">
        <v>138</v>
      </c>
      <c r="B14" s="10" t="s">
        <v>94</v>
      </c>
      <c r="C14" s="10" t="s">
        <v>127</v>
      </c>
      <c r="D14" s="10" t="s">
        <v>139</v>
      </c>
      <c r="E14" s="11" t="s">
        <v>140</v>
      </c>
      <c r="F14" s="10" t="s">
        <v>98</v>
      </c>
      <c r="G14" s="10" t="s">
        <v>99</v>
      </c>
      <c r="H14" s="12" t="str">
        <f aca="false">IF(OR($G14="all",AND(00_はじめに!$B$24="Y",ISNUMBER(SEARCH("traditional",$G14))),AND(00_はじめに!$B$25="Y",ISNUMBER(SEARCH("generative",$G14))),AND(00_はじめに!$B$26="Y",ISNUMBER(SEARCH("ai-agent",$G14))),AND(00_はじめに!$B$27="Y",ISNUMBER(SEARCH("multi-agent",$G14)))),"○","対象外")</f>
        <v>○</v>
      </c>
      <c r="I14" s="13"/>
      <c r="J14" s="14" t="n">
        <v>3</v>
      </c>
      <c r="K14" s="12" t="str">
        <f aca="false">IF(OR($H14="対象外",$I14="",$J14=""),"",$J14-$I14)</f>
        <v/>
      </c>
      <c r="L14" s="14" t="n">
        <v>4</v>
      </c>
      <c r="M14" s="14" t="n">
        <v>3</v>
      </c>
      <c r="N14" s="14" t="n">
        <v>5</v>
      </c>
      <c r="O14" s="14" t="n">
        <v>5</v>
      </c>
      <c r="P14" s="14" t="n">
        <v>4</v>
      </c>
      <c r="Q14" s="14" t="n">
        <v>2</v>
      </c>
      <c r="R14" s="15" t="str">
        <f aca="false">IF(OR($H14="対象外",$K14="",$L14="",$M14="",$N14="",$O14="",$P14="",$Q14=""),"",($K14*$L14*$M14*$N14*$O14*$P14)/$Q14)</f>
        <v/>
      </c>
      <c r="S14" s="12" t="str">
        <f aca="false">IF($H14="対象外","",IF(OR($I14="",$J14=""),"",IF(OR($J14-$I14&gt;0,AND($R14&lt;&gt;"",$R14&gt;=00_はじめに!$B$19)),"○","")))</f>
        <v/>
      </c>
      <c r="T14" s="10" t="str">
        <f aca="false">IFERROR(VLOOKUP($A14,03_質問施策マッピング!$A:$B,2,0),"")</f>
        <v>AIMF-GV-POL-004</v>
      </c>
      <c r="U14" s="10" t="str">
        <f aca="false">IF($T14="","",IFERROR(VLOOKUP($T14,02_施策マスター!$A:$B,2,0),""))</f>
        <v>AIサービス利用規約・提供条件の遵守管理</v>
      </c>
      <c r="V14" s="10" t="str">
        <f aca="false">IF($R14="","",$R14+(1000-ROW())/1000000)</f>
        <v/>
      </c>
      <c r="W14" s="10" t="str">
        <f aca="false">IF($V14="","",COUNTIF($V$2:$V$208,"&gt;"&amp;$V14)+1)</f>
        <v/>
      </c>
      <c r="X14" s="10" t="s">
        <v>116</v>
      </c>
    </row>
    <row r="15" customFormat="false" ht="39.55" hidden="false" customHeight="false" outlineLevel="0" collapsed="false">
      <c r="A15" s="10" t="s">
        <v>141</v>
      </c>
      <c r="B15" s="10" t="s">
        <v>94</v>
      </c>
      <c r="C15" s="10" t="s">
        <v>127</v>
      </c>
      <c r="D15" s="11" t="s">
        <v>142</v>
      </c>
      <c r="E15" s="11" t="s">
        <v>143</v>
      </c>
      <c r="F15" s="10" t="s">
        <v>98</v>
      </c>
      <c r="G15" s="10" t="s">
        <v>99</v>
      </c>
      <c r="H15" s="12" t="str">
        <f aca="false">IF(OR($G15="all",AND(00_はじめに!$B$24="Y",ISNUMBER(SEARCH("traditional",$G15))),AND(00_はじめに!$B$25="Y",ISNUMBER(SEARCH("generative",$G15))),AND(00_はじめに!$B$26="Y",ISNUMBER(SEARCH("ai-agent",$G15))),AND(00_はじめに!$B$27="Y",ISNUMBER(SEARCH("multi-agent",$G15)))),"○","対象外")</f>
        <v>○</v>
      </c>
      <c r="I15" s="13"/>
      <c r="J15" s="14" t="n">
        <v>3</v>
      </c>
      <c r="K15" s="12" t="str">
        <f aca="false">IF(OR($H15="対象外",$I15="",$J15=""),"",$J15-$I15)</f>
        <v/>
      </c>
      <c r="L15" s="14" t="n">
        <v>4</v>
      </c>
      <c r="M15" s="14" t="n">
        <v>3</v>
      </c>
      <c r="N15" s="14" t="n">
        <v>5</v>
      </c>
      <c r="O15" s="14" t="n">
        <v>5</v>
      </c>
      <c r="P15" s="14" t="n">
        <v>4</v>
      </c>
      <c r="Q15" s="14" t="n">
        <v>2</v>
      </c>
      <c r="R15" s="15" t="str">
        <f aca="false">IF(OR($H15="対象外",$K15="",$L15="",$M15="",$N15="",$O15="",$P15="",$Q15=""),"",($K15*$L15*$M15*$N15*$O15*$P15)/$Q15)</f>
        <v/>
      </c>
      <c r="S15" s="12" t="str">
        <f aca="false">IF($H15="対象外","",IF(OR($I15="",$J15=""),"",IF(OR($J15-$I15&gt;0,AND($R15&lt;&gt;"",$R15&gt;=00_はじめに!$B$19)),"○","")))</f>
        <v/>
      </c>
      <c r="T15" s="10" t="str">
        <f aca="false">IFERROR(VLOOKUP($A15,03_質問施策マッピング!$A:$B,2,0),"")</f>
        <v>AIMF-GV-POL-005</v>
      </c>
      <c r="U15" s="10" t="str">
        <f aca="false">IF($T15="","",IFERROR(VLOOKUP($T15,02_施策マスター!$A:$B,2,0),""))</f>
        <v>ポリシーの技術進化への追随レビュー</v>
      </c>
      <c r="V15" s="10" t="str">
        <f aca="false">IF($R15="","",$R15+(1000-ROW())/1000000)</f>
        <v/>
      </c>
      <c r="W15" s="10" t="str">
        <f aca="false">IF($V15="","",COUNTIF($V$2:$V$208,"&gt;"&amp;$V15)+1)</f>
        <v/>
      </c>
      <c r="X15" s="10" t="s">
        <v>116</v>
      </c>
    </row>
    <row r="16" customFormat="false" ht="39.55" hidden="false" customHeight="false" outlineLevel="0" collapsed="false">
      <c r="A16" s="10" t="s">
        <v>144</v>
      </c>
      <c r="B16" s="10" t="s">
        <v>94</v>
      </c>
      <c r="C16" s="10" t="s">
        <v>145</v>
      </c>
      <c r="D16" s="10" t="s">
        <v>146</v>
      </c>
      <c r="E16" s="11" t="s">
        <v>147</v>
      </c>
      <c r="F16" s="10" t="s">
        <v>98</v>
      </c>
      <c r="G16" s="10" t="s">
        <v>99</v>
      </c>
      <c r="H16" s="12" t="str">
        <f aca="false">IF(OR($G16="all",AND(00_はじめに!$B$24="Y",ISNUMBER(SEARCH("traditional",$G16))),AND(00_はじめに!$B$25="Y",ISNUMBER(SEARCH("generative",$G16))),AND(00_はじめに!$B$26="Y",ISNUMBER(SEARCH("ai-agent",$G16))),AND(00_はじめに!$B$27="Y",ISNUMBER(SEARCH("multi-agent",$G16)))),"○","対象外")</f>
        <v>○</v>
      </c>
      <c r="I16" s="13"/>
      <c r="J16" s="14" t="n">
        <v>4</v>
      </c>
      <c r="K16" s="12" t="str">
        <f aca="false">IF(OR($H16="対象外",$I16="",$J16=""),"",$J16-$I16)</f>
        <v/>
      </c>
      <c r="L16" s="14" t="n">
        <v>5</v>
      </c>
      <c r="M16" s="14" t="n">
        <v>3</v>
      </c>
      <c r="N16" s="14" t="n">
        <v>5</v>
      </c>
      <c r="O16" s="14" t="n">
        <v>4</v>
      </c>
      <c r="P16" s="14" t="n">
        <v>4</v>
      </c>
      <c r="Q16" s="14" t="n">
        <v>2</v>
      </c>
      <c r="R16" s="15" t="str">
        <f aca="false">IF(OR($H16="対象外",$K16="",$L16="",$M16="",$N16="",$O16="",$P16="",$Q16=""),"",($K16*$L16*$M16*$N16*$O16*$P16)/$Q16)</f>
        <v/>
      </c>
      <c r="S16" s="12" t="str">
        <f aca="false">IF($H16="対象外","",IF(OR($I16="",$J16=""),"",IF(OR($J16-$I16&gt;0,AND($R16&lt;&gt;"",$R16&gt;=00_はじめに!$B$19)),"○","")))</f>
        <v/>
      </c>
      <c r="T16" s="10" t="str">
        <f aca="false">IFERROR(VLOOKUP($A16,03_質問施策マッピング!$A:$B,2,0),"")</f>
        <v>AIMF-GV-RSM-001</v>
      </c>
      <c r="U16" s="10" t="str">
        <f aca="false">IF($T16="","",IFERROR(VLOOKUP($T16,02_施策マスター!$A:$B,2,0),""))</f>
        <v>AIリスクマネジメントプロセスの体系化</v>
      </c>
      <c r="V16" s="10" t="str">
        <f aca="false">IF($R16="","",$R16+(1000-ROW())/1000000)</f>
        <v/>
      </c>
      <c r="W16" s="10" t="str">
        <f aca="false">IF($V16="","",COUNTIF($V$2:$V$208,"&gt;"&amp;$V16)+1)</f>
        <v/>
      </c>
      <c r="X16" s="10" t="s">
        <v>100</v>
      </c>
    </row>
    <row r="17" customFormat="false" ht="39.55" hidden="false" customHeight="false" outlineLevel="0" collapsed="false">
      <c r="A17" s="10" t="s">
        <v>148</v>
      </c>
      <c r="B17" s="10" t="s">
        <v>94</v>
      </c>
      <c r="C17" s="10" t="s">
        <v>145</v>
      </c>
      <c r="D17" s="10" t="s">
        <v>149</v>
      </c>
      <c r="E17" s="11" t="s">
        <v>150</v>
      </c>
      <c r="F17" s="10" t="s">
        <v>133</v>
      </c>
      <c r="G17" s="10" t="s">
        <v>99</v>
      </c>
      <c r="H17" s="12" t="str">
        <f aca="false">IF(OR($G17="all",AND(00_はじめに!$B$24="Y",ISNUMBER(SEARCH("traditional",$G17))),AND(00_はじめに!$B$25="Y",ISNUMBER(SEARCH("generative",$G17))),AND(00_はじめに!$B$26="Y",ISNUMBER(SEARCH("ai-agent",$G17))),AND(00_はじめに!$B$27="Y",ISNUMBER(SEARCH("multi-agent",$G17)))),"○","対象外")</f>
        <v>○</v>
      </c>
      <c r="I17" s="13"/>
      <c r="J17" s="14" t="n">
        <v>4</v>
      </c>
      <c r="K17" s="12" t="str">
        <f aca="false">IF(OR($H17="対象外",$I17="",$J17=""),"",$J17-$I17)</f>
        <v/>
      </c>
      <c r="L17" s="14" t="n">
        <v>5</v>
      </c>
      <c r="M17" s="14" t="n">
        <v>3</v>
      </c>
      <c r="N17" s="14" t="n">
        <v>5</v>
      </c>
      <c r="O17" s="14" t="n">
        <v>2</v>
      </c>
      <c r="P17" s="14" t="n">
        <v>4</v>
      </c>
      <c r="Q17" s="14" t="n">
        <v>3</v>
      </c>
      <c r="R17" s="15" t="str">
        <f aca="false">IF(OR($H17="対象外",$K17="",$L17="",$M17="",$N17="",$O17="",$P17="",$Q17=""),"",($K17*$L17*$M17*$N17*$O17*$P17)/$Q17)</f>
        <v/>
      </c>
      <c r="S17" s="12" t="str">
        <f aca="false">IF($H17="対象外","",IF(OR($I17="",$J17=""),"",IF(OR($J17-$I17&gt;0,AND($R17&lt;&gt;"",$R17&gt;=00_はじめに!$B$19)),"○","")))</f>
        <v/>
      </c>
      <c r="T17" s="10" t="str">
        <f aca="false">IFERROR(VLOOKUP($A17,03_質問施策マッピング!$A:$B,2,0),"")</f>
        <v>AIMF-GV-RSM-002</v>
      </c>
      <c r="U17" s="10" t="str">
        <f aca="false">IF($T17="","",IFERROR(VLOOKUP($T17,02_施策マスター!$A:$B,2,0),""))</f>
        <v>AIシステム影響評価（AIIA）の実施</v>
      </c>
      <c r="V17" s="10" t="str">
        <f aca="false">IF($R17="","",$R17+(1000-ROW())/1000000)</f>
        <v/>
      </c>
      <c r="W17" s="10" t="str">
        <f aca="false">IF($V17="","",COUNTIF($V$2:$V$208,"&gt;"&amp;$V17)+1)</f>
        <v/>
      </c>
      <c r="X17" s="10" t="s">
        <v>100</v>
      </c>
    </row>
    <row r="18" customFormat="false" ht="39.55" hidden="false" customHeight="false" outlineLevel="0" collapsed="false">
      <c r="A18" s="10" t="s">
        <v>151</v>
      </c>
      <c r="B18" s="10" t="s">
        <v>94</v>
      </c>
      <c r="C18" s="10" t="s">
        <v>145</v>
      </c>
      <c r="D18" s="10" t="s">
        <v>152</v>
      </c>
      <c r="E18" s="11" t="s">
        <v>153</v>
      </c>
      <c r="F18" s="10" t="s">
        <v>133</v>
      </c>
      <c r="G18" s="10" t="s">
        <v>99</v>
      </c>
      <c r="H18" s="12" t="str">
        <f aca="false">IF(OR($G18="all",AND(00_はじめに!$B$24="Y",ISNUMBER(SEARCH("traditional",$G18))),AND(00_はじめに!$B$25="Y",ISNUMBER(SEARCH("generative",$G18))),AND(00_はじめに!$B$26="Y",ISNUMBER(SEARCH("ai-agent",$G18))),AND(00_はじめに!$B$27="Y",ISNUMBER(SEARCH("multi-agent",$G18)))),"○","対象外")</f>
        <v>○</v>
      </c>
      <c r="I18" s="13"/>
      <c r="J18" s="14" t="n">
        <v>4</v>
      </c>
      <c r="K18" s="12" t="str">
        <f aca="false">IF(OR($H18="対象外",$I18="",$J18=""),"",$J18-$I18)</f>
        <v/>
      </c>
      <c r="L18" s="14" t="n">
        <v>5</v>
      </c>
      <c r="M18" s="14" t="n">
        <v>3</v>
      </c>
      <c r="N18" s="14" t="n">
        <v>5</v>
      </c>
      <c r="O18" s="14" t="n">
        <v>2</v>
      </c>
      <c r="P18" s="14" t="n">
        <v>4</v>
      </c>
      <c r="Q18" s="14" t="n">
        <v>3</v>
      </c>
      <c r="R18" s="15" t="str">
        <f aca="false">IF(OR($H18="対象外",$K18="",$L18="",$M18="",$N18="",$O18="",$P18="",$Q18=""),"",($K18*$L18*$M18*$N18*$O18*$P18)/$Q18)</f>
        <v/>
      </c>
      <c r="S18" s="12" t="str">
        <f aca="false">IF($H18="対象外","",IF(OR($I18="",$J18=""),"",IF(OR($J18-$I18&gt;0,AND($R18&lt;&gt;"",$R18&gt;=00_はじめに!$B$19)),"○","")))</f>
        <v/>
      </c>
      <c r="T18" s="10" t="str">
        <f aca="false">IFERROR(VLOOKUP($A18,03_質問施策マッピング!$A:$B,2,0),"")</f>
        <v>AIMF-GV-RSM-003</v>
      </c>
      <c r="U18" s="10" t="str">
        <f aca="false">IF($T18="","",IFERROR(VLOOKUP($T18,02_施策マスター!$A:$B,2,0),""))</f>
        <v>AIシステムのリスク分類・階層化</v>
      </c>
      <c r="V18" s="10" t="str">
        <f aca="false">IF($R18="","",$R18+(1000-ROW())/1000000)</f>
        <v/>
      </c>
      <c r="W18" s="10" t="str">
        <f aca="false">IF($V18="","",COUNTIF($V$2:$V$208,"&gt;"&amp;$V18)+1)</f>
        <v/>
      </c>
      <c r="X18" s="10" t="s">
        <v>100</v>
      </c>
    </row>
    <row r="19" customFormat="false" ht="32.8" hidden="false" customHeight="false" outlineLevel="0" collapsed="false">
      <c r="A19" s="10" t="s">
        <v>154</v>
      </c>
      <c r="B19" s="10" t="s">
        <v>94</v>
      </c>
      <c r="C19" s="10" t="s">
        <v>145</v>
      </c>
      <c r="D19" s="10" t="s">
        <v>155</v>
      </c>
      <c r="E19" s="11" t="s">
        <v>156</v>
      </c>
      <c r="F19" s="10" t="s">
        <v>98</v>
      </c>
      <c r="G19" s="10" t="s">
        <v>99</v>
      </c>
      <c r="H19" s="12" t="str">
        <f aca="false">IF(OR($G19="all",AND(00_はじめに!$B$24="Y",ISNUMBER(SEARCH("traditional",$G19))),AND(00_はじめに!$B$25="Y",ISNUMBER(SEARCH("generative",$G19))),AND(00_はじめに!$B$26="Y",ISNUMBER(SEARCH("ai-agent",$G19))),AND(00_はじめに!$B$27="Y",ISNUMBER(SEARCH("multi-agent",$G19)))),"○","対象外")</f>
        <v>○</v>
      </c>
      <c r="I19" s="13"/>
      <c r="J19" s="14" t="n">
        <v>3</v>
      </c>
      <c r="K19" s="12" t="str">
        <f aca="false">IF(OR($H19="対象外",$I19="",$J19=""),"",$J19-$I19)</f>
        <v/>
      </c>
      <c r="L19" s="14" t="n">
        <v>5</v>
      </c>
      <c r="M19" s="14" t="n">
        <v>3</v>
      </c>
      <c r="N19" s="14" t="n">
        <v>5</v>
      </c>
      <c r="O19" s="14" t="n">
        <v>4</v>
      </c>
      <c r="P19" s="14" t="n">
        <v>4</v>
      </c>
      <c r="Q19" s="14" t="n">
        <v>2</v>
      </c>
      <c r="R19" s="15" t="str">
        <f aca="false">IF(OR($H19="対象外",$K19="",$L19="",$M19="",$N19="",$O19="",$P19="",$Q19=""),"",($K19*$L19*$M19*$N19*$O19*$P19)/$Q19)</f>
        <v/>
      </c>
      <c r="S19" s="12" t="str">
        <f aca="false">IF($H19="対象外","",IF(OR($I19="",$J19=""),"",IF(OR($J19-$I19&gt;0,AND($R19&lt;&gt;"",$R19&gt;=00_はじめに!$B$19)),"○","")))</f>
        <v/>
      </c>
      <c r="T19" s="10" t="str">
        <f aca="false">IFERROR(VLOOKUP($A19,03_質問施策マッピング!$A:$B,2,0),"")</f>
        <v>AIMF-GV-RSM-004</v>
      </c>
      <c r="U19" s="10" t="str">
        <f aca="false">IF($T19="","",IFERROR(VLOOKUP($T19,02_施策マスター!$A:$B,2,0),""))</f>
        <v>AIリスク登録簿の整備・維持</v>
      </c>
      <c r="V19" s="10" t="str">
        <f aca="false">IF($R19="","",$R19+(1000-ROW())/1000000)</f>
        <v/>
      </c>
      <c r="W19" s="10" t="str">
        <f aca="false">IF($V19="","",COUNTIF($V$2:$V$208,"&gt;"&amp;$V19)+1)</f>
        <v/>
      </c>
      <c r="X19" s="10" t="s">
        <v>116</v>
      </c>
    </row>
    <row r="20" customFormat="false" ht="32.8" hidden="false" customHeight="false" outlineLevel="0" collapsed="false">
      <c r="A20" s="10" t="s">
        <v>157</v>
      </c>
      <c r="B20" s="10" t="s">
        <v>94</v>
      </c>
      <c r="C20" s="10" t="s">
        <v>145</v>
      </c>
      <c r="D20" s="11" t="s">
        <v>158</v>
      </c>
      <c r="E20" s="11" t="s">
        <v>159</v>
      </c>
      <c r="F20" s="10" t="s">
        <v>98</v>
      </c>
      <c r="G20" s="10" t="s">
        <v>99</v>
      </c>
      <c r="H20" s="12" t="str">
        <f aca="false">IF(OR($G20="all",AND(00_はじめに!$B$24="Y",ISNUMBER(SEARCH("traditional",$G20))),AND(00_はじめに!$B$25="Y",ISNUMBER(SEARCH("generative",$G20))),AND(00_はじめに!$B$26="Y",ISNUMBER(SEARCH("ai-agent",$G20))),AND(00_はじめに!$B$27="Y",ISNUMBER(SEARCH("multi-agent",$G20)))),"○","対象外")</f>
        <v>○</v>
      </c>
      <c r="I20" s="13"/>
      <c r="J20" s="14" t="n">
        <v>3</v>
      </c>
      <c r="K20" s="12" t="str">
        <f aca="false">IF(OR($H20="対象外",$I20="",$J20=""),"",$J20-$I20)</f>
        <v/>
      </c>
      <c r="L20" s="14" t="n">
        <v>5</v>
      </c>
      <c r="M20" s="14" t="n">
        <v>3</v>
      </c>
      <c r="N20" s="14" t="n">
        <v>5</v>
      </c>
      <c r="O20" s="14" t="n">
        <v>4</v>
      </c>
      <c r="P20" s="14" t="n">
        <v>4</v>
      </c>
      <c r="Q20" s="14" t="n">
        <v>2</v>
      </c>
      <c r="R20" s="15" t="str">
        <f aca="false">IF(OR($H20="対象外",$K20="",$L20="",$M20="",$N20="",$O20="",$P20="",$Q20=""),"",($K20*$L20*$M20*$N20*$O20*$P20)/$Q20)</f>
        <v/>
      </c>
      <c r="S20" s="12" t="str">
        <f aca="false">IF($H20="対象外","",IF(OR($I20="",$J20=""),"",IF(OR($J20-$I20&gt;0,AND($R20&lt;&gt;"",$R20&gt;=00_はじめに!$B$19)),"○","")))</f>
        <v/>
      </c>
      <c r="T20" s="10" t="str">
        <f aca="false">IFERROR(VLOOKUP($A20,03_質問施策マッピング!$A:$B,2,0),"")</f>
        <v>AIMF-GV-RSM-005</v>
      </c>
      <c r="U20" s="10" t="str">
        <f aca="false">IF($T20="","",IFERROR(VLOOKUP($T20,02_施策マスター!$A:$B,2,0),""))</f>
        <v>リスク受容基準と残存リスクの承認</v>
      </c>
      <c r="V20" s="10" t="str">
        <f aca="false">IF($R20="","",$R20+(1000-ROW())/1000000)</f>
        <v/>
      </c>
      <c r="W20" s="10" t="str">
        <f aca="false">IF($V20="","",COUNTIF($V$2:$V$208,"&gt;"&amp;$V20)+1)</f>
        <v/>
      </c>
      <c r="X20" s="10" t="s">
        <v>116</v>
      </c>
    </row>
    <row r="21" customFormat="false" ht="26.85" hidden="false" customHeight="false" outlineLevel="0" collapsed="false">
      <c r="A21" s="10" t="s">
        <v>160</v>
      </c>
      <c r="B21" s="10" t="s">
        <v>94</v>
      </c>
      <c r="C21" s="10" t="s">
        <v>145</v>
      </c>
      <c r="D21" s="11" t="s">
        <v>161</v>
      </c>
      <c r="E21" s="10" t="s">
        <v>162</v>
      </c>
      <c r="F21" s="10" t="s">
        <v>133</v>
      </c>
      <c r="G21" s="10" t="s">
        <v>99</v>
      </c>
      <c r="H21" s="12" t="str">
        <f aca="false">IF(OR($G21="all",AND(00_はじめに!$B$24="Y",ISNUMBER(SEARCH("traditional",$G21))),AND(00_はじめに!$B$25="Y",ISNUMBER(SEARCH("generative",$G21))),AND(00_はじめに!$B$26="Y",ISNUMBER(SEARCH("ai-agent",$G21))),AND(00_はじめに!$B$27="Y",ISNUMBER(SEARCH("multi-agent",$G21)))),"○","対象外")</f>
        <v>○</v>
      </c>
      <c r="I21" s="13"/>
      <c r="J21" s="14" t="n">
        <v>3</v>
      </c>
      <c r="K21" s="12" t="str">
        <f aca="false">IF(OR($H21="対象外",$I21="",$J21=""),"",$J21-$I21)</f>
        <v/>
      </c>
      <c r="L21" s="14" t="n">
        <v>5</v>
      </c>
      <c r="M21" s="14" t="n">
        <v>3</v>
      </c>
      <c r="N21" s="14" t="n">
        <v>5</v>
      </c>
      <c r="O21" s="14" t="n">
        <v>2</v>
      </c>
      <c r="P21" s="14" t="n">
        <v>4</v>
      </c>
      <c r="Q21" s="14" t="n">
        <v>3</v>
      </c>
      <c r="R21" s="15" t="str">
        <f aca="false">IF(OR($H21="対象外",$K21="",$L21="",$M21="",$N21="",$O21="",$P21="",$Q21=""),"",($K21*$L21*$M21*$N21*$O21*$P21)/$Q21)</f>
        <v/>
      </c>
      <c r="S21" s="12" t="str">
        <f aca="false">IF($H21="対象外","",IF(OR($I21="",$J21=""),"",IF(OR($J21-$I21&gt;0,AND($R21&lt;&gt;"",$R21&gt;=00_はじめに!$B$19)),"○","")))</f>
        <v/>
      </c>
      <c r="T21" s="10" t="str">
        <f aca="false">IFERROR(VLOOKUP($A21,03_質問施策マッピング!$A:$B,2,0),"")</f>
        <v>AIMF-GV-RSM-006</v>
      </c>
      <c r="U21" s="10" t="str">
        <f aca="false">IF($T21="","",IFERROR(VLOOKUP($T21,02_施策マスター!$A:$B,2,0),""))</f>
        <v>脅威情報に基づくAIリスク評価</v>
      </c>
      <c r="V21" s="10" t="str">
        <f aca="false">IF($R21="","",$R21+(1000-ROW())/1000000)</f>
        <v/>
      </c>
      <c r="W21" s="10" t="str">
        <f aca="false">IF($V21="","",COUNTIF($V$2:$V$208,"&gt;"&amp;$V21)+1)</f>
        <v/>
      </c>
      <c r="X21" s="10" t="s">
        <v>116</v>
      </c>
    </row>
    <row r="22" customFormat="false" ht="39.55" hidden="false" customHeight="false" outlineLevel="0" collapsed="false">
      <c r="A22" s="10" t="s">
        <v>163</v>
      </c>
      <c r="B22" s="10" t="s">
        <v>94</v>
      </c>
      <c r="C22" s="10" t="s">
        <v>145</v>
      </c>
      <c r="D22" s="11" t="s">
        <v>164</v>
      </c>
      <c r="E22" s="11" t="s">
        <v>165</v>
      </c>
      <c r="F22" s="10" t="s">
        <v>133</v>
      </c>
      <c r="G22" s="10" t="s">
        <v>166</v>
      </c>
      <c r="H22" s="12" t="str">
        <f aca="false">IF(OR($G22="all",AND(00_はじめに!$B$24="Y",ISNUMBER(SEARCH("traditional",$G22))),AND(00_はじめに!$B$25="Y",ISNUMBER(SEARCH("generative",$G22))),AND(00_はじめに!$B$26="Y",ISNUMBER(SEARCH("ai-agent",$G22))),AND(00_はじめに!$B$27="Y",ISNUMBER(SEARCH("multi-agent",$G22)))),"○","対象外")</f>
        <v>○</v>
      </c>
      <c r="I22" s="13"/>
      <c r="J22" s="14" t="n">
        <v>3</v>
      </c>
      <c r="K22" s="12" t="str">
        <f aca="false">IF(OR($H22="対象外",$I22="",$J22=""),"",$J22-$I22)</f>
        <v/>
      </c>
      <c r="L22" s="14" t="n">
        <v>5</v>
      </c>
      <c r="M22" s="14" t="n">
        <v>3</v>
      </c>
      <c r="N22" s="14" t="n">
        <v>5</v>
      </c>
      <c r="O22" s="14" t="n">
        <v>2</v>
      </c>
      <c r="P22" s="14" t="n">
        <v>4</v>
      </c>
      <c r="Q22" s="14" t="n">
        <v>3</v>
      </c>
      <c r="R22" s="15" t="str">
        <f aca="false">IF(OR($H22="対象外",$K22="",$L22="",$M22="",$N22="",$O22="",$P22="",$Q22=""),"",($K22*$L22*$M22*$N22*$O22*$P22)/$Q22)</f>
        <v/>
      </c>
      <c r="S22" s="12" t="str">
        <f aca="false">IF($H22="対象外","",IF(OR($I22="",$J22=""),"",IF(OR($J22-$I22&gt;0,AND($R22&lt;&gt;"",$R22&gt;=00_はじめに!$B$19)),"○","")))</f>
        <v/>
      </c>
      <c r="T22" s="10" t="str">
        <f aca="false">IFERROR(VLOOKUP($A22,03_質問施策マッピング!$A:$B,2,0),"")</f>
        <v>AIMF-GV-RSM-007</v>
      </c>
      <c r="U22" s="10" t="str">
        <f aca="false">IF($T22="","",IFERROR(VLOOKUP($T22,02_施策マスター!$A:$B,2,0),""))</f>
        <v>エージェントAI導入前の限定リスク評価</v>
      </c>
      <c r="V22" s="10" t="str">
        <f aca="false">IF($R22="","",$R22+(1000-ROW())/1000000)</f>
        <v/>
      </c>
      <c r="W22" s="10" t="str">
        <f aca="false">IF($V22="","",COUNTIF($V$2:$V$208,"&gt;"&amp;$V22)+1)</f>
        <v/>
      </c>
      <c r="X22" s="10" t="s">
        <v>116</v>
      </c>
    </row>
    <row r="23" customFormat="false" ht="32.8" hidden="false" customHeight="false" outlineLevel="0" collapsed="false">
      <c r="A23" s="10" t="s">
        <v>167</v>
      </c>
      <c r="B23" s="10" t="s">
        <v>94</v>
      </c>
      <c r="C23" s="10" t="s">
        <v>145</v>
      </c>
      <c r="D23" s="10" t="s">
        <v>168</v>
      </c>
      <c r="E23" s="10" t="s">
        <v>169</v>
      </c>
      <c r="F23" s="10" t="s">
        <v>98</v>
      </c>
      <c r="G23" s="10" t="s">
        <v>99</v>
      </c>
      <c r="H23" s="12" t="str">
        <f aca="false">IF(OR($G23="all",AND(00_はじめに!$B$24="Y",ISNUMBER(SEARCH("traditional",$G23))),AND(00_はじめに!$B$25="Y",ISNUMBER(SEARCH("generative",$G23))),AND(00_はじめに!$B$26="Y",ISNUMBER(SEARCH("ai-agent",$G23))),AND(00_はじめに!$B$27="Y",ISNUMBER(SEARCH("multi-agent",$G23)))),"○","対象外")</f>
        <v>○</v>
      </c>
      <c r="I23" s="13"/>
      <c r="J23" s="14" t="n">
        <v>3</v>
      </c>
      <c r="K23" s="12" t="str">
        <f aca="false">IF(OR($H23="対象外",$I23="",$J23=""),"",$J23-$I23)</f>
        <v/>
      </c>
      <c r="L23" s="14" t="n">
        <v>5</v>
      </c>
      <c r="M23" s="14" t="n">
        <v>3</v>
      </c>
      <c r="N23" s="14" t="n">
        <v>5</v>
      </c>
      <c r="O23" s="14" t="n">
        <v>4</v>
      </c>
      <c r="P23" s="14" t="n">
        <v>4</v>
      </c>
      <c r="Q23" s="14" t="n">
        <v>2</v>
      </c>
      <c r="R23" s="15" t="str">
        <f aca="false">IF(OR($H23="対象外",$K23="",$L23="",$M23="",$N23="",$O23="",$P23="",$Q23=""),"",($K23*$L23*$M23*$N23*$O23*$P23)/$Q23)</f>
        <v/>
      </c>
      <c r="S23" s="12" t="str">
        <f aca="false">IF($H23="対象外","",IF(OR($I23="",$J23=""),"",IF(OR($J23-$I23&gt;0,AND($R23&lt;&gt;"",$R23&gt;=00_はじめに!$B$19)),"○","")))</f>
        <v/>
      </c>
      <c r="T23" s="10" t="str">
        <f aca="false">IFERROR(VLOOKUP($A23,03_質問施策マッピング!$A:$B,2,0),"")</f>
        <v>AIMF-GV-RSM-008</v>
      </c>
      <c r="U23" s="10" t="str">
        <f aca="false">IF($T23="","",IFERROR(VLOOKUP($T23,02_施策マスター!$A:$B,2,0),""))</f>
        <v>AIリスクKRIとエスカレーション閾値</v>
      </c>
      <c r="V23" s="10" t="str">
        <f aca="false">IF($R23="","",$R23+(1000-ROW())/1000000)</f>
        <v/>
      </c>
      <c r="W23" s="10" t="str">
        <f aca="false">IF($V23="","",COUNTIF($V$2:$V$208,"&gt;"&amp;$V23)+1)</f>
        <v/>
      </c>
      <c r="X23" s="10" t="s">
        <v>116</v>
      </c>
    </row>
    <row r="24" customFormat="false" ht="39.55" hidden="false" customHeight="false" outlineLevel="0" collapsed="false">
      <c r="A24" s="10" t="s">
        <v>170</v>
      </c>
      <c r="B24" s="10" t="s">
        <v>94</v>
      </c>
      <c r="C24" s="10" t="s">
        <v>171</v>
      </c>
      <c r="D24" s="10" t="s">
        <v>172</v>
      </c>
      <c r="E24" s="10" t="s">
        <v>173</v>
      </c>
      <c r="F24" s="10" t="s">
        <v>98</v>
      </c>
      <c r="G24" s="10" t="s">
        <v>99</v>
      </c>
      <c r="H24" s="12" t="str">
        <f aca="false">IF(OR($G24="all",AND(00_はじめに!$B$24="Y",ISNUMBER(SEARCH("traditional",$G24))),AND(00_はじめに!$B$25="Y",ISNUMBER(SEARCH("generative",$G24))),AND(00_はじめに!$B$26="Y",ISNUMBER(SEARCH("ai-agent",$G24))),AND(00_はじめに!$B$27="Y",ISNUMBER(SEARCH("multi-agent",$G24)))),"○","対象外")</f>
        <v>○</v>
      </c>
      <c r="I24" s="13"/>
      <c r="J24" s="14" t="n">
        <v>4</v>
      </c>
      <c r="K24" s="12" t="str">
        <f aca="false">IF(OR($H24="対象外",$I24="",$J24=""),"",$J24-$I24)</f>
        <v/>
      </c>
      <c r="L24" s="14" t="n">
        <v>4</v>
      </c>
      <c r="M24" s="14" t="n">
        <v>3</v>
      </c>
      <c r="N24" s="14" t="n">
        <v>5</v>
      </c>
      <c r="O24" s="14" t="n">
        <v>4</v>
      </c>
      <c r="P24" s="14" t="n">
        <v>4</v>
      </c>
      <c r="Q24" s="14" t="n">
        <v>2</v>
      </c>
      <c r="R24" s="15" t="str">
        <f aca="false">IF(OR($H24="対象外",$K24="",$L24="",$M24="",$N24="",$O24="",$P24="",$Q24=""),"",($K24*$L24*$M24*$N24*$O24*$P24)/$Q24)</f>
        <v/>
      </c>
      <c r="S24" s="12" t="str">
        <f aca="false">IF($H24="対象外","",IF(OR($I24="",$J24=""),"",IF(OR($J24-$I24&gt;0,AND($R24&lt;&gt;"",$R24&gt;=00_はじめに!$B$19)),"○","")))</f>
        <v/>
      </c>
      <c r="T24" s="10" t="str">
        <f aca="false">IFERROR(VLOOKUP($A24,03_質問施策マッピング!$A:$B,2,0),"")</f>
        <v>AIMF-GV-LGL-001</v>
      </c>
      <c r="U24" s="10" t="str">
        <f aca="false">IF($T24="","",IFERROR(VLOOKUP($T24,02_施策マスター!$A:$B,2,0),""))</f>
        <v>AI法規制遵守の継続的確認</v>
      </c>
      <c r="V24" s="10" t="str">
        <f aca="false">IF($R24="","",$R24+(1000-ROW())/1000000)</f>
        <v/>
      </c>
      <c r="W24" s="10" t="str">
        <f aca="false">IF($V24="","",COUNTIF($V$2:$V$208,"&gt;"&amp;$V24)+1)</f>
        <v/>
      </c>
      <c r="X24" s="10" t="s">
        <v>100</v>
      </c>
    </row>
    <row r="25" customFormat="false" ht="26.85" hidden="false" customHeight="false" outlineLevel="0" collapsed="false">
      <c r="A25" s="10" t="s">
        <v>174</v>
      </c>
      <c r="B25" s="10" t="s">
        <v>94</v>
      </c>
      <c r="C25" s="10" t="s">
        <v>171</v>
      </c>
      <c r="D25" s="11" t="s">
        <v>175</v>
      </c>
      <c r="E25" s="10" t="s">
        <v>176</v>
      </c>
      <c r="F25" s="10" t="s">
        <v>133</v>
      </c>
      <c r="G25" s="10" t="s">
        <v>134</v>
      </c>
      <c r="H25" s="12" t="str">
        <f aca="false">IF(OR($G25="all",AND(00_はじめに!$B$24="Y",ISNUMBER(SEARCH("traditional",$G25))),AND(00_はじめに!$B$25="Y",ISNUMBER(SEARCH("generative",$G25))),AND(00_はじめに!$B$26="Y",ISNUMBER(SEARCH("ai-agent",$G25))),AND(00_はじめに!$B$27="Y",ISNUMBER(SEARCH("multi-agent",$G25)))),"○","対象外")</f>
        <v>○</v>
      </c>
      <c r="I25" s="13"/>
      <c r="J25" s="14" t="n">
        <v>4</v>
      </c>
      <c r="K25" s="12" t="str">
        <f aca="false">IF(OR($H25="対象外",$I25="",$J25=""),"",$J25-$I25)</f>
        <v/>
      </c>
      <c r="L25" s="14" t="n">
        <v>4</v>
      </c>
      <c r="M25" s="14" t="n">
        <v>3</v>
      </c>
      <c r="N25" s="14" t="n">
        <v>5</v>
      </c>
      <c r="O25" s="14" t="n">
        <v>2</v>
      </c>
      <c r="P25" s="14" t="n">
        <v>4</v>
      </c>
      <c r="Q25" s="14" t="n">
        <v>3</v>
      </c>
      <c r="R25" s="15" t="str">
        <f aca="false">IF(OR($H25="対象外",$K25="",$L25="",$M25="",$N25="",$O25="",$P25="",$Q25=""),"",($K25*$L25*$M25*$N25*$O25*$P25)/$Q25)</f>
        <v/>
      </c>
      <c r="S25" s="12" t="str">
        <f aca="false">IF($H25="対象外","",IF(OR($I25="",$J25=""),"",IF(OR($J25-$I25&gt;0,AND($R25&lt;&gt;"",$R25&gt;=00_はじめに!$B$19)),"○","")))</f>
        <v/>
      </c>
      <c r="T25" s="10" t="str">
        <f aca="false">IFERROR(VLOOKUP($A25,03_質問施策マッピング!$A:$B,2,0),"")</f>
        <v>AIMF-GV-LGL-002</v>
      </c>
      <c r="U25" s="10" t="str">
        <f aca="false">IF($T25="","",IFERROR(VLOOKUP($T25,02_施策マスター!$A:$B,2,0),""))</f>
        <v>知的財産（著作権・特許）リスク評価</v>
      </c>
      <c r="V25" s="10" t="str">
        <f aca="false">IF($R25="","",$R25+(1000-ROW())/1000000)</f>
        <v/>
      </c>
      <c r="W25" s="10" t="str">
        <f aca="false">IF($V25="","",COUNTIF($V$2:$V$208,"&gt;"&amp;$V25)+1)</f>
        <v/>
      </c>
      <c r="X25" s="10" t="s">
        <v>100</v>
      </c>
    </row>
    <row r="26" customFormat="false" ht="39.55" hidden="false" customHeight="false" outlineLevel="0" collapsed="false">
      <c r="A26" s="10" t="s">
        <v>177</v>
      </c>
      <c r="B26" s="10" t="s">
        <v>94</v>
      </c>
      <c r="C26" s="10" t="s">
        <v>171</v>
      </c>
      <c r="D26" s="11" t="s">
        <v>178</v>
      </c>
      <c r="E26" s="11" t="s">
        <v>179</v>
      </c>
      <c r="F26" s="10" t="s">
        <v>98</v>
      </c>
      <c r="G26" s="10" t="s">
        <v>134</v>
      </c>
      <c r="H26" s="12" t="str">
        <f aca="false">IF(OR($G26="all",AND(00_はじめに!$B$24="Y",ISNUMBER(SEARCH("traditional",$G26))),AND(00_はじめに!$B$25="Y",ISNUMBER(SEARCH("generative",$G26))),AND(00_はじめに!$B$26="Y",ISNUMBER(SEARCH("ai-agent",$G26))),AND(00_はじめに!$B$27="Y",ISNUMBER(SEARCH("multi-agent",$G26)))),"○","対象外")</f>
        <v>○</v>
      </c>
      <c r="I26" s="13"/>
      <c r="J26" s="14" t="n">
        <v>4</v>
      </c>
      <c r="K26" s="12" t="str">
        <f aca="false">IF(OR($H26="対象外",$I26="",$J26=""),"",$J26-$I26)</f>
        <v/>
      </c>
      <c r="L26" s="14" t="n">
        <v>4</v>
      </c>
      <c r="M26" s="14" t="n">
        <v>3</v>
      </c>
      <c r="N26" s="14" t="n">
        <v>5</v>
      </c>
      <c r="O26" s="14" t="n">
        <v>4</v>
      </c>
      <c r="P26" s="14" t="n">
        <v>4</v>
      </c>
      <c r="Q26" s="14" t="n">
        <v>2</v>
      </c>
      <c r="R26" s="15" t="str">
        <f aca="false">IF(OR($H26="対象外",$K26="",$L26="",$M26="",$N26="",$O26="",$P26="",$Q26=""),"",($K26*$L26*$M26*$N26*$O26*$P26)/$Q26)</f>
        <v/>
      </c>
      <c r="S26" s="12" t="str">
        <f aca="false">IF($H26="対象外","",IF(OR($I26="",$J26=""),"",IF(OR($J26-$I26&gt;0,AND($R26&lt;&gt;"",$R26&gt;=00_はじめに!$B$19)),"○","")))</f>
        <v/>
      </c>
      <c r="T26" s="10" t="str">
        <f aca="false">IFERROR(VLOOKUP($A26,03_質問施策マッピング!$A:$B,2,0),"")</f>
        <v>AIMF-GV-LGL-003</v>
      </c>
      <c r="U26" s="10" t="str">
        <f aca="false">IF($T26="","",IFERROR(VLOOKUP($T26,02_施策マスター!$A:$B,2,0),""))</f>
        <v>シャドーデータの徹底的なクレンジング</v>
      </c>
      <c r="V26" s="10" t="str">
        <f aca="false">IF($R26="","",$R26+(1000-ROW())/1000000)</f>
        <v/>
      </c>
      <c r="W26" s="10" t="str">
        <f aca="false">IF($V26="","",COUNTIF($V$2:$V$208,"&gt;"&amp;$V26)+1)</f>
        <v/>
      </c>
      <c r="X26" s="10" t="s">
        <v>100</v>
      </c>
    </row>
    <row r="27" customFormat="false" ht="39.55" hidden="false" customHeight="false" outlineLevel="0" collapsed="false">
      <c r="A27" s="10" t="s">
        <v>180</v>
      </c>
      <c r="B27" s="10" t="s">
        <v>94</v>
      </c>
      <c r="C27" s="10" t="s">
        <v>171</v>
      </c>
      <c r="D27" s="10" t="s">
        <v>181</v>
      </c>
      <c r="E27" s="11" t="s">
        <v>182</v>
      </c>
      <c r="F27" s="10" t="s">
        <v>133</v>
      </c>
      <c r="G27" s="10" t="s">
        <v>99</v>
      </c>
      <c r="H27" s="12" t="str">
        <f aca="false">IF(OR($G27="all",AND(00_はじめに!$B$24="Y",ISNUMBER(SEARCH("traditional",$G27))),AND(00_はじめに!$B$25="Y",ISNUMBER(SEARCH("generative",$G27))),AND(00_はじめに!$B$26="Y",ISNUMBER(SEARCH("ai-agent",$G27))),AND(00_はじめに!$B$27="Y",ISNUMBER(SEARCH("multi-agent",$G27)))),"○","対象外")</f>
        <v>○</v>
      </c>
      <c r="I27" s="13"/>
      <c r="J27" s="14" t="n">
        <v>3</v>
      </c>
      <c r="K27" s="12" t="str">
        <f aca="false">IF(OR($H27="対象外",$I27="",$J27=""),"",$J27-$I27)</f>
        <v/>
      </c>
      <c r="L27" s="14" t="n">
        <v>4</v>
      </c>
      <c r="M27" s="14" t="n">
        <v>3</v>
      </c>
      <c r="N27" s="14" t="n">
        <v>5</v>
      </c>
      <c r="O27" s="14" t="n">
        <v>2</v>
      </c>
      <c r="P27" s="14" t="n">
        <v>4</v>
      </c>
      <c r="Q27" s="14" t="n">
        <v>3</v>
      </c>
      <c r="R27" s="15" t="str">
        <f aca="false">IF(OR($H27="対象外",$K27="",$L27="",$M27="",$N27="",$O27="",$P27="",$Q27=""),"",($K27*$L27*$M27*$N27*$O27*$P27)/$Q27)</f>
        <v/>
      </c>
      <c r="S27" s="12" t="str">
        <f aca="false">IF($H27="対象外","",IF(OR($I27="",$J27=""),"",IF(OR($J27-$I27&gt;0,AND($R27&lt;&gt;"",$R27&gt;=00_はじめに!$B$19)),"○","")))</f>
        <v/>
      </c>
      <c r="T27" s="10" t="str">
        <f aca="false">IFERROR(VLOOKUP($A27,03_質問施策マッピング!$A:$B,2,0),"")</f>
        <v>AIMF-GV-LGL-004</v>
      </c>
      <c r="U27" s="10" t="str">
        <f aca="false">IF($T27="","",IFERROR(VLOOKUP($T27,02_施策マスター!$A:$B,2,0),""))</f>
        <v>EU AI Act遵守プログラム</v>
      </c>
      <c r="V27" s="10" t="str">
        <f aca="false">IF($R27="","",$R27+(1000-ROW())/1000000)</f>
        <v/>
      </c>
      <c r="W27" s="10" t="str">
        <f aca="false">IF($V27="","",COUNTIF($V$2:$V$208,"&gt;"&amp;$V27)+1)</f>
        <v/>
      </c>
      <c r="X27" s="10" t="s">
        <v>116</v>
      </c>
    </row>
    <row r="28" customFormat="false" ht="32.8" hidden="false" customHeight="false" outlineLevel="0" collapsed="false">
      <c r="A28" s="10" t="s">
        <v>183</v>
      </c>
      <c r="B28" s="10" t="s">
        <v>94</v>
      </c>
      <c r="C28" s="10" t="s">
        <v>171</v>
      </c>
      <c r="D28" s="11" t="s">
        <v>184</v>
      </c>
      <c r="E28" s="10" t="s">
        <v>185</v>
      </c>
      <c r="F28" s="10" t="s">
        <v>98</v>
      </c>
      <c r="G28" s="10" t="s">
        <v>99</v>
      </c>
      <c r="H28" s="12" t="str">
        <f aca="false">IF(OR($G28="all",AND(00_はじめに!$B$24="Y",ISNUMBER(SEARCH("traditional",$G28))),AND(00_はじめに!$B$25="Y",ISNUMBER(SEARCH("generative",$G28))),AND(00_はじめに!$B$26="Y",ISNUMBER(SEARCH("ai-agent",$G28))),AND(00_はじめに!$B$27="Y",ISNUMBER(SEARCH("multi-agent",$G28)))),"○","対象外")</f>
        <v>○</v>
      </c>
      <c r="I28" s="13"/>
      <c r="J28" s="14" t="n">
        <v>3</v>
      </c>
      <c r="K28" s="12" t="str">
        <f aca="false">IF(OR($H28="対象外",$I28="",$J28=""),"",$J28-$I28)</f>
        <v/>
      </c>
      <c r="L28" s="14" t="n">
        <v>4</v>
      </c>
      <c r="M28" s="14" t="n">
        <v>3</v>
      </c>
      <c r="N28" s="14" t="n">
        <v>5</v>
      </c>
      <c r="O28" s="14" t="n">
        <v>4</v>
      </c>
      <c r="P28" s="14" t="n">
        <v>4</v>
      </c>
      <c r="Q28" s="14" t="n">
        <v>2</v>
      </c>
      <c r="R28" s="15" t="str">
        <f aca="false">IF(OR($H28="対象外",$K28="",$L28="",$M28="",$N28="",$O28="",$P28="",$Q28=""),"",($K28*$L28*$M28*$N28*$O28*$P28)/$Q28)</f>
        <v/>
      </c>
      <c r="S28" s="12" t="str">
        <f aca="false">IF($H28="対象外","",IF(OR($I28="",$J28=""),"",IF(OR($J28-$I28&gt;0,AND($R28&lt;&gt;"",$R28&gt;=00_はじめに!$B$19)),"○","")))</f>
        <v/>
      </c>
      <c r="T28" s="10" t="str">
        <f aca="false">IFERROR(VLOOKUP($A28,03_質問施策マッピング!$A:$B,2,0),"")</f>
        <v>AIMF-GV-LGL-005</v>
      </c>
      <c r="U28" s="10" t="str">
        <f aca="false">IF($T28="","",IFERROR(VLOOKUP($T28,02_施策マスター!$A:$B,2,0),""))</f>
        <v>越境データ移転・域外適用の評価</v>
      </c>
      <c r="V28" s="10" t="str">
        <f aca="false">IF($R28="","",$R28+(1000-ROW())/1000000)</f>
        <v/>
      </c>
      <c r="W28" s="10" t="str">
        <f aca="false">IF($V28="","",COUNTIF($V$2:$V$208,"&gt;"&amp;$V28)+1)</f>
        <v/>
      </c>
      <c r="X28" s="10" t="s">
        <v>116</v>
      </c>
    </row>
    <row r="29" customFormat="false" ht="39.55" hidden="false" customHeight="false" outlineLevel="0" collapsed="false">
      <c r="A29" s="10" t="s">
        <v>186</v>
      </c>
      <c r="B29" s="10" t="s">
        <v>94</v>
      </c>
      <c r="C29" s="10" t="s">
        <v>187</v>
      </c>
      <c r="D29" s="11" t="s">
        <v>188</v>
      </c>
      <c r="E29" s="10" t="s">
        <v>189</v>
      </c>
      <c r="F29" s="10" t="s">
        <v>98</v>
      </c>
      <c r="G29" s="10" t="s">
        <v>99</v>
      </c>
      <c r="H29" s="12" t="str">
        <f aca="false">IF(OR($G29="all",AND(00_はじめに!$B$24="Y",ISNUMBER(SEARCH("traditional",$G29))),AND(00_はじめに!$B$25="Y",ISNUMBER(SEARCH("generative",$G29))),AND(00_はじめに!$B$26="Y",ISNUMBER(SEARCH("ai-agent",$G29))),AND(00_はじめに!$B$27="Y",ISNUMBER(SEARCH("multi-agent",$G29)))),"○","対象外")</f>
        <v>○</v>
      </c>
      <c r="I29" s="13"/>
      <c r="J29" s="14" t="n">
        <v>4</v>
      </c>
      <c r="K29" s="12" t="str">
        <f aca="false">IF(OR($H29="対象外",$I29="",$J29=""),"",$J29-$I29)</f>
        <v/>
      </c>
      <c r="L29" s="14" t="n">
        <v>4</v>
      </c>
      <c r="M29" s="14" t="n">
        <v>3</v>
      </c>
      <c r="N29" s="14" t="n">
        <v>5</v>
      </c>
      <c r="O29" s="14" t="n">
        <v>4</v>
      </c>
      <c r="P29" s="14" t="n">
        <v>4</v>
      </c>
      <c r="Q29" s="14" t="n">
        <v>2</v>
      </c>
      <c r="R29" s="15" t="str">
        <f aca="false">IF(OR($H29="対象外",$K29="",$L29="",$M29="",$N29="",$O29="",$P29="",$Q29=""),"",($K29*$L29*$M29*$N29*$O29*$P29)/$Q29)</f>
        <v/>
      </c>
      <c r="S29" s="12" t="str">
        <f aca="false">IF($H29="対象外","",IF(OR($I29="",$J29=""),"",IF(OR($J29-$I29&gt;0,AND($R29&lt;&gt;"",$R29&gt;=00_はじめに!$B$19)),"○","")))</f>
        <v/>
      </c>
      <c r="T29" s="10" t="str">
        <f aca="false">IFERROR(VLOOKUP($A29,03_質問施策マッピング!$A:$B,2,0),"")</f>
        <v>AIMF-GV-AUD-001</v>
      </c>
      <c r="U29" s="10" t="str">
        <f aca="false">IF($T29="","",IFERROR(VLOOKUP($T29,02_施策マスター!$A:$B,2,0),""))</f>
        <v>内部監査・マネジメントレビュー</v>
      </c>
      <c r="V29" s="10" t="str">
        <f aca="false">IF($R29="","",$R29+(1000-ROW())/1000000)</f>
        <v/>
      </c>
      <c r="W29" s="10" t="str">
        <f aca="false">IF($V29="","",COUNTIF($V$2:$V$208,"&gt;"&amp;$V29)+1)</f>
        <v/>
      </c>
      <c r="X29" s="10" t="s">
        <v>100</v>
      </c>
    </row>
    <row r="30" customFormat="false" ht="39.55" hidden="false" customHeight="false" outlineLevel="0" collapsed="false">
      <c r="A30" s="10" t="s">
        <v>190</v>
      </c>
      <c r="B30" s="10" t="s">
        <v>94</v>
      </c>
      <c r="C30" s="10" t="s">
        <v>187</v>
      </c>
      <c r="D30" s="10" t="s">
        <v>191</v>
      </c>
      <c r="E30" s="11" t="s">
        <v>192</v>
      </c>
      <c r="F30" s="10" t="s">
        <v>98</v>
      </c>
      <c r="G30" s="10" t="s">
        <v>99</v>
      </c>
      <c r="H30" s="12" t="str">
        <f aca="false">IF(OR($G30="all",AND(00_はじめに!$B$24="Y",ISNUMBER(SEARCH("traditional",$G30))),AND(00_はじめに!$B$25="Y",ISNUMBER(SEARCH("generative",$G30))),AND(00_はじめに!$B$26="Y",ISNUMBER(SEARCH("ai-agent",$G30))),AND(00_はじめに!$B$27="Y",ISNUMBER(SEARCH("multi-agent",$G30)))),"○","対象外")</f>
        <v>○</v>
      </c>
      <c r="I30" s="13"/>
      <c r="J30" s="14" t="n">
        <v>3</v>
      </c>
      <c r="K30" s="12" t="str">
        <f aca="false">IF(OR($H30="対象外",$I30="",$J30=""),"",$J30-$I30)</f>
        <v/>
      </c>
      <c r="L30" s="14" t="n">
        <v>4</v>
      </c>
      <c r="M30" s="14" t="n">
        <v>3</v>
      </c>
      <c r="N30" s="14" t="n">
        <v>5</v>
      </c>
      <c r="O30" s="14" t="n">
        <v>4</v>
      </c>
      <c r="P30" s="14" t="n">
        <v>4</v>
      </c>
      <c r="Q30" s="14" t="n">
        <v>2</v>
      </c>
      <c r="R30" s="15" t="str">
        <f aca="false">IF(OR($H30="対象外",$K30="",$L30="",$M30="",$N30="",$O30="",$P30="",$Q30=""),"",($K30*$L30*$M30*$N30*$O30*$P30)/$Q30)</f>
        <v/>
      </c>
      <c r="S30" s="12" t="str">
        <f aca="false">IF($H30="対象外","",IF(OR($I30="",$J30=""),"",IF(OR($J30-$I30&gt;0,AND($R30&lt;&gt;"",$R30&gt;=00_はじめに!$B$19)),"○","")))</f>
        <v/>
      </c>
      <c r="T30" s="10" t="str">
        <f aca="false">IFERROR(VLOOKUP($A30,03_質問施策マッピング!$A:$B,2,0),"")</f>
        <v>AIMF-GV-AUD-002</v>
      </c>
      <c r="U30" s="10" t="str">
        <f aca="false">IF($T30="","",IFERROR(VLOOKUP($T30,02_施策マスター!$A:$B,2,0),""))</f>
        <v>AI固有の内部監査手続の整備</v>
      </c>
      <c r="V30" s="10" t="str">
        <f aca="false">IF($R30="","",$R30+(1000-ROW())/1000000)</f>
        <v/>
      </c>
      <c r="W30" s="10" t="str">
        <f aca="false">IF($V30="","",COUNTIF($V$2:$V$208,"&gt;"&amp;$V30)+1)</f>
        <v/>
      </c>
      <c r="X30" s="10" t="s">
        <v>116</v>
      </c>
    </row>
    <row r="31" customFormat="false" ht="32.8" hidden="false" customHeight="false" outlineLevel="0" collapsed="false">
      <c r="A31" s="10" t="s">
        <v>193</v>
      </c>
      <c r="B31" s="10" t="s">
        <v>94</v>
      </c>
      <c r="C31" s="10" t="s">
        <v>187</v>
      </c>
      <c r="D31" s="11" t="s">
        <v>194</v>
      </c>
      <c r="E31" s="10" t="s">
        <v>195</v>
      </c>
      <c r="F31" s="10" t="s">
        <v>98</v>
      </c>
      <c r="G31" s="10" t="s">
        <v>99</v>
      </c>
      <c r="H31" s="12" t="str">
        <f aca="false">IF(OR($G31="all",AND(00_はじめに!$B$24="Y",ISNUMBER(SEARCH("traditional",$G31))),AND(00_はじめに!$B$25="Y",ISNUMBER(SEARCH("generative",$G31))),AND(00_はじめに!$B$26="Y",ISNUMBER(SEARCH("ai-agent",$G31))),AND(00_はじめに!$B$27="Y",ISNUMBER(SEARCH("multi-agent",$G31)))),"○","対象外")</f>
        <v>○</v>
      </c>
      <c r="I31" s="13"/>
      <c r="J31" s="14" t="n">
        <v>3</v>
      </c>
      <c r="K31" s="12" t="str">
        <f aca="false">IF(OR($H31="対象外",$I31="",$J31=""),"",$J31-$I31)</f>
        <v/>
      </c>
      <c r="L31" s="14" t="n">
        <v>4</v>
      </c>
      <c r="M31" s="14" t="n">
        <v>3</v>
      </c>
      <c r="N31" s="14" t="n">
        <v>5</v>
      </c>
      <c r="O31" s="14" t="n">
        <v>4</v>
      </c>
      <c r="P31" s="14" t="n">
        <v>4</v>
      </c>
      <c r="Q31" s="14" t="n">
        <v>2</v>
      </c>
      <c r="R31" s="15" t="str">
        <f aca="false">IF(OR($H31="対象外",$K31="",$L31="",$M31="",$N31="",$O31="",$P31="",$Q31=""),"",($K31*$L31*$M31*$N31*$O31*$P31)/$Q31)</f>
        <v/>
      </c>
      <c r="S31" s="12" t="str">
        <f aca="false">IF($H31="対象外","",IF(OR($I31="",$J31=""),"",IF(OR($J31-$I31&gt;0,AND($R31&lt;&gt;"",$R31&gt;=00_はじめに!$B$19)),"○","")))</f>
        <v/>
      </c>
      <c r="T31" s="10" t="str">
        <f aca="false">IFERROR(VLOOKUP($A31,03_質問施策マッピング!$A:$B,2,0),"")</f>
        <v>AIMF-GV-AUD-003</v>
      </c>
      <c r="U31" s="10" t="str">
        <f aca="false">IF($T31="","",IFERROR(VLOOKUP($T31,02_施策マスター!$A:$B,2,0),""))</f>
        <v>第三者認証・外部評価の取得</v>
      </c>
      <c r="V31" s="10" t="str">
        <f aca="false">IF($R31="","",$R31+(1000-ROW())/1000000)</f>
        <v/>
      </c>
      <c r="W31" s="10" t="str">
        <f aca="false">IF($V31="","",COUNTIF($V$2:$V$208,"&gt;"&amp;$V31)+1)</f>
        <v/>
      </c>
      <c r="X31" s="10" t="s">
        <v>116</v>
      </c>
    </row>
    <row r="32" customFormat="false" ht="39.55" hidden="false" customHeight="false" outlineLevel="0" collapsed="false">
      <c r="A32" s="10" t="s">
        <v>196</v>
      </c>
      <c r="B32" s="10" t="s">
        <v>94</v>
      </c>
      <c r="C32" s="10" t="s">
        <v>187</v>
      </c>
      <c r="D32" s="10" t="s">
        <v>197</v>
      </c>
      <c r="E32" s="10" t="s">
        <v>198</v>
      </c>
      <c r="F32" s="10" t="s">
        <v>133</v>
      </c>
      <c r="G32" s="10" t="s">
        <v>99</v>
      </c>
      <c r="H32" s="12" t="str">
        <f aca="false">IF(OR($G32="all",AND(00_はじめに!$B$24="Y",ISNUMBER(SEARCH("traditional",$G32))),AND(00_はじめに!$B$25="Y",ISNUMBER(SEARCH("generative",$G32))),AND(00_はじめに!$B$26="Y",ISNUMBER(SEARCH("ai-agent",$G32))),AND(00_はじめに!$B$27="Y",ISNUMBER(SEARCH("multi-agent",$G32)))),"○","対象外")</f>
        <v>○</v>
      </c>
      <c r="I32" s="13"/>
      <c r="J32" s="14" t="n">
        <v>3</v>
      </c>
      <c r="K32" s="12" t="str">
        <f aca="false">IF(OR($H32="対象外",$I32="",$J32=""),"",$J32-$I32)</f>
        <v/>
      </c>
      <c r="L32" s="14" t="n">
        <v>4</v>
      </c>
      <c r="M32" s="14" t="n">
        <v>3</v>
      </c>
      <c r="N32" s="14" t="n">
        <v>5</v>
      </c>
      <c r="O32" s="14" t="n">
        <v>2</v>
      </c>
      <c r="P32" s="14" t="n">
        <v>4</v>
      </c>
      <c r="Q32" s="14" t="n">
        <v>3</v>
      </c>
      <c r="R32" s="15" t="str">
        <f aca="false">IF(OR($H32="対象外",$K32="",$L32="",$M32="",$N32="",$O32="",$P32="",$Q32=""),"",($K32*$L32*$M32*$N32*$O32*$P32)/$Q32)</f>
        <v/>
      </c>
      <c r="S32" s="12" t="str">
        <f aca="false">IF($H32="対象外","",IF(OR($I32="",$J32=""),"",IF(OR($J32-$I32&gt;0,AND($R32&lt;&gt;"",$R32&gt;=00_はじめに!$B$19)),"○","")))</f>
        <v/>
      </c>
      <c r="T32" s="10" t="str">
        <f aca="false">IFERROR(VLOOKUP($A32,03_質問施策マッピング!$A:$B,2,0),"")</f>
        <v>AIMF-GV-AUD-004</v>
      </c>
      <c r="U32" s="10" t="str">
        <f aca="false">IF($T32="","",IFERROR(VLOOKUP($T32,02_施策マスター!$A:$B,2,0),""))</f>
        <v>AIセキュリティ成熟度の定期評価</v>
      </c>
      <c r="V32" s="10" t="str">
        <f aca="false">IF($R32="","",$R32+(1000-ROW())/1000000)</f>
        <v/>
      </c>
      <c r="W32" s="10" t="str">
        <f aca="false">IF($V32="","",COUNTIF($V$2:$V$208,"&gt;"&amp;$V32)+1)</f>
        <v/>
      </c>
      <c r="X32" s="10" t="s">
        <v>116</v>
      </c>
    </row>
    <row r="33" customFormat="false" ht="39.55" hidden="false" customHeight="false" outlineLevel="0" collapsed="false">
      <c r="A33" s="10" t="s">
        <v>199</v>
      </c>
      <c r="B33" s="10" t="s">
        <v>94</v>
      </c>
      <c r="C33" s="10" t="s">
        <v>200</v>
      </c>
      <c r="D33" s="11" t="s">
        <v>201</v>
      </c>
      <c r="E33" s="10" t="s">
        <v>202</v>
      </c>
      <c r="F33" s="10" t="s">
        <v>133</v>
      </c>
      <c r="G33" s="10" t="s">
        <v>203</v>
      </c>
      <c r="H33" s="12" t="str">
        <f aca="false">IF(OR($G33="all",AND(00_はじめに!$B$24="Y",ISNUMBER(SEARCH("traditional",$G33))),AND(00_はじめに!$B$25="Y",ISNUMBER(SEARCH("generative",$G33))),AND(00_はじめに!$B$26="Y",ISNUMBER(SEARCH("ai-agent",$G33))),AND(00_はじめに!$B$27="Y",ISNUMBER(SEARCH("multi-agent",$G33)))),"○","対象外")</f>
        <v>○</v>
      </c>
      <c r="I33" s="13"/>
      <c r="J33" s="14" t="n">
        <v>4</v>
      </c>
      <c r="K33" s="12" t="str">
        <f aca="false">IF(OR($H33="対象外",$I33="",$J33=""),"",$J33-$I33)</f>
        <v/>
      </c>
      <c r="L33" s="14" t="n">
        <v>3</v>
      </c>
      <c r="M33" s="14" t="n">
        <v>3</v>
      </c>
      <c r="N33" s="14" t="n">
        <v>5</v>
      </c>
      <c r="O33" s="14" t="n">
        <v>2</v>
      </c>
      <c r="P33" s="14" t="n">
        <v>4</v>
      </c>
      <c r="Q33" s="14" t="n">
        <v>3</v>
      </c>
      <c r="R33" s="15" t="str">
        <f aca="false">IF(OR($H33="対象外",$K33="",$L33="",$M33="",$N33="",$O33="",$P33="",$Q33=""),"",($K33*$L33*$M33*$N33*$O33*$P33)/$Q33)</f>
        <v/>
      </c>
      <c r="S33" s="12" t="str">
        <f aca="false">IF($H33="対象外","",IF(OR($I33="",$J33=""),"",IF(OR($J33-$I33&gt;0,AND($R33&lt;&gt;"",$R33&gt;=00_はじめに!$B$19)),"○","")))</f>
        <v/>
      </c>
      <c r="T33" s="10" t="str">
        <f aca="false">IFERROR(VLOOKUP($A33,03_質問施策マッピング!$A:$B,2,0),"")</f>
        <v>AIMF-GV-TRA-001</v>
      </c>
      <c r="U33" s="10" t="str">
        <f aca="false">IF($T33="","",IFERROR(VLOOKUP($T33,02_施策マスター!$A:$B,2,0),""))</f>
        <v>透明性・利用者への情報提供</v>
      </c>
      <c r="V33" s="10" t="str">
        <f aca="false">IF($R33="","",$R33+(1000-ROW())/1000000)</f>
        <v/>
      </c>
      <c r="W33" s="10" t="str">
        <f aca="false">IF($V33="","",COUNTIF($V$2:$V$208,"&gt;"&amp;$V33)+1)</f>
        <v/>
      </c>
      <c r="X33" s="10" t="s">
        <v>100</v>
      </c>
    </row>
    <row r="34" customFormat="false" ht="39.55" hidden="false" customHeight="false" outlineLevel="0" collapsed="false">
      <c r="A34" s="10" t="s">
        <v>204</v>
      </c>
      <c r="B34" s="10" t="s">
        <v>94</v>
      </c>
      <c r="C34" s="10" t="s">
        <v>200</v>
      </c>
      <c r="D34" s="11" t="s">
        <v>205</v>
      </c>
      <c r="E34" s="10" t="s">
        <v>206</v>
      </c>
      <c r="F34" s="10" t="s">
        <v>133</v>
      </c>
      <c r="G34" s="10" t="s">
        <v>99</v>
      </c>
      <c r="H34" s="12" t="str">
        <f aca="false">IF(OR($G34="all",AND(00_はじめに!$B$24="Y",ISNUMBER(SEARCH("traditional",$G34))),AND(00_はじめに!$B$25="Y",ISNUMBER(SEARCH("generative",$G34))),AND(00_はじめに!$B$26="Y",ISNUMBER(SEARCH("ai-agent",$G34))),AND(00_はじめに!$B$27="Y",ISNUMBER(SEARCH("multi-agent",$G34)))),"○","対象外")</f>
        <v>○</v>
      </c>
      <c r="I34" s="13"/>
      <c r="J34" s="14" t="n">
        <v>4</v>
      </c>
      <c r="K34" s="12" t="str">
        <f aca="false">IF(OR($H34="対象外",$I34="",$J34=""),"",$J34-$I34)</f>
        <v/>
      </c>
      <c r="L34" s="14" t="n">
        <v>3</v>
      </c>
      <c r="M34" s="14" t="n">
        <v>3</v>
      </c>
      <c r="N34" s="14" t="n">
        <v>5</v>
      </c>
      <c r="O34" s="14" t="n">
        <v>2</v>
      </c>
      <c r="P34" s="14" t="n">
        <v>4</v>
      </c>
      <c r="Q34" s="14" t="n">
        <v>3</v>
      </c>
      <c r="R34" s="15" t="str">
        <f aca="false">IF(OR($H34="対象外",$K34="",$L34="",$M34="",$N34="",$O34="",$P34="",$Q34=""),"",($K34*$L34*$M34*$N34*$O34*$P34)/$Q34)</f>
        <v/>
      </c>
      <c r="S34" s="12" t="str">
        <f aca="false">IF($H34="対象外","",IF(OR($I34="",$J34=""),"",IF(OR($J34-$I34&gt;0,AND($R34&lt;&gt;"",$R34&gt;=00_はじめに!$B$19)),"○","")))</f>
        <v/>
      </c>
      <c r="T34" s="10" t="str">
        <f aca="false">IFERROR(VLOOKUP($A34,03_質問施策マッピング!$A:$B,2,0),"")</f>
        <v>AIMF-GV-TRA-002</v>
      </c>
      <c r="U34" s="10" t="str">
        <f aca="false">IF($T34="","",IFERROR(VLOOKUP($T34,02_施策マスター!$A:$B,2,0),""))</f>
        <v>技術文書・モデルカードの整備</v>
      </c>
      <c r="V34" s="10" t="str">
        <f aca="false">IF($R34="","",$R34+(1000-ROW())/1000000)</f>
        <v/>
      </c>
      <c r="W34" s="10" t="str">
        <f aca="false">IF($V34="","",COUNTIF($V$2:$V$208,"&gt;"&amp;$V34)+1)</f>
        <v/>
      </c>
      <c r="X34" s="10" t="s">
        <v>100</v>
      </c>
    </row>
    <row r="35" customFormat="false" ht="26.85" hidden="false" customHeight="false" outlineLevel="0" collapsed="false">
      <c r="A35" s="10" t="s">
        <v>207</v>
      </c>
      <c r="B35" s="10" t="s">
        <v>94</v>
      </c>
      <c r="C35" s="10" t="s">
        <v>200</v>
      </c>
      <c r="D35" s="10" t="s">
        <v>208</v>
      </c>
      <c r="E35" s="10" t="s">
        <v>209</v>
      </c>
      <c r="F35" s="10" t="s">
        <v>133</v>
      </c>
      <c r="G35" s="10" t="s">
        <v>134</v>
      </c>
      <c r="H35" s="12" t="str">
        <f aca="false">IF(OR($G35="all",AND(00_はじめに!$B$24="Y",ISNUMBER(SEARCH("traditional",$G35))),AND(00_はじめに!$B$25="Y",ISNUMBER(SEARCH("generative",$G35))),AND(00_はじめに!$B$26="Y",ISNUMBER(SEARCH("ai-agent",$G35))),AND(00_はじめに!$B$27="Y",ISNUMBER(SEARCH("multi-agent",$G35)))),"○","対象外")</f>
        <v>○</v>
      </c>
      <c r="I35" s="13"/>
      <c r="J35" s="14" t="n">
        <v>3</v>
      </c>
      <c r="K35" s="12" t="str">
        <f aca="false">IF(OR($H35="対象外",$I35="",$J35=""),"",$J35-$I35)</f>
        <v/>
      </c>
      <c r="L35" s="14" t="n">
        <v>3</v>
      </c>
      <c r="M35" s="14" t="n">
        <v>3</v>
      </c>
      <c r="N35" s="14" t="n">
        <v>5</v>
      </c>
      <c r="O35" s="14" t="n">
        <v>2</v>
      </c>
      <c r="P35" s="14" t="n">
        <v>4</v>
      </c>
      <c r="Q35" s="14" t="n">
        <v>3</v>
      </c>
      <c r="R35" s="15" t="str">
        <f aca="false">IF(OR($H35="対象外",$K35="",$L35="",$M35="",$N35="",$O35="",$P35="",$Q35=""),"",($K35*$L35*$M35*$N35*$O35*$P35)/$Q35)</f>
        <v/>
      </c>
      <c r="S35" s="12" t="str">
        <f aca="false">IF($H35="対象外","",IF(OR($I35="",$J35=""),"",IF(OR($J35-$I35&gt;0,AND($R35&lt;&gt;"",$R35&gt;=00_はじめに!$B$19)),"○","")))</f>
        <v/>
      </c>
      <c r="T35" s="10" t="str">
        <f aca="false">IFERROR(VLOOKUP($A35,03_質問施策マッピング!$A:$B,2,0),"")</f>
        <v>AIMF-GV-TRA-003</v>
      </c>
      <c r="U35" s="10" t="str">
        <f aca="false">IF($T35="","",IFERROR(VLOOKUP($T35,02_施策マスター!$A:$B,2,0),""))</f>
        <v>AI生成コンテンツの来歴表示（C2PA等）</v>
      </c>
      <c r="V35" s="10" t="str">
        <f aca="false">IF($R35="","",$R35+(1000-ROW())/1000000)</f>
        <v/>
      </c>
      <c r="W35" s="10" t="str">
        <f aca="false">IF($V35="","",COUNTIF($V$2:$V$208,"&gt;"&amp;$V35)+1)</f>
        <v/>
      </c>
      <c r="X35" s="10" t="s">
        <v>116</v>
      </c>
    </row>
    <row r="36" customFormat="false" ht="32.8" hidden="false" customHeight="false" outlineLevel="0" collapsed="false">
      <c r="A36" s="10" t="s">
        <v>210</v>
      </c>
      <c r="B36" s="10" t="s">
        <v>94</v>
      </c>
      <c r="C36" s="10" t="s">
        <v>200</v>
      </c>
      <c r="D36" s="11" t="s">
        <v>211</v>
      </c>
      <c r="E36" s="10" t="s">
        <v>212</v>
      </c>
      <c r="F36" s="10" t="s">
        <v>98</v>
      </c>
      <c r="G36" s="10" t="s">
        <v>99</v>
      </c>
      <c r="H36" s="12" t="str">
        <f aca="false">IF(OR($G36="all",AND(00_はじめに!$B$24="Y",ISNUMBER(SEARCH("traditional",$G36))),AND(00_はじめに!$B$25="Y",ISNUMBER(SEARCH("generative",$G36))),AND(00_はじめに!$B$26="Y",ISNUMBER(SEARCH("ai-agent",$G36))),AND(00_はじめに!$B$27="Y",ISNUMBER(SEARCH("multi-agent",$G36)))),"○","対象外")</f>
        <v>○</v>
      </c>
      <c r="I36" s="13"/>
      <c r="J36" s="14" t="n">
        <v>3</v>
      </c>
      <c r="K36" s="12" t="str">
        <f aca="false">IF(OR($H36="対象外",$I36="",$J36=""),"",$J36-$I36)</f>
        <v/>
      </c>
      <c r="L36" s="14" t="n">
        <v>3</v>
      </c>
      <c r="M36" s="14" t="n">
        <v>3</v>
      </c>
      <c r="N36" s="14" t="n">
        <v>5</v>
      </c>
      <c r="O36" s="14" t="n">
        <v>4</v>
      </c>
      <c r="P36" s="14" t="n">
        <v>4</v>
      </c>
      <c r="Q36" s="14" t="n">
        <v>2</v>
      </c>
      <c r="R36" s="15" t="str">
        <f aca="false">IF(OR($H36="対象外",$K36="",$L36="",$M36="",$N36="",$O36="",$P36="",$Q36=""),"",($K36*$L36*$M36*$N36*$O36*$P36)/$Q36)</f>
        <v/>
      </c>
      <c r="S36" s="12" t="str">
        <f aca="false">IF($H36="対象外","",IF(OR($I36="",$J36=""),"",IF(OR($J36-$I36&gt;0,AND($R36&lt;&gt;"",$R36&gt;=00_はじめに!$B$19)),"○","")))</f>
        <v/>
      </c>
      <c r="T36" s="10" t="str">
        <f aca="false">IFERROR(VLOOKUP($A36,03_質問施策マッピング!$A:$B,2,0),"")</f>
        <v>AIMF-GV-TRA-004</v>
      </c>
      <c r="U36" s="10" t="str">
        <f aca="false">IF($T36="","",IFERROR(VLOOKUP($T36,02_施策マスター!$A:$B,2,0),""))</f>
        <v>利用者からの苦情・異議申立て窓口</v>
      </c>
      <c r="V36" s="10" t="str">
        <f aca="false">IF($R36="","",$R36+(1000-ROW())/1000000)</f>
        <v/>
      </c>
      <c r="W36" s="10" t="str">
        <f aca="false">IF($V36="","",COUNTIF($V$2:$V$208,"&gt;"&amp;$V36)+1)</f>
        <v/>
      </c>
      <c r="X36" s="10" t="s">
        <v>116</v>
      </c>
    </row>
    <row r="37" customFormat="false" ht="39.55" hidden="false" customHeight="false" outlineLevel="0" collapsed="false">
      <c r="A37" s="10" t="s">
        <v>213</v>
      </c>
      <c r="B37" s="10" t="s">
        <v>94</v>
      </c>
      <c r="C37" s="10" t="s">
        <v>200</v>
      </c>
      <c r="D37" s="11" t="s">
        <v>214</v>
      </c>
      <c r="E37" s="10" t="s">
        <v>215</v>
      </c>
      <c r="F37" s="10" t="s">
        <v>98</v>
      </c>
      <c r="G37" s="10" t="s">
        <v>99</v>
      </c>
      <c r="H37" s="12" t="str">
        <f aca="false">IF(OR($G37="all",AND(00_はじめに!$B$24="Y",ISNUMBER(SEARCH("traditional",$G37))),AND(00_はじめに!$B$25="Y",ISNUMBER(SEARCH("generative",$G37))),AND(00_はじめに!$B$26="Y",ISNUMBER(SEARCH("ai-agent",$G37))),AND(00_はじめに!$B$27="Y",ISNUMBER(SEARCH("multi-agent",$G37)))),"○","対象外")</f>
        <v>○</v>
      </c>
      <c r="I37" s="13"/>
      <c r="J37" s="14" t="n">
        <v>3</v>
      </c>
      <c r="K37" s="12" t="str">
        <f aca="false">IF(OR($H37="対象外",$I37="",$J37=""),"",$J37-$I37)</f>
        <v/>
      </c>
      <c r="L37" s="14" t="n">
        <v>3</v>
      </c>
      <c r="M37" s="14" t="n">
        <v>3</v>
      </c>
      <c r="N37" s="14" t="n">
        <v>5</v>
      </c>
      <c r="O37" s="14" t="n">
        <v>4</v>
      </c>
      <c r="P37" s="14" t="n">
        <v>4</v>
      </c>
      <c r="Q37" s="14" t="n">
        <v>2</v>
      </c>
      <c r="R37" s="15" t="str">
        <f aca="false">IF(OR($H37="対象外",$K37="",$L37="",$M37="",$N37="",$O37="",$P37="",$Q37=""),"",($K37*$L37*$M37*$N37*$O37*$P37)/$Q37)</f>
        <v/>
      </c>
      <c r="S37" s="12" t="str">
        <f aca="false">IF($H37="対象外","",IF(OR($I37="",$J37=""),"",IF(OR($J37-$I37&gt;0,AND($R37&lt;&gt;"",$R37&gt;=00_はじめに!$B$19)),"○","")))</f>
        <v/>
      </c>
      <c r="T37" s="10" t="str">
        <f aca="false">IFERROR(VLOOKUP($A37,03_質問施策マッピング!$A:$B,2,0),"")</f>
        <v>AIMF-GV-TRA-005</v>
      </c>
      <c r="U37" s="10" t="str">
        <f aca="false">IF($T37="","",IFERROR(VLOOKUP($T37,02_施策マスター!$A:$B,2,0),""))</f>
        <v>対外的なAIガバナンス開示</v>
      </c>
      <c r="V37" s="10" t="str">
        <f aca="false">IF($R37="","",$R37+(1000-ROW())/1000000)</f>
        <v/>
      </c>
      <c r="W37" s="10" t="str">
        <f aca="false">IF($V37="","",COUNTIF($V$2:$V$208,"&gt;"&amp;$V37)+1)</f>
        <v/>
      </c>
      <c r="X37" s="10" t="s">
        <v>116</v>
      </c>
    </row>
    <row r="38" customFormat="false" ht="32.8" hidden="false" customHeight="false" outlineLevel="0" collapsed="false">
      <c r="A38" s="10" t="s">
        <v>216</v>
      </c>
      <c r="B38" s="10" t="s">
        <v>217</v>
      </c>
      <c r="C38" s="10" t="s">
        <v>218</v>
      </c>
      <c r="D38" s="10" t="s">
        <v>219</v>
      </c>
      <c r="E38" s="11" t="s">
        <v>220</v>
      </c>
      <c r="F38" s="10" t="s">
        <v>98</v>
      </c>
      <c r="G38" s="10" t="s">
        <v>99</v>
      </c>
      <c r="H38" s="12" t="str">
        <f aca="false">IF(OR($G38="all",AND(00_はじめに!$B$24="Y",ISNUMBER(SEARCH("traditional",$G38))),AND(00_はじめに!$B$25="Y",ISNUMBER(SEARCH("generative",$G38))),AND(00_はじめに!$B$26="Y",ISNUMBER(SEARCH("ai-agent",$G38))),AND(00_はじめに!$B$27="Y",ISNUMBER(SEARCH("multi-agent",$G38)))),"○","対象外")</f>
        <v>○</v>
      </c>
      <c r="I38" s="13"/>
      <c r="J38" s="14" t="n">
        <v>4</v>
      </c>
      <c r="K38" s="12" t="str">
        <f aca="false">IF(OR($H38="対象外",$I38="",$J38=""),"",$J38-$I38)</f>
        <v/>
      </c>
      <c r="L38" s="14" t="n">
        <v>4</v>
      </c>
      <c r="M38" s="14" t="n">
        <v>3</v>
      </c>
      <c r="N38" s="14" t="n">
        <v>4</v>
      </c>
      <c r="O38" s="14" t="n">
        <v>4</v>
      </c>
      <c r="P38" s="14" t="n">
        <v>4</v>
      </c>
      <c r="Q38" s="14" t="n">
        <v>3</v>
      </c>
      <c r="R38" s="15" t="str">
        <f aca="false">IF(OR($H38="対象外",$K38="",$L38="",$M38="",$N38="",$O38="",$P38="",$Q38=""),"",($K38*$L38*$M38*$N38*$O38*$P38)/$Q38)</f>
        <v/>
      </c>
      <c r="S38" s="12" t="str">
        <f aca="false">IF($H38="対象外","",IF(OR($I38="",$J38=""),"",IF(OR($J38-$I38&gt;0,AND($R38&lt;&gt;"",$R38&gt;=00_はじめに!$B$19)),"○","")))</f>
        <v/>
      </c>
      <c r="T38" s="10" t="str">
        <f aca="false">IFERROR(VLOOKUP($A38,03_質問施策マッピング!$A:$B,2,0),"")</f>
        <v>AIMF-ID-AST-001</v>
      </c>
      <c r="U38" s="10" t="str">
        <f aca="false">IF($T38="","",IFERROR(VLOOKUP($T38,02_施策マスター!$A:$B,2,0),""))</f>
        <v>AIモデル・サービス管理台帳の整備</v>
      </c>
      <c r="V38" s="10" t="str">
        <f aca="false">IF($R38="","",$R38+(1000-ROW())/1000000)</f>
        <v/>
      </c>
      <c r="W38" s="10" t="str">
        <f aca="false">IF($V38="","",COUNTIF($V$2:$V$208,"&gt;"&amp;$V38)+1)</f>
        <v/>
      </c>
      <c r="X38" s="10" t="s">
        <v>100</v>
      </c>
    </row>
    <row r="39" customFormat="false" ht="32.8" hidden="false" customHeight="false" outlineLevel="0" collapsed="false">
      <c r="A39" s="10" t="s">
        <v>221</v>
      </c>
      <c r="B39" s="10" t="s">
        <v>217</v>
      </c>
      <c r="C39" s="10" t="s">
        <v>218</v>
      </c>
      <c r="D39" s="10" t="s">
        <v>222</v>
      </c>
      <c r="E39" s="10" t="s">
        <v>223</v>
      </c>
      <c r="F39" s="10" t="s">
        <v>98</v>
      </c>
      <c r="G39" s="10" t="s">
        <v>134</v>
      </c>
      <c r="H39" s="12" t="str">
        <f aca="false">IF(OR($G39="all",AND(00_はじめに!$B$24="Y",ISNUMBER(SEARCH("traditional",$G39))),AND(00_はじめに!$B$25="Y",ISNUMBER(SEARCH("generative",$G39))),AND(00_はじめに!$B$26="Y",ISNUMBER(SEARCH("ai-agent",$G39))),AND(00_はじめに!$B$27="Y",ISNUMBER(SEARCH("multi-agent",$G39)))),"○","対象外")</f>
        <v>○</v>
      </c>
      <c r="I39" s="13"/>
      <c r="J39" s="14" t="n">
        <v>4</v>
      </c>
      <c r="K39" s="12" t="str">
        <f aca="false">IF(OR($H39="対象外",$I39="",$J39=""),"",$J39-$I39)</f>
        <v/>
      </c>
      <c r="L39" s="14" t="n">
        <v>4</v>
      </c>
      <c r="M39" s="14" t="n">
        <v>3</v>
      </c>
      <c r="N39" s="14" t="n">
        <v>4</v>
      </c>
      <c r="O39" s="14" t="n">
        <v>4</v>
      </c>
      <c r="P39" s="14" t="n">
        <v>4</v>
      </c>
      <c r="Q39" s="14" t="n">
        <v>3</v>
      </c>
      <c r="R39" s="15" t="str">
        <f aca="false">IF(OR($H39="対象外",$K39="",$L39="",$M39="",$N39="",$O39="",$P39="",$Q39=""),"",($K39*$L39*$M39*$N39*$O39*$P39)/$Q39)</f>
        <v/>
      </c>
      <c r="S39" s="12" t="str">
        <f aca="false">IF($H39="対象外","",IF(OR($I39="",$J39=""),"",IF(OR($J39-$I39&gt;0,AND($R39&lt;&gt;"",$R39&gt;=00_はじめに!$B$19)),"○","")))</f>
        <v/>
      </c>
      <c r="T39" s="10" t="str">
        <f aca="false">IFERROR(VLOOKUP($A39,03_質問施策マッピング!$A:$B,2,0),"")</f>
        <v>AIMF-ID-AST-002</v>
      </c>
      <c r="U39" s="10" t="str">
        <f aca="false">IF($T39="","",IFERROR(VLOOKUP($T39,02_施策マスター!$A:$B,2,0),""))</f>
        <v>RAG知識ベース・データソースの棚卸し</v>
      </c>
      <c r="V39" s="10" t="str">
        <f aca="false">IF($R39="","",$R39+(1000-ROW())/1000000)</f>
        <v/>
      </c>
      <c r="W39" s="10" t="str">
        <f aca="false">IF($V39="","",COUNTIF($V$2:$V$208,"&gt;"&amp;$V39)+1)</f>
        <v/>
      </c>
      <c r="X39" s="10" t="s">
        <v>100</v>
      </c>
    </row>
    <row r="40" customFormat="false" ht="26.85" hidden="false" customHeight="false" outlineLevel="0" collapsed="false">
      <c r="A40" s="10" t="s">
        <v>224</v>
      </c>
      <c r="B40" s="10" t="s">
        <v>217</v>
      </c>
      <c r="C40" s="10" t="s">
        <v>218</v>
      </c>
      <c r="D40" s="10" t="s">
        <v>225</v>
      </c>
      <c r="E40" s="11" t="s">
        <v>226</v>
      </c>
      <c r="F40" s="10" t="s">
        <v>133</v>
      </c>
      <c r="G40" s="10" t="s">
        <v>166</v>
      </c>
      <c r="H40" s="12" t="str">
        <f aca="false">IF(OR($G40="all",AND(00_はじめに!$B$24="Y",ISNUMBER(SEARCH("traditional",$G40))),AND(00_はじめに!$B$25="Y",ISNUMBER(SEARCH("generative",$G40))),AND(00_はじめに!$B$26="Y",ISNUMBER(SEARCH("ai-agent",$G40))),AND(00_はじめに!$B$27="Y",ISNUMBER(SEARCH("multi-agent",$G40)))),"○","対象外")</f>
        <v>○</v>
      </c>
      <c r="I40" s="13"/>
      <c r="J40" s="14" t="n">
        <v>4</v>
      </c>
      <c r="K40" s="12" t="str">
        <f aca="false">IF(OR($H40="対象外",$I40="",$J40=""),"",$J40-$I40)</f>
        <v/>
      </c>
      <c r="L40" s="14" t="n">
        <v>4</v>
      </c>
      <c r="M40" s="14" t="n">
        <v>3</v>
      </c>
      <c r="N40" s="14" t="n">
        <v>4</v>
      </c>
      <c r="O40" s="14" t="n">
        <v>2</v>
      </c>
      <c r="P40" s="14" t="n">
        <v>4</v>
      </c>
      <c r="Q40" s="14" t="n">
        <v>4</v>
      </c>
      <c r="R40" s="15" t="str">
        <f aca="false">IF(OR($H40="対象外",$K40="",$L40="",$M40="",$N40="",$O40="",$P40="",$Q40=""),"",($K40*$L40*$M40*$N40*$O40*$P40)/$Q40)</f>
        <v/>
      </c>
      <c r="S40" s="12" t="str">
        <f aca="false">IF($H40="対象外","",IF(OR($I40="",$J40=""),"",IF(OR($J40-$I40&gt;0,AND($R40&lt;&gt;"",$R40&gt;=00_はじめに!$B$19)),"○","")))</f>
        <v/>
      </c>
      <c r="T40" s="10" t="str">
        <f aca="false">IFERROR(VLOOKUP($A40,03_質問施策マッピング!$A:$B,2,0),"")</f>
        <v>AIMF-ID-AST-003</v>
      </c>
      <c r="U40" s="10" t="str">
        <f aca="false">IF($T40="","",IFERROR(VLOOKUP($T40,02_施策マスター!$A:$B,2,0),""))</f>
        <v>AIエージェントの権限・ツールトポロジー管理</v>
      </c>
      <c r="V40" s="10" t="str">
        <f aca="false">IF($R40="","",$R40+(1000-ROW())/1000000)</f>
        <v/>
      </c>
      <c r="W40" s="10" t="str">
        <f aca="false">IF($V40="","",COUNTIF($V$2:$V$208,"&gt;"&amp;$V40)+1)</f>
        <v/>
      </c>
      <c r="X40" s="10" t="s">
        <v>100</v>
      </c>
    </row>
    <row r="41" customFormat="false" ht="32.8" hidden="false" customHeight="false" outlineLevel="0" collapsed="false">
      <c r="A41" s="10" t="s">
        <v>227</v>
      </c>
      <c r="B41" s="10" t="s">
        <v>217</v>
      </c>
      <c r="C41" s="10" t="s">
        <v>218</v>
      </c>
      <c r="D41" s="10" t="s">
        <v>228</v>
      </c>
      <c r="E41" s="11" t="s">
        <v>229</v>
      </c>
      <c r="F41" s="10" t="s">
        <v>98</v>
      </c>
      <c r="G41" s="10" t="s">
        <v>99</v>
      </c>
      <c r="H41" s="12" t="str">
        <f aca="false">IF(OR($G41="all",AND(00_はじめに!$B$24="Y",ISNUMBER(SEARCH("traditional",$G41))),AND(00_はじめに!$B$25="Y",ISNUMBER(SEARCH("generative",$G41))),AND(00_はじめに!$B$26="Y",ISNUMBER(SEARCH("ai-agent",$G41))),AND(00_はじめに!$B$27="Y",ISNUMBER(SEARCH("multi-agent",$G41)))),"○","対象外")</f>
        <v>○</v>
      </c>
      <c r="I41" s="13"/>
      <c r="J41" s="14" t="n">
        <v>4</v>
      </c>
      <c r="K41" s="12" t="str">
        <f aca="false">IF(OR($H41="対象外",$I41="",$J41=""),"",$J41-$I41)</f>
        <v/>
      </c>
      <c r="L41" s="14" t="n">
        <v>4</v>
      </c>
      <c r="M41" s="14" t="n">
        <v>3</v>
      </c>
      <c r="N41" s="14" t="n">
        <v>4</v>
      </c>
      <c r="O41" s="14" t="n">
        <v>4</v>
      </c>
      <c r="P41" s="14" t="n">
        <v>4</v>
      </c>
      <c r="Q41" s="14" t="n">
        <v>3</v>
      </c>
      <c r="R41" s="15" t="str">
        <f aca="false">IF(OR($H41="対象外",$K41="",$L41="",$M41="",$N41="",$O41="",$P41="",$Q41=""),"",($K41*$L41*$M41*$N41*$O41*$P41)/$Q41)</f>
        <v/>
      </c>
      <c r="S41" s="12" t="str">
        <f aca="false">IF($H41="対象外","",IF(OR($I41="",$J41=""),"",IF(OR($J41-$I41&gt;0,AND($R41&lt;&gt;"",$R41&gt;=00_はじめに!$B$19)),"○","")))</f>
        <v/>
      </c>
      <c r="T41" s="10" t="str">
        <f aca="false">IFERROR(VLOOKUP($A41,03_質問施策マッピング!$A:$B,2,0),"")</f>
        <v>AIMF-ID-AST-004</v>
      </c>
      <c r="U41" s="10" t="str">
        <f aca="false">IF($T41="","",IFERROR(VLOOKUP($T41,02_施策マスター!$A:$B,2,0),""))</f>
        <v>AIインフラ資産（GPU・計算リソース・ストレージ）の棚卸し</v>
      </c>
      <c r="V41" s="10" t="str">
        <f aca="false">IF($R41="","",$R41+(1000-ROW())/1000000)</f>
        <v/>
      </c>
      <c r="W41" s="10" t="str">
        <f aca="false">IF($V41="","",COUNTIF($V$2:$V$208,"&gt;"&amp;$V41)+1)</f>
        <v/>
      </c>
      <c r="X41" s="10" t="s">
        <v>100</v>
      </c>
    </row>
    <row r="42" customFormat="false" ht="39.55" hidden="false" customHeight="false" outlineLevel="0" collapsed="false">
      <c r="A42" s="10" t="s">
        <v>230</v>
      </c>
      <c r="B42" s="10" t="s">
        <v>217</v>
      </c>
      <c r="C42" s="10" t="s">
        <v>218</v>
      </c>
      <c r="D42" s="11" t="s">
        <v>231</v>
      </c>
      <c r="E42" s="11" t="s">
        <v>232</v>
      </c>
      <c r="F42" s="10" t="s">
        <v>133</v>
      </c>
      <c r="G42" s="10" t="s">
        <v>233</v>
      </c>
      <c r="H42" s="12" t="str">
        <f aca="false">IF(OR($G42="all",AND(00_はじめに!$B$24="Y",ISNUMBER(SEARCH("traditional",$G42))),AND(00_はじめに!$B$25="Y",ISNUMBER(SEARCH("generative",$G42))),AND(00_はじめに!$B$26="Y",ISNUMBER(SEARCH("ai-agent",$G42))),AND(00_はじめに!$B$27="Y",ISNUMBER(SEARCH("multi-agent",$G42)))),"○","対象外")</f>
        <v>○</v>
      </c>
      <c r="I42" s="13"/>
      <c r="J42" s="14" t="n">
        <v>3</v>
      </c>
      <c r="K42" s="12" t="str">
        <f aca="false">IF(OR($H42="対象外",$I42="",$J42=""),"",$J42-$I42)</f>
        <v/>
      </c>
      <c r="L42" s="14" t="n">
        <v>4</v>
      </c>
      <c r="M42" s="14" t="n">
        <v>3</v>
      </c>
      <c r="N42" s="14" t="n">
        <v>4</v>
      </c>
      <c r="O42" s="14" t="n">
        <v>2</v>
      </c>
      <c r="P42" s="14" t="n">
        <v>4</v>
      </c>
      <c r="Q42" s="14" t="n">
        <v>4</v>
      </c>
      <c r="R42" s="15" t="str">
        <f aca="false">IF(OR($H42="対象外",$K42="",$L42="",$M42="",$N42="",$O42="",$P42="",$Q42=""),"",($K42*$L42*$M42*$N42*$O42*$P42)/$Q42)</f>
        <v/>
      </c>
      <c r="S42" s="12" t="str">
        <f aca="false">IF($H42="対象外","",IF(OR($I42="",$J42=""),"",IF(OR($J42-$I42&gt;0,AND($R42&lt;&gt;"",$R42&gt;=00_はじめに!$B$19)),"○","")))</f>
        <v/>
      </c>
      <c r="T42" s="10" t="str">
        <f aca="false">IFERROR(VLOOKUP($A42,03_質問施策マッピング!$A:$B,2,0),"")</f>
        <v>AIMF-ID-AST-005</v>
      </c>
      <c r="U42" s="10" t="str">
        <f aca="false">IF($T42="","",IFERROR(VLOOKUP($T42,02_施策マスター!$A:$B,2,0),""))</f>
        <v>プロンプト・システムプロンプト資産の台帳管理</v>
      </c>
      <c r="V42" s="10" t="str">
        <f aca="false">IF($R42="","",$R42+(1000-ROW())/1000000)</f>
        <v/>
      </c>
      <c r="W42" s="10" t="str">
        <f aca="false">IF($V42="","",COUNTIF($V$2:$V$208,"&gt;"&amp;$V42)+1)</f>
        <v/>
      </c>
      <c r="X42" s="10" t="s">
        <v>116</v>
      </c>
    </row>
    <row r="43" customFormat="false" ht="39.55" hidden="false" customHeight="false" outlineLevel="0" collapsed="false">
      <c r="A43" s="10" t="s">
        <v>234</v>
      </c>
      <c r="B43" s="10" t="s">
        <v>217</v>
      </c>
      <c r="C43" s="10" t="s">
        <v>218</v>
      </c>
      <c r="D43" s="10" t="s">
        <v>235</v>
      </c>
      <c r="E43" s="11" t="s">
        <v>236</v>
      </c>
      <c r="F43" s="10" t="s">
        <v>98</v>
      </c>
      <c r="G43" s="10" t="s">
        <v>99</v>
      </c>
      <c r="H43" s="12" t="str">
        <f aca="false">IF(OR($G43="all",AND(00_はじめに!$B$24="Y",ISNUMBER(SEARCH("traditional",$G43))),AND(00_はじめに!$B$25="Y",ISNUMBER(SEARCH("generative",$G43))),AND(00_はじめに!$B$26="Y",ISNUMBER(SEARCH("ai-agent",$G43))),AND(00_はじめに!$B$27="Y",ISNUMBER(SEARCH("multi-agent",$G43)))),"○","対象外")</f>
        <v>○</v>
      </c>
      <c r="I43" s="13"/>
      <c r="J43" s="14" t="n">
        <v>3</v>
      </c>
      <c r="K43" s="12" t="str">
        <f aca="false">IF(OR($H43="対象外",$I43="",$J43=""),"",$J43-$I43)</f>
        <v/>
      </c>
      <c r="L43" s="14" t="n">
        <v>4</v>
      </c>
      <c r="M43" s="14" t="n">
        <v>3</v>
      </c>
      <c r="N43" s="14" t="n">
        <v>4</v>
      </c>
      <c r="O43" s="14" t="n">
        <v>4</v>
      </c>
      <c r="P43" s="14" t="n">
        <v>4</v>
      </c>
      <c r="Q43" s="14" t="n">
        <v>3</v>
      </c>
      <c r="R43" s="15" t="str">
        <f aca="false">IF(OR($H43="対象外",$K43="",$L43="",$M43="",$N43="",$O43="",$P43="",$Q43=""),"",($K43*$L43*$M43*$N43*$O43*$P43)/$Q43)</f>
        <v/>
      </c>
      <c r="S43" s="12" t="str">
        <f aca="false">IF($H43="対象外","",IF(OR($I43="",$J43=""),"",IF(OR($J43-$I43&gt;0,AND($R43&lt;&gt;"",$R43&gt;=00_はじめに!$B$19)),"○","")))</f>
        <v/>
      </c>
      <c r="T43" s="10" t="str">
        <f aca="false">IFERROR(VLOOKUP($A43,03_質問施策マッピング!$A:$B,2,0),"")</f>
        <v>AIMF-ID-AST-006</v>
      </c>
      <c r="U43" s="10" t="str">
        <f aca="false">IF($T43="","",IFERROR(VLOOKUP($T43,02_施策マスター!$A:$B,2,0),""))</f>
        <v>AIデータフローマッピング</v>
      </c>
      <c r="V43" s="10" t="str">
        <f aca="false">IF($R43="","",$R43+(1000-ROW())/1000000)</f>
        <v/>
      </c>
      <c r="W43" s="10" t="str">
        <f aca="false">IF($V43="","",COUNTIF($V$2:$V$208,"&gt;"&amp;$V43)+1)</f>
        <v/>
      </c>
      <c r="X43" s="10" t="s">
        <v>116</v>
      </c>
    </row>
    <row r="44" customFormat="false" ht="39.55" hidden="false" customHeight="false" outlineLevel="0" collapsed="false">
      <c r="A44" s="10" t="s">
        <v>237</v>
      </c>
      <c r="B44" s="10" t="s">
        <v>217</v>
      </c>
      <c r="C44" s="10" t="s">
        <v>218</v>
      </c>
      <c r="D44" s="11" t="s">
        <v>238</v>
      </c>
      <c r="E44" s="11" t="s">
        <v>239</v>
      </c>
      <c r="F44" s="10" t="s">
        <v>98</v>
      </c>
      <c r="G44" s="10" t="s">
        <v>99</v>
      </c>
      <c r="H44" s="12" t="str">
        <f aca="false">IF(OR($G44="all",AND(00_はじめに!$B$24="Y",ISNUMBER(SEARCH("traditional",$G44))),AND(00_はじめに!$B$25="Y",ISNUMBER(SEARCH("generative",$G44))),AND(00_はじめに!$B$26="Y",ISNUMBER(SEARCH("ai-agent",$G44))),AND(00_はじめに!$B$27="Y",ISNUMBER(SEARCH("multi-agent",$G44)))),"○","対象外")</f>
        <v>○</v>
      </c>
      <c r="I44" s="13"/>
      <c r="J44" s="14" t="n">
        <v>3</v>
      </c>
      <c r="K44" s="12" t="str">
        <f aca="false">IF(OR($H44="対象外",$I44="",$J44=""),"",$J44-$I44)</f>
        <v/>
      </c>
      <c r="L44" s="14" t="n">
        <v>4</v>
      </c>
      <c r="M44" s="14" t="n">
        <v>3</v>
      </c>
      <c r="N44" s="14" t="n">
        <v>4</v>
      </c>
      <c r="O44" s="14" t="n">
        <v>4</v>
      </c>
      <c r="P44" s="14" t="n">
        <v>4</v>
      </c>
      <c r="Q44" s="14" t="n">
        <v>3</v>
      </c>
      <c r="R44" s="15" t="str">
        <f aca="false">IF(OR($H44="対象外",$K44="",$L44="",$M44="",$N44="",$O44="",$P44="",$Q44=""),"",($K44*$L44*$M44*$N44*$O44*$P44)/$Q44)</f>
        <v/>
      </c>
      <c r="S44" s="12" t="str">
        <f aca="false">IF($H44="対象外","",IF(OR($I44="",$J44=""),"",IF(OR($J44-$I44&gt;0,AND($R44&lt;&gt;"",$R44&gt;=00_はじめに!$B$19)),"○","")))</f>
        <v/>
      </c>
      <c r="T44" s="10" t="str">
        <f aca="false">IFERROR(VLOOKUP($A44,03_質問施策マッピング!$A:$B,2,0),"")</f>
        <v>AIMF-ID-AST-007</v>
      </c>
      <c r="U44" s="10" t="str">
        <f aca="false">IF($T44="","",IFERROR(VLOOKUP($T44,02_施策マスター!$A:$B,2,0),""))</f>
        <v>シャドーAI・未承認利用の継続的検出</v>
      </c>
      <c r="V44" s="10" t="str">
        <f aca="false">IF($R44="","",$R44+(1000-ROW())/1000000)</f>
        <v/>
      </c>
      <c r="W44" s="10" t="str">
        <f aca="false">IF($V44="","",COUNTIF($V$2:$V$208,"&gt;"&amp;$V44)+1)</f>
        <v/>
      </c>
      <c r="X44" s="10" t="s">
        <v>116</v>
      </c>
    </row>
    <row r="45" customFormat="false" ht="32.8" hidden="false" customHeight="false" outlineLevel="0" collapsed="false">
      <c r="A45" s="10" t="s">
        <v>240</v>
      </c>
      <c r="B45" s="10" t="s">
        <v>217</v>
      </c>
      <c r="C45" s="10" t="s">
        <v>218</v>
      </c>
      <c r="D45" s="11" t="s">
        <v>241</v>
      </c>
      <c r="E45" s="11" t="s">
        <v>242</v>
      </c>
      <c r="F45" s="10" t="s">
        <v>98</v>
      </c>
      <c r="G45" s="10" t="s">
        <v>99</v>
      </c>
      <c r="H45" s="12" t="str">
        <f aca="false">IF(OR($G45="all",AND(00_はじめに!$B$24="Y",ISNUMBER(SEARCH("traditional",$G45))),AND(00_はじめに!$B$25="Y",ISNUMBER(SEARCH("generative",$G45))),AND(00_はじめに!$B$26="Y",ISNUMBER(SEARCH("ai-agent",$G45))),AND(00_はじめに!$B$27="Y",ISNUMBER(SEARCH("multi-agent",$G45)))),"○","対象外")</f>
        <v>○</v>
      </c>
      <c r="I45" s="13"/>
      <c r="J45" s="14" t="n">
        <v>3</v>
      </c>
      <c r="K45" s="12" t="str">
        <f aca="false">IF(OR($H45="対象外",$I45="",$J45=""),"",$J45-$I45)</f>
        <v/>
      </c>
      <c r="L45" s="14" t="n">
        <v>4</v>
      </c>
      <c r="M45" s="14" t="n">
        <v>3</v>
      </c>
      <c r="N45" s="14" t="n">
        <v>4</v>
      </c>
      <c r="O45" s="14" t="n">
        <v>4</v>
      </c>
      <c r="P45" s="14" t="n">
        <v>4</v>
      </c>
      <c r="Q45" s="14" t="n">
        <v>3</v>
      </c>
      <c r="R45" s="15" t="str">
        <f aca="false">IF(OR($H45="対象外",$K45="",$L45="",$M45="",$N45="",$O45="",$P45="",$Q45=""),"",($K45*$L45*$M45*$N45*$O45*$P45)/$Q45)</f>
        <v/>
      </c>
      <c r="S45" s="12" t="str">
        <f aca="false">IF($H45="対象外","",IF(OR($I45="",$J45=""),"",IF(OR($J45-$I45&gt;0,AND($R45&lt;&gt;"",$R45&gt;=00_はじめに!$B$19)),"○","")))</f>
        <v/>
      </c>
      <c r="T45" s="10" t="str">
        <f aca="false">IFERROR(VLOOKUP($A45,03_質問施策マッピング!$A:$B,2,0),"")</f>
        <v>AIMF-ID-AST-008</v>
      </c>
      <c r="U45" s="10" t="str">
        <f aca="false">IF($T45="","",IFERROR(VLOOKUP($T45,02_施策マスター!$A:$B,2,0),""))</f>
        <v>エンドポイントAI機能・ブラウザ拡張の把握</v>
      </c>
      <c r="V45" s="10" t="str">
        <f aca="false">IF($R45="","",$R45+(1000-ROW())/1000000)</f>
        <v/>
      </c>
      <c r="W45" s="10" t="str">
        <f aca="false">IF($V45="","",COUNTIF($V$2:$V$208,"&gt;"&amp;$V45)+1)</f>
        <v/>
      </c>
      <c r="X45" s="10" t="s">
        <v>116</v>
      </c>
    </row>
    <row r="46" customFormat="false" ht="32.8" hidden="false" customHeight="false" outlineLevel="0" collapsed="false">
      <c r="A46" s="10" t="s">
        <v>243</v>
      </c>
      <c r="B46" s="10" t="s">
        <v>217</v>
      </c>
      <c r="C46" s="10" t="s">
        <v>244</v>
      </c>
      <c r="D46" s="10" t="s">
        <v>245</v>
      </c>
      <c r="E46" s="11" t="s">
        <v>246</v>
      </c>
      <c r="F46" s="10" t="s">
        <v>98</v>
      </c>
      <c r="G46" s="10" t="s">
        <v>99</v>
      </c>
      <c r="H46" s="12" t="str">
        <f aca="false">IF(OR($G46="all",AND(00_はじめに!$B$24="Y",ISNUMBER(SEARCH("traditional",$G46))),AND(00_はじめに!$B$25="Y",ISNUMBER(SEARCH("generative",$G46))),AND(00_はじめに!$B$26="Y",ISNUMBER(SEARCH("ai-agent",$G46))),AND(00_はじめに!$B$27="Y",ISNUMBER(SEARCH("multi-agent",$G46)))),"○","対象外")</f>
        <v>○</v>
      </c>
      <c r="I46" s="13"/>
      <c r="J46" s="14" t="n">
        <v>3</v>
      </c>
      <c r="K46" s="12" t="str">
        <f aca="false">IF(OR($H46="対象外",$I46="",$J46=""),"",$J46-$I46)</f>
        <v/>
      </c>
      <c r="L46" s="14" t="n">
        <v>3</v>
      </c>
      <c r="M46" s="14" t="n">
        <v>3</v>
      </c>
      <c r="N46" s="14" t="n">
        <v>4</v>
      </c>
      <c r="O46" s="14" t="n">
        <v>4</v>
      </c>
      <c r="P46" s="14" t="n">
        <v>4</v>
      </c>
      <c r="Q46" s="14" t="n">
        <v>2</v>
      </c>
      <c r="R46" s="15" t="str">
        <f aca="false">IF(OR($H46="対象外",$K46="",$L46="",$M46="",$N46="",$O46="",$P46="",$Q46=""),"",($K46*$L46*$M46*$N46*$O46*$P46)/$Q46)</f>
        <v/>
      </c>
      <c r="S46" s="12" t="str">
        <f aca="false">IF($H46="対象外","",IF(OR($I46="",$J46=""),"",IF(OR($J46-$I46&gt;0,AND($R46&lt;&gt;"",$R46&gt;=00_はじめに!$B$19)),"○","")))</f>
        <v/>
      </c>
      <c r="T46" s="10" t="str">
        <f aca="false">IFERROR(VLOOKUP($A46,03_質問施策マッピング!$A:$B,2,0),"")</f>
        <v>AIMF-ID-CTX-001</v>
      </c>
      <c r="U46" s="10" t="str">
        <f aca="false">IF($T46="","",IFERROR(VLOOKUP($T46,02_施策マスター!$A:$B,2,0),""))</f>
        <v>AIユースケース登録と事業オーナーの明確化</v>
      </c>
      <c r="V46" s="10" t="str">
        <f aca="false">IF($R46="","",$R46+(1000-ROW())/1000000)</f>
        <v/>
      </c>
      <c r="W46" s="10" t="str">
        <f aca="false">IF($V46="","",COUNTIF($V$2:$V$208,"&gt;"&amp;$V46)+1)</f>
        <v/>
      </c>
      <c r="X46" s="10" t="s">
        <v>116</v>
      </c>
    </row>
    <row r="47" customFormat="false" ht="32.8" hidden="false" customHeight="false" outlineLevel="0" collapsed="false">
      <c r="A47" s="10" t="s">
        <v>247</v>
      </c>
      <c r="B47" s="10" t="s">
        <v>217</v>
      </c>
      <c r="C47" s="10" t="s">
        <v>244</v>
      </c>
      <c r="D47" s="11" t="s">
        <v>248</v>
      </c>
      <c r="E47" s="11" t="s">
        <v>249</v>
      </c>
      <c r="F47" s="10" t="s">
        <v>98</v>
      </c>
      <c r="G47" s="10" t="s">
        <v>99</v>
      </c>
      <c r="H47" s="12" t="str">
        <f aca="false">IF(OR($G47="all",AND(00_はじめに!$B$24="Y",ISNUMBER(SEARCH("traditional",$G47))),AND(00_はじめに!$B$25="Y",ISNUMBER(SEARCH("generative",$G47))),AND(00_はじめに!$B$26="Y",ISNUMBER(SEARCH("ai-agent",$G47))),AND(00_はじめに!$B$27="Y",ISNUMBER(SEARCH("multi-agent",$G47)))),"○","対象外")</f>
        <v>○</v>
      </c>
      <c r="I47" s="13"/>
      <c r="J47" s="14" t="n">
        <v>3</v>
      </c>
      <c r="K47" s="12" t="str">
        <f aca="false">IF(OR($H47="対象外",$I47="",$J47=""),"",$J47-$I47)</f>
        <v/>
      </c>
      <c r="L47" s="14" t="n">
        <v>3</v>
      </c>
      <c r="M47" s="14" t="n">
        <v>3</v>
      </c>
      <c r="N47" s="14" t="n">
        <v>4</v>
      </c>
      <c r="O47" s="14" t="n">
        <v>4</v>
      </c>
      <c r="P47" s="14" t="n">
        <v>4</v>
      </c>
      <c r="Q47" s="14" t="n">
        <v>2</v>
      </c>
      <c r="R47" s="15" t="str">
        <f aca="false">IF(OR($H47="対象外",$K47="",$L47="",$M47="",$N47="",$O47="",$P47="",$Q47=""),"",($K47*$L47*$M47*$N47*$O47*$P47)/$Q47)</f>
        <v/>
      </c>
      <c r="S47" s="12" t="str">
        <f aca="false">IF($H47="対象外","",IF(OR($I47="",$J47=""),"",IF(OR($J47-$I47&gt;0,AND($R47&lt;&gt;"",$R47&gt;=00_はじめに!$B$19)),"○","")))</f>
        <v/>
      </c>
      <c r="T47" s="10" t="str">
        <f aca="false">IFERROR(VLOOKUP($A47,03_質問施策マッピング!$A:$B,2,0),"")</f>
        <v>AIMF-ID-CTX-002</v>
      </c>
      <c r="U47" s="10" t="str">
        <f aca="false">IF($T47="","",IFERROR(VLOOKUP($T47,02_施策マスター!$A:$B,2,0),""))</f>
        <v>ユースケースのクリティカリティ判定</v>
      </c>
      <c r="V47" s="10" t="str">
        <f aca="false">IF($R47="","",$R47+(1000-ROW())/1000000)</f>
        <v/>
      </c>
      <c r="W47" s="10" t="str">
        <f aca="false">IF($V47="","",COUNTIF($V$2:$V$208,"&gt;"&amp;$V47)+1)</f>
        <v/>
      </c>
      <c r="X47" s="10" t="s">
        <v>116</v>
      </c>
    </row>
    <row r="48" customFormat="false" ht="32.8" hidden="false" customHeight="false" outlineLevel="0" collapsed="false">
      <c r="A48" s="10" t="s">
        <v>250</v>
      </c>
      <c r="B48" s="10" t="s">
        <v>217</v>
      </c>
      <c r="C48" s="10" t="s">
        <v>244</v>
      </c>
      <c r="D48" s="10" t="s">
        <v>251</v>
      </c>
      <c r="E48" s="10" t="s">
        <v>252</v>
      </c>
      <c r="F48" s="10" t="s">
        <v>98</v>
      </c>
      <c r="G48" s="10" t="s">
        <v>99</v>
      </c>
      <c r="H48" s="12" t="str">
        <f aca="false">IF(OR($G48="all",AND(00_はじめに!$B$24="Y",ISNUMBER(SEARCH("traditional",$G48))),AND(00_はじめに!$B$25="Y",ISNUMBER(SEARCH("generative",$G48))),AND(00_はじめに!$B$26="Y",ISNUMBER(SEARCH("ai-agent",$G48))),AND(00_はじめに!$B$27="Y",ISNUMBER(SEARCH("multi-agent",$G48)))),"○","対象外")</f>
        <v>○</v>
      </c>
      <c r="I48" s="13"/>
      <c r="J48" s="14" t="n">
        <v>3</v>
      </c>
      <c r="K48" s="12" t="str">
        <f aca="false">IF(OR($H48="対象外",$I48="",$J48=""),"",$J48-$I48)</f>
        <v/>
      </c>
      <c r="L48" s="14" t="n">
        <v>3</v>
      </c>
      <c r="M48" s="14" t="n">
        <v>3</v>
      </c>
      <c r="N48" s="14" t="n">
        <v>4</v>
      </c>
      <c r="O48" s="14" t="n">
        <v>4</v>
      </c>
      <c r="P48" s="14" t="n">
        <v>4</v>
      </c>
      <c r="Q48" s="14" t="n">
        <v>2</v>
      </c>
      <c r="R48" s="15" t="str">
        <f aca="false">IF(OR($H48="対象外",$K48="",$L48="",$M48="",$N48="",$O48="",$P48="",$Q48=""),"",($K48*$L48*$M48*$N48*$O48*$P48)/$Q48)</f>
        <v/>
      </c>
      <c r="S48" s="12" t="str">
        <f aca="false">IF($H48="対象外","",IF(OR($I48="",$J48=""),"",IF(OR($J48-$I48&gt;0,AND($R48&lt;&gt;"",$R48&gt;=00_はじめに!$B$19)),"○","")))</f>
        <v/>
      </c>
      <c r="T48" s="10" t="str">
        <f aca="false">IFERROR(VLOOKUP($A48,03_質問施策マッピング!$A:$B,2,0),"")</f>
        <v>AIMF-ID-CTX-003</v>
      </c>
      <c r="U48" s="10" t="str">
        <f aca="false">IF($T48="","",IFERROR(VLOOKUP($T48,02_施策マスター!$A:$B,2,0),""))</f>
        <v>AI障害時の業務影響分析（BIA）</v>
      </c>
      <c r="V48" s="10" t="str">
        <f aca="false">IF($R48="","",$R48+(1000-ROW())/1000000)</f>
        <v/>
      </c>
      <c r="W48" s="10" t="str">
        <f aca="false">IF($V48="","",COUNTIF($V$2:$V$208,"&gt;"&amp;$V48)+1)</f>
        <v/>
      </c>
      <c r="X48" s="10" t="s">
        <v>116</v>
      </c>
    </row>
    <row r="49" customFormat="false" ht="39.55" hidden="false" customHeight="false" outlineLevel="0" collapsed="false">
      <c r="A49" s="10" t="s">
        <v>253</v>
      </c>
      <c r="B49" s="10" t="s">
        <v>217</v>
      </c>
      <c r="C49" s="10" t="s">
        <v>244</v>
      </c>
      <c r="D49" s="11" t="s">
        <v>254</v>
      </c>
      <c r="E49" s="10" t="s">
        <v>255</v>
      </c>
      <c r="F49" s="10" t="s">
        <v>133</v>
      </c>
      <c r="G49" s="10" t="s">
        <v>99</v>
      </c>
      <c r="H49" s="12" t="str">
        <f aca="false">IF(OR($G49="all",AND(00_はじめに!$B$24="Y",ISNUMBER(SEARCH("traditional",$G49))),AND(00_はじめに!$B$25="Y",ISNUMBER(SEARCH("generative",$G49))),AND(00_はじめに!$B$26="Y",ISNUMBER(SEARCH("ai-agent",$G49))),AND(00_はじめに!$B$27="Y",ISNUMBER(SEARCH("multi-agent",$G49)))),"○","対象外")</f>
        <v>○</v>
      </c>
      <c r="I49" s="13"/>
      <c r="J49" s="14" t="n">
        <v>3</v>
      </c>
      <c r="K49" s="12" t="str">
        <f aca="false">IF(OR($H49="対象外",$I49="",$J49=""),"",$J49-$I49)</f>
        <v/>
      </c>
      <c r="L49" s="14" t="n">
        <v>3</v>
      </c>
      <c r="M49" s="14" t="n">
        <v>3</v>
      </c>
      <c r="N49" s="14" t="n">
        <v>4</v>
      </c>
      <c r="O49" s="14" t="n">
        <v>2</v>
      </c>
      <c r="P49" s="14" t="n">
        <v>4</v>
      </c>
      <c r="Q49" s="14" t="n">
        <v>3</v>
      </c>
      <c r="R49" s="15" t="str">
        <f aca="false">IF(OR($H49="対象外",$K49="",$L49="",$M49="",$N49="",$O49="",$P49="",$Q49=""),"",($K49*$L49*$M49*$N49*$O49*$P49)/$Q49)</f>
        <v/>
      </c>
      <c r="S49" s="12" t="str">
        <f aca="false">IF($H49="対象外","",IF(OR($I49="",$J49=""),"",IF(OR($J49-$I49&gt;0,AND($R49&lt;&gt;"",$R49&gt;=00_はじめに!$B$19)),"○","")))</f>
        <v/>
      </c>
      <c r="T49" s="10" t="str">
        <f aca="false">IFERROR(VLOOKUP($A49,03_質問施策マッピング!$A:$B,2,0),"")</f>
        <v>AIMF-ID-CTX-004</v>
      </c>
      <c r="U49" s="10" t="str">
        <f aca="false">IF($T49="","",IFERROR(VLOOKUP($T49,02_施策マスター!$A:$B,2,0),""))</f>
        <v>非AI代替手段の維持判断</v>
      </c>
      <c r="V49" s="10" t="str">
        <f aca="false">IF($R49="","",$R49+(1000-ROW())/1000000)</f>
        <v/>
      </c>
      <c r="W49" s="10" t="str">
        <f aca="false">IF($V49="","",COUNTIF($V$2:$V$208,"&gt;"&amp;$V49)+1)</f>
        <v/>
      </c>
      <c r="X49" s="10" t="s">
        <v>116</v>
      </c>
    </row>
    <row r="50" customFormat="false" ht="39.55" hidden="false" customHeight="false" outlineLevel="0" collapsed="false">
      <c r="A50" s="10" t="s">
        <v>256</v>
      </c>
      <c r="B50" s="10" t="s">
        <v>217</v>
      </c>
      <c r="C50" s="10" t="s">
        <v>257</v>
      </c>
      <c r="D50" s="10" t="s">
        <v>258</v>
      </c>
      <c r="E50" s="11" t="s">
        <v>259</v>
      </c>
      <c r="F50" s="10" t="s">
        <v>98</v>
      </c>
      <c r="G50" s="10" t="s">
        <v>99</v>
      </c>
      <c r="H50" s="12" t="str">
        <f aca="false">IF(OR($G50="all",AND(00_はじめに!$B$24="Y",ISNUMBER(SEARCH("traditional",$G50))),AND(00_はじめに!$B$25="Y",ISNUMBER(SEARCH("generative",$G50))),AND(00_はじめに!$B$26="Y",ISNUMBER(SEARCH("ai-agent",$G50))),AND(00_はじめに!$B$27="Y",ISNUMBER(SEARCH("multi-agent",$G50)))),"○","対象外")</f>
        <v>○</v>
      </c>
      <c r="I50" s="13"/>
      <c r="J50" s="14" t="n">
        <v>4</v>
      </c>
      <c r="K50" s="12" t="str">
        <f aca="false">IF(OR($H50="対象外",$I50="",$J50=""),"",$J50-$I50)</f>
        <v/>
      </c>
      <c r="L50" s="14" t="n">
        <v>4</v>
      </c>
      <c r="M50" s="14" t="n">
        <v>3</v>
      </c>
      <c r="N50" s="14" t="n">
        <v>5</v>
      </c>
      <c r="O50" s="14" t="n">
        <v>4</v>
      </c>
      <c r="P50" s="14" t="n">
        <v>4</v>
      </c>
      <c r="Q50" s="14" t="n">
        <v>3</v>
      </c>
      <c r="R50" s="15" t="str">
        <f aca="false">IF(OR($H50="対象外",$K50="",$L50="",$M50="",$N50="",$O50="",$P50="",$Q50=""),"",($K50*$L50*$M50*$N50*$O50*$P50)/$Q50)</f>
        <v/>
      </c>
      <c r="S50" s="12" t="str">
        <f aca="false">IF($H50="対象外","",IF(OR($I50="",$J50=""),"",IF(OR($J50-$I50&gt;0,AND($R50&lt;&gt;"",$R50&gt;=00_はじめに!$B$19)),"○","")))</f>
        <v/>
      </c>
      <c r="T50" s="10" t="str">
        <f aca="false">IFERROR(VLOOKUP($A50,03_質問施策マッピング!$A:$B,2,0),"")</f>
        <v>AIMF-ID-SCM-001</v>
      </c>
      <c r="U50" s="10" t="str">
        <f aca="false">IF($T50="","",IFERROR(VLOOKUP($T50,02_施策マスター!$A:$B,2,0),""))</f>
        <v>AIセキュリティのベンダー評価と管理</v>
      </c>
      <c r="V50" s="10" t="str">
        <f aca="false">IF($R50="","",$R50+(1000-ROW())/1000000)</f>
        <v/>
      </c>
      <c r="W50" s="10" t="str">
        <f aca="false">IF($V50="","",COUNTIF($V$2:$V$208,"&gt;"&amp;$V50)+1)</f>
        <v/>
      </c>
      <c r="X50" s="10" t="s">
        <v>100</v>
      </c>
    </row>
    <row r="51" customFormat="false" ht="32.8" hidden="false" customHeight="false" outlineLevel="0" collapsed="false">
      <c r="A51" s="10" t="s">
        <v>260</v>
      </c>
      <c r="B51" s="10" t="s">
        <v>217</v>
      </c>
      <c r="C51" s="10" t="s">
        <v>257</v>
      </c>
      <c r="D51" s="10" t="s">
        <v>261</v>
      </c>
      <c r="E51" s="10" t="s">
        <v>262</v>
      </c>
      <c r="F51" s="10" t="s">
        <v>98</v>
      </c>
      <c r="G51" s="10" t="s">
        <v>99</v>
      </c>
      <c r="H51" s="12" t="str">
        <f aca="false">IF(OR($G51="all",AND(00_はじめに!$B$24="Y",ISNUMBER(SEARCH("traditional",$G51))),AND(00_はじめに!$B$25="Y",ISNUMBER(SEARCH("generative",$G51))),AND(00_はじめに!$B$26="Y",ISNUMBER(SEARCH("ai-agent",$G51))),AND(00_はじめに!$B$27="Y",ISNUMBER(SEARCH("multi-agent",$G51)))),"○","対象外")</f>
        <v>○</v>
      </c>
      <c r="I51" s="13"/>
      <c r="J51" s="14" t="n">
        <v>4</v>
      </c>
      <c r="K51" s="12" t="str">
        <f aca="false">IF(OR($H51="対象外",$I51="",$J51=""),"",$J51-$I51)</f>
        <v/>
      </c>
      <c r="L51" s="14" t="n">
        <v>4</v>
      </c>
      <c r="M51" s="14" t="n">
        <v>3</v>
      </c>
      <c r="N51" s="14" t="n">
        <v>4</v>
      </c>
      <c r="O51" s="14" t="n">
        <v>4</v>
      </c>
      <c r="P51" s="14" t="n">
        <v>4</v>
      </c>
      <c r="Q51" s="14" t="n">
        <v>3</v>
      </c>
      <c r="R51" s="15" t="str">
        <f aca="false">IF(OR($H51="対象外",$K51="",$L51="",$M51="",$N51="",$O51="",$P51="",$Q51=""),"",($K51*$L51*$M51*$N51*$O51*$P51)/$Q51)</f>
        <v/>
      </c>
      <c r="S51" s="12" t="str">
        <f aca="false">IF($H51="対象外","",IF(OR($I51="",$J51=""),"",IF(OR($J51-$I51&gt;0,AND($R51&lt;&gt;"",$R51&gt;=00_はじめに!$B$19)),"○","")))</f>
        <v/>
      </c>
      <c r="T51" s="10" t="str">
        <f aca="false">IFERROR(VLOOKUP($A51,03_質問施策マッピング!$A:$B,2,0),"")</f>
        <v>AIMF-ID-SCM-002</v>
      </c>
      <c r="U51" s="10" t="str">
        <f aca="false">IF($T51="","",IFERROR(VLOOKUP($T51,02_施策マスター!$A:$B,2,0),""))</f>
        <v>SBOMの自動生成・継続的管理</v>
      </c>
      <c r="V51" s="10" t="str">
        <f aca="false">IF($R51="","",$R51+(1000-ROW())/1000000)</f>
        <v/>
      </c>
      <c r="W51" s="10" t="str">
        <f aca="false">IF($V51="","",COUNTIF($V$2:$V$208,"&gt;"&amp;$V51)+1)</f>
        <v/>
      </c>
      <c r="X51" s="10" t="s">
        <v>100</v>
      </c>
    </row>
    <row r="52" customFormat="false" ht="39.55" hidden="false" customHeight="false" outlineLevel="0" collapsed="false">
      <c r="A52" s="10" t="s">
        <v>263</v>
      </c>
      <c r="B52" s="10" t="s">
        <v>217</v>
      </c>
      <c r="C52" s="10" t="s">
        <v>257</v>
      </c>
      <c r="D52" s="10" t="s">
        <v>264</v>
      </c>
      <c r="E52" s="11" t="s">
        <v>265</v>
      </c>
      <c r="F52" s="10" t="s">
        <v>133</v>
      </c>
      <c r="G52" s="10" t="s">
        <v>99</v>
      </c>
      <c r="H52" s="12" t="str">
        <f aca="false">IF(OR($G52="all",AND(00_はじめに!$B$24="Y",ISNUMBER(SEARCH("traditional",$G52))),AND(00_はじめに!$B$25="Y",ISNUMBER(SEARCH("generative",$G52))),AND(00_はじめに!$B$26="Y",ISNUMBER(SEARCH("ai-agent",$G52))),AND(00_はじめに!$B$27="Y",ISNUMBER(SEARCH("multi-agent",$G52)))),"○","対象外")</f>
        <v>○</v>
      </c>
      <c r="I52" s="13"/>
      <c r="J52" s="14" t="n">
        <v>4</v>
      </c>
      <c r="K52" s="12" t="str">
        <f aca="false">IF(OR($H52="対象外",$I52="",$J52=""),"",$J52-$I52)</f>
        <v/>
      </c>
      <c r="L52" s="14" t="n">
        <v>4</v>
      </c>
      <c r="M52" s="14" t="n">
        <v>3</v>
      </c>
      <c r="N52" s="14" t="n">
        <v>5</v>
      </c>
      <c r="O52" s="14" t="n">
        <v>2</v>
      </c>
      <c r="P52" s="14" t="n">
        <v>4</v>
      </c>
      <c r="Q52" s="14" t="n">
        <v>4</v>
      </c>
      <c r="R52" s="15" t="str">
        <f aca="false">IF(OR($H52="対象外",$K52="",$L52="",$M52="",$N52="",$O52="",$P52="",$Q52=""),"",($K52*$L52*$M52*$N52*$O52*$P52)/$Q52)</f>
        <v/>
      </c>
      <c r="S52" s="12" t="str">
        <f aca="false">IF($H52="対象外","",IF(OR($I52="",$J52=""),"",IF(OR($J52-$I52&gt;0,AND($R52&lt;&gt;"",$R52&gt;=00_はじめに!$B$19)),"○","")))</f>
        <v/>
      </c>
      <c r="T52" s="10" t="str">
        <f aca="false">IFERROR(VLOOKUP($A52,03_質問施策マッピング!$A:$B,2,0),"")</f>
        <v>AIMF-ID-SCM-003</v>
      </c>
      <c r="U52" s="10" t="str">
        <f aca="false">IF($T52="","",IFERROR(VLOOKUP($T52,02_施策マスター!$A:$B,2,0),""))</f>
        <v>AI-BOMによるAI特有資産の管理</v>
      </c>
      <c r="V52" s="10" t="str">
        <f aca="false">IF($R52="","",$R52+(1000-ROW())/1000000)</f>
        <v/>
      </c>
      <c r="W52" s="10" t="str">
        <f aca="false">IF($V52="","",COUNTIF($V$2:$V$208,"&gt;"&amp;$V52)+1)</f>
        <v/>
      </c>
      <c r="X52" s="10" t="s">
        <v>100</v>
      </c>
    </row>
    <row r="53" customFormat="false" ht="26.85" hidden="false" customHeight="false" outlineLevel="0" collapsed="false">
      <c r="A53" s="10" t="s">
        <v>266</v>
      </c>
      <c r="B53" s="10" t="s">
        <v>217</v>
      </c>
      <c r="C53" s="10" t="s">
        <v>257</v>
      </c>
      <c r="D53" s="11" t="s">
        <v>267</v>
      </c>
      <c r="E53" s="11" t="s">
        <v>268</v>
      </c>
      <c r="F53" s="10" t="s">
        <v>133</v>
      </c>
      <c r="G53" s="10" t="s">
        <v>99</v>
      </c>
      <c r="H53" s="12" t="str">
        <f aca="false">IF(OR($G53="all",AND(00_はじめに!$B$24="Y",ISNUMBER(SEARCH("traditional",$G53))),AND(00_はじめに!$B$25="Y",ISNUMBER(SEARCH("generative",$G53))),AND(00_はじめに!$B$26="Y",ISNUMBER(SEARCH("ai-agent",$G53))),AND(00_はじめに!$B$27="Y",ISNUMBER(SEARCH("multi-agent",$G53)))),"○","対象外")</f>
        <v>○</v>
      </c>
      <c r="I53" s="13"/>
      <c r="J53" s="14" t="n">
        <v>3</v>
      </c>
      <c r="K53" s="12" t="str">
        <f aca="false">IF(OR($H53="対象外",$I53="",$J53=""),"",$J53-$I53)</f>
        <v/>
      </c>
      <c r="L53" s="14" t="n">
        <v>4</v>
      </c>
      <c r="M53" s="14" t="n">
        <v>3</v>
      </c>
      <c r="N53" s="14" t="n">
        <v>4</v>
      </c>
      <c r="O53" s="14" t="n">
        <v>2</v>
      </c>
      <c r="P53" s="14" t="n">
        <v>4</v>
      </c>
      <c r="Q53" s="14" t="n">
        <v>4</v>
      </c>
      <c r="R53" s="15" t="str">
        <f aca="false">IF(OR($H53="対象外",$K53="",$L53="",$M53="",$N53="",$O53="",$P53="",$Q53=""),"",($K53*$L53*$M53*$N53*$O53*$P53)/$Q53)</f>
        <v/>
      </c>
      <c r="S53" s="12" t="str">
        <f aca="false">IF($H53="対象外","",IF(OR($I53="",$J53=""),"",IF(OR($J53-$I53&gt;0,AND($R53&lt;&gt;"",$R53&gt;=00_はじめに!$B$19)),"○","")))</f>
        <v/>
      </c>
      <c r="T53" s="10" t="str">
        <f aca="false">IFERROR(VLOOKUP($A53,03_質問施策マッピング!$A:$B,2,0),"")</f>
        <v>AIMF-ID-SCM-004</v>
      </c>
      <c r="U53" s="10" t="str">
        <f aca="false">IF($T53="","",IFERROR(VLOOKUP($T53,02_施策マスター!$A:$B,2,0),""))</f>
        <v>モデル・データセット供給元の来歴検証</v>
      </c>
      <c r="V53" s="10" t="str">
        <f aca="false">IF($R53="","",$R53+(1000-ROW())/1000000)</f>
        <v/>
      </c>
      <c r="W53" s="10" t="str">
        <f aca="false">IF($V53="","",COUNTIF($V$2:$V$208,"&gt;"&amp;$V53)+1)</f>
        <v/>
      </c>
      <c r="X53" s="10" t="s">
        <v>116</v>
      </c>
    </row>
    <row r="54" customFormat="false" ht="39.55" hidden="false" customHeight="false" outlineLevel="0" collapsed="false">
      <c r="A54" s="10" t="s">
        <v>269</v>
      </c>
      <c r="B54" s="10" t="s">
        <v>217</v>
      </c>
      <c r="C54" s="10" t="s">
        <v>257</v>
      </c>
      <c r="D54" s="10" t="s">
        <v>270</v>
      </c>
      <c r="E54" s="11" t="s">
        <v>271</v>
      </c>
      <c r="F54" s="10" t="s">
        <v>133</v>
      </c>
      <c r="G54" s="10" t="s">
        <v>166</v>
      </c>
      <c r="H54" s="12" t="str">
        <f aca="false">IF(OR($G54="all",AND(00_はじめに!$B$24="Y",ISNUMBER(SEARCH("traditional",$G54))),AND(00_はじめに!$B$25="Y",ISNUMBER(SEARCH("generative",$G54))),AND(00_はじめに!$B$26="Y",ISNUMBER(SEARCH("ai-agent",$G54))),AND(00_はじめに!$B$27="Y",ISNUMBER(SEARCH("multi-agent",$G54)))),"○","対象外")</f>
        <v>○</v>
      </c>
      <c r="I54" s="13"/>
      <c r="J54" s="14" t="n">
        <v>3</v>
      </c>
      <c r="K54" s="12" t="str">
        <f aca="false">IF(OR($H54="対象外",$I54="",$J54=""),"",$J54-$I54)</f>
        <v/>
      </c>
      <c r="L54" s="14" t="n">
        <v>4</v>
      </c>
      <c r="M54" s="14" t="n">
        <v>3</v>
      </c>
      <c r="N54" s="14" t="n">
        <v>4</v>
      </c>
      <c r="O54" s="14" t="n">
        <v>2</v>
      </c>
      <c r="P54" s="14" t="n">
        <v>4</v>
      </c>
      <c r="Q54" s="14" t="n">
        <v>4</v>
      </c>
      <c r="R54" s="15" t="str">
        <f aca="false">IF(OR($H54="対象外",$K54="",$L54="",$M54="",$N54="",$O54="",$P54="",$Q54=""),"",($K54*$L54*$M54*$N54*$O54*$P54)/$Q54)</f>
        <v/>
      </c>
      <c r="S54" s="12" t="str">
        <f aca="false">IF($H54="対象外","",IF(OR($I54="",$J54=""),"",IF(OR($J54-$I54&gt;0,AND($R54&lt;&gt;"",$R54&gt;=00_はじめに!$B$19)),"○","")))</f>
        <v/>
      </c>
      <c r="T54" s="10" t="str">
        <f aca="false">IFERROR(VLOOKUP($A54,03_質問施策マッピング!$A:$B,2,0),"")</f>
        <v>AIMF-ID-SCM-005</v>
      </c>
      <c r="U54" s="10" t="str">
        <f aca="false">IF($T54="","",IFERROR(VLOOKUP($T54,02_施策マスター!$A:$B,2,0),""))</f>
        <v>MCPサーバー・プラグイン・エージェントツールの事前審査</v>
      </c>
      <c r="V54" s="10" t="str">
        <f aca="false">IF($R54="","",$R54+(1000-ROW())/1000000)</f>
        <v/>
      </c>
      <c r="W54" s="10" t="str">
        <f aca="false">IF($V54="","",COUNTIF($V$2:$V$208,"&gt;"&amp;$V54)+1)</f>
        <v/>
      </c>
      <c r="X54" s="10" t="s">
        <v>116</v>
      </c>
    </row>
    <row r="55" customFormat="false" ht="32.8" hidden="false" customHeight="false" outlineLevel="0" collapsed="false">
      <c r="A55" s="10" t="s">
        <v>272</v>
      </c>
      <c r="B55" s="10" t="s">
        <v>217</v>
      </c>
      <c r="C55" s="10" t="s">
        <v>257</v>
      </c>
      <c r="D55" s="10" t="s">
        <v>273</v>
      </c>
      <c r="E55" s="11" t="s">
        <v>274</v>
      </c>
      <c r="F55" s="10" t="s">
        <v>98</v>
      </c>
      <c r="G55" s="10" t="s">
        <v>99</v>
      </c>
      <c r="H55" s="12" t="str">
        <f aca="false">IF(OR($G55="all",AND(00_はじめに!$B$24="Y",ISNUMBER(SEARCH("traditional",$G55))),AND(00_はじめに!$B$25="Y",ISNUMBER(SEARCH("generative",$G55))),AND(00_はじめに!$B$26="Y",ISNUMBER(SEARCH("ai-agent",$G55))),AND(00_はじめに!$B$27="Y",ISNUMBER(SEARCH("multi-agent",$G55)))),"○","対象外")</f>
        <v>○</v>
      </c>
      <c r="I55" s="13"/>
      <c r="J55" s="14" t="n">
        <v>3</v>
      </c>
      <c r="K55" s="12" t="str">
        <f aca="false">IF(OR($H55="対象外",$I55="",$J55=""),"",$J55-$I55)</f>
        <v/>
      </c>
      <c r="L55" s="14" t="n">
        <v>4</v>
      </c>
      <c r="M55" s="14" t="n">
        <v>3</v>
      </c>
      <c r="N55" s="14" t="n">
        <v>4</v>
      </c>
      <c r="O55" s="14" t="n">
        <v>4</v>
      </c>
      <c r="P55" s="14" t="n">
        <v>4</v>
      </c>
      <c r="Q55" s="14" t="n">
        <v>3</v>
      </c>
      <c r="R55" s="15" t="str">
        <f aca="false">IF(OR($H55="対象外",$K55="",$L55="",$M55="",$N55="",$O55="",$P55="",$Q55=""),"",($K55*$L55*$M55*$N55*$O55*$P55)/$Q55)</f>
        <v/>
      </c>
      <c r="S55" s="12" t="str">
        <f aca="false">IF($H55="対象外","",IF(OR($I55="",$J55=""),"",IF(OR($J55-$I55&gt;0,AND($R55&lt;&gt;"",$R55&gt;=00_はじめに!$B$19)),"○","")))</f>
        <v/>
      </c>
      <c r="T55" s="10" t="str">
        <f aca="false">IFERROR(VLOOKUP($A55,03_質問施策マッピング!$A:$B,2,0),"")</f>
        <v>AIMF-ID-SCM-006</v>
      </c>
      <c r="U55" s="10" t="str">
        <f aca="false">IF($T55="","",IFERROR(VLOOKUP($T55,02_施策マスター!$A:$B,2,0),""))</f>
        <v>AIサービスの集中リスク評価</v>
      </c>
      <c r="V55" s="10" t="str">
        <f aca="false">IF($R55="","",$R55+(1000-ROW())/1000000)</f>
        <v/>
      </c>
      <c r="W55" s="10" t="str">
        <f aca="false">IF($V55="","",COUNTIF($V$2:$V$208,"&gt;"&amp;$V55)+1)</f>
        <v/>
      </c>
      <c r="X55" s="10" t="s">
        <v>116</v>
      </c>
    </row>
    <row r="56" customFormat="false" ht="32.8" hidden="false" customHeight="false" outlineLevel="0" collapsed="false">
      <c r="A56" s="10" t="s">
        <v>275</v>
      </c>
      <c r="B56" s="10" t="s">
        <v>217</v>
      </c>
      <c r="C56" s="10" t="s">
        <v>257</v>
      </c>
      <c r="D56" s="10" t="s">
        <v>276</v>
      </c>
      <c r="E56" s="11" t="s">
        <v>277</v>
      </c>
      <c r="F56" s="10" t="s">
        <v>98</v>
      </c>
      <c r="G56" s="10" t="s">
        <v>99</v>
      </c>
      <c r="H56" s="12" t="str">
        <f aca="false">IF(OR($G56="all",AND(00_はじめに!$B$24="Y",ISNUMBER(SEARCH("traditional",$G56))),AND(00_はじめに!$B$25="Y",ISNUMBER(SEARCH("generative",$G56))),AND(00_はじめに!$B$26="Y",ISNUMBER(SEARCH("ai-agent",$G56))),AND(00_はじめに!$B$27="Y",ISNUMBER(SEARCH("multi-agent",$G56)))),"○","対象外")</f>
        <v>○</v>
      </c>
      <c r="I56" s="13"/>
      <c r="J56" s="14" t="n">
        <v>3</v>
      </c>
      <c r="K56" s="12" t="str">
        <f aca="false">IF(OR($H56="対象外",$I56="",$J56=""),"",$J56-$I56)</f>
        <v/>
      </c>
      <c r="L56" s="14" t="n">
        <v>4</v>
      </c>
      <c r="M56" s="14" t="n">
        <v>3</v>
      </c>
      <c r="N56" s="14" t="n">
        <v>5</v>
      </c>
      <c r="O56" s="14" t="n">
        <v>4</v>
      </c>
      <c r="P56" s="14" t="n">
        <v>4</v>
      </c>
      <c r="Q56" s="14" t="n">
        <v>3</v>
      </c>
      <c r="R56" s="15" t="str">
        <f aca="false">IF(OR($H56="対象外",$K56="",$L56="",$M56="",$N56="",$O56="",$P56="",$Q56=""),"",($K56*$L56*$M56*$N56*$O56*$P56)/$Q56)</f>
        <v/>
      </c>
      <c r="S56" s="12" t="str">
        <f aca="false">IF($H56="対象外","",IF(OR($I56="",$J56=""),"",IF(OR($J56-$I56&gt;0,AND($R56&lt;&gt;"",$R56&gt;=00_はじめに!$B$19)),"○","")))</f>
        <v/>
      </c>
      <c r="T56" s="10" t="str">
        <f aca="false">IFERROR(VLOOKUP($A56,03_質問施策マッピング!$A:$B,2,0),"")</f>
        <v>AIMF-ID-SCM-007</v>
      </c>
      <c r="U56" s="10" t="str">
        <f aca="false">IF($T56="","",IFERROR(VLOOKUP($T56,02_施策マスター!$A:$B,2,0),""))</f>
        <v>AI調達契約のセキュリティ・責任分界条項</v>
      </c>
      <c r="V56" s="10" t="str">
        <f aca="false">IF($R56="","",$R56+(1000-ROW())/1000000)</f>
        <v/>
      </c>
      <c r="W56" s="10" t="str">
        <f aca="false">IF($V56="","",COUNTIF($V$2:$V$208,"&gt;"&amp;$V56)+1)</f>
        <v/>
      </c>
      <c r="X56" s="10" t="s">
        <v>116</v>
      </c>
    </row>
    <row r="57" customFormat="false" ht="39.55" hidden="false" customHeight="false" outlineLevel="0" collapsed="false">
      <c r="A57" s="10" t="s">
        <v>278</v>
      </c>
      <c r="B57" s="10" t="s">
        <v>217</v>
      </c>
      <c r="C57" s="10" t="s">
        <v>257</v>
      </c>
      <c r="D57" s="11" t="s">
        <v>279</v>
      </c>
      <c r="E57" s="11" t="s">
        <v>280</v>
      </c>
      <c r="F57" s="10" t="s">
        <v>133</v>
      </c>
      <c r="G57" s="10" t="s">
        <v>99</v>
      </c>
      <c r="H57" s="12" t="str">
        <f aca="false">IF(OR($G57="all",AND(00_はじめに!$B$24="Y",ISNUMBER(SEARCH("traditional",$G57))),AND(00_はじめに!$B$25="Y",ISNUMBER(SEARCH("generative",$G57))),AND(00_はじめに!$B$26="Y",ISNUMBER(SEARCH("ai-agent",$G57))),AND(00_はじめに!$B$27="Y",ISNUMBER(SEARCH("multi-agent",$G57)))),"○","対象外")</f>
        <v>○</v>
      </c>
      <c r="I57" s="13"/>
      <c r="J57" s="14" t="n">
        <v>3</v>
      </c>
      <c r="K57" s="12" t="str">
        <f aca="false">IF(OR($H57="対象外",$I57="",$J57=""),"",$J57-$I57)</f>
        <v/>
      </c>
      <c r="L57" s="14" t="n">
        <v>4</v>
      </c>
      <c r="M57" s="14" t="n">
        <v>3</v>
      </c>
      <c r="N57" s="14" t="n">
        <v>4</v>
      </c>
      <c r="O57" s="14" t="n">
        <v>2</v>
      </c>
      <c r="P57" s="14" t="n">
        <v>4</v>
      </c>
      <c r="Q57" s="14" t="n">
        <v>4</v>
      </c>
      <c r="R57" s="15" t="str">
        <f aca="false">IF(OR($H57="対象外",$K57="",$L57="",$M57="",$N57="",$O57="",$P57="",$Q57=""),"",($K57*$L57*$M57*$N57*$O57*$P57)/$Q57)</f>
        <v/>
      </c>
      <c r="S57" s="12" t="str">
        <f aca="false">IF($H57="対象外","",IF(OR($I57="",$J57=""),"",IF(OR($J57-$I57&gt;0,AND($R57&lt;&gt;"",$R57&gt;=00_はじめに!$B$19)),"○","")))</f>
        <v/>
      </c>
      <c r="T57" s="10" t="str">
        <f aca="false">IFERROR(VLOOKUP($A57,03_質問施策マッピング!$A:$B,2,0),"")</f>
        <v>AIMF-ID-SCM-008</v>
      </c>
      <c r="U57" s="10" t="str">
        <f aca="false">IF($T57="","",IFERROR(VLOOKUP($T57,02_施策マスター!$A:$B,2,0),""))</f>
        <v>オープンウェイトモデル利用時の評価基準</v>
      </c>
      <c r="V57" s="10" t="str">
        <f aca="false">IF($R57="","",$R57+(1000-ROW())/1000000)</f>
        <v/>
      </c>
      <c r="W57" s="10" t="str">
        <f aca="false">IF($V57="","",COUNTIF($V$2:$V$208,"&gt;"&amp;$V57)+1)</f>
        <v/>
      </c>
      <c r="X57" s="10" t="s">
        <v>116</v>
      </c>
    </row>
    <row r="58" customFormat="false" ht="39.55" hidden="false" customHeight="false" outlineLevel="0" collapsed="false">
      <c r="A58" s="10" t="s">
        <v>281</v>
      </c>
      <c r="B58" s="10" t="s">
        <v>217</v>
      </c>
      <c r="C58" s="10" t="s">
        <v>282</v>
      </c>
      <c r="D58" s="11" t="s">
        <v>283</v>
      </c>
      <c r="E58" s="11" t="s">
        <v>284</v>
      </c>
      <c r="F58" s="10" t="s">
        <v>133</v>
      </c>
      <c r="G58" s="10" t="s">
        <v>285</v>
      </c>
      <c r="H58" s="12" t="str">
        <f aca="false">IF(OR($G58="all",AND(00_はじめに!$B$24="Y",ISNUMBER(SEARCH("traditional",$G58))),AND(00_はじめに!$B$25="Y",ISNUMBER(SEARCH("generative",$G58))),AND(00_はじめに!$B$26="Y",ISNUMBER(SEARCH("ai-agent",$G58))),AND(00_はじめに!$B$27="Y",ISNUMBER(SEARCH("multi-agent",$G58)))),"○","対象外")</f>
        <v>○</v>
      </c>
      <c r="I58" s="13"/>
      <c r="J58" s="14" t="n">
        <v>4</v>
      </c>
      <c r="K58" s="12" t="str">
        <f aca="false">IF(OR($H58="対象外",$I58="",$J58=""),"",$J58-$I58)</f>
        <v/>
      </c>
      <c r="L58" s="14" t="n">
        <v>4</v>
      </c>
      <c r="M58" s="14" t="n">
        <v>3</v>
      </c>
      <c r="N58" s="14" t="n">
        <v>5</v>
      </c>
      <c r="O58" s="14" t="n">
        <v>2</v>
      </c>
      <c r="P58" s="14" t="n">
        <v>4</v>
      </c>
      <c r="Q58" s="14" t="n">
        <v>3</v>
      </c>
      <c r="R58" s="15" t="str">
        <f aca="false">IF(OR($H58="対象外",$K58="",$L58="",$M58="",$N58="",$O58="",$P58="",$Q58=""),"",($K58*$L58*$M58*$N58*$O58*$P58)/$Q58)</f>
        <v/>
      </c>
      <c r="S58" s="12" t="str">
        <f aca="false">IF($H58="対象外","",IF(OR($I58="",$J58=""),"",IF(OR($J58-$I58&gt;0,AND($R58&lt;&gt;"",$R58&gt;=00_はじめに!$B$19)),"○","")))</f>
        <v/>
      </c>
      <c r="T58" s="10" t="str">
        <f aca="false">IFERROR(VLOOKUP($A58,03_質問施策マッピング!$A:$B,2,0),"")</f>
        <v>AIMF-ID-DGV-001</v>
      </c>
      <c r="U58" s="10" t="str">
        <f aca="false">IF($T58="","",IFERROR(VLOOKUP($T58,02_施策マスター!$A:$B,2,0),""))</f>
        <v>学習・チューニングデータのガバナンス</v>
      </c>
      <c r="V58" s="10" t="str">
        <f aca="false">IF($R58="","",$R58+(1000-ROW())/1000000)</f>
        <v/>
      </c>
      <c r="W58" s="10" t="str">
        <f aca="false">IF($V58="","",COUNTIF($V$2:$V$208,"&gt;"&amp;$V58)+1)</f>
        <v/>
      </c>
      <c r="X58" s="10" t="s">
        <v>100</v>
      </c>
    </row>
    <row r="59" customFormat="false" ht="32.8" hidden="false" customHeight="false" outlineLevel="0" collapsed="false">
      <c r="A59" s="10" t="s">
        <v>286</v>
      </c>
      <c r="B59" s="10" t="s">
        <v>217</v>
      </c>
      <c r="C59" s="10" t="s">
        <v>282</v>
      </c>
      <c r="D59" s="11" t="s">
        <v>287</v>
      </c>
      <c r="E59" s="11" t="s">
        <v>288</v>
      </c>
      <c r="F59" s="10" t="s">
        <v>98</v>
      </c>
      <c r="G59" s="10" t="s">
        <v>99</v>
      </c>
      <c r="H59" s="12" t="str">
        <f aca="false">IF(OR($G59="all",AND(00_はじめに!$B$24="Y",ISNUMBER(SEARCH("traditional",$G59))),AND(00_はじめに!$B$25="Y",ISNUMBER(SEARCH("generative",$G59))),AND(00_はじめに!$B$26="Y",ISNUMBER(SEARCH("ai-agent",$G59))),AND(00_はじめに!$B$27="Y",ISNUMBER(SEARCH("multi-agent",$G59)))),"○","対象外")</f>
        <v>○</v>
      </c>
      <c r="I59" s="13"/>
      <c r="J59" s="14" t="n">
        <v>3</v>
      </c>
      <c r="K59" s="12" t="str">
        <f aca="false">IF(OR($H59="対象外",$I59="",$J59=""),"",$J59-$I59)</f>
        <v/>
      </c>
      <c r="L59" s="14" t="n">
        <v>4</v>
      </c>
      <c r="M59" s="14" t="n">
        <v>3</v>
      </c>
      <c r="N59" s="14" t="n">
        <v>4</v>
      </c>
      <c r="O59" s="14" t="n">
        <v>4</v>
      </c>
      <c r="P59" s="14" t="n">
        <v>4</v>
      </c>
      <c r="Q59" s="14" t="n">
        <v>2</v>
      </c>
      <c r="R59" s="15" t="str">
        <f aca="false">IF(OR($H59="対象外",$K59="",$L59="",$M59="",$N59="",$O59="",$P59="",$Q59=""),"",($K59*$L59*$M59*$N59*$O59*$P59)/$Q59)</f>
        <v/>
      </c>
      <c r="S59" s="12" t="str">
        <f aca="false">IF($H59="対象外","",IF(OR($I59="",$J59=""),"",IF(OR($J59-$I59&gt;0,AND($R59&lt;&gt;"",$R59&gt;=00_はじめに!$B$19)),"○","")))</f>
        <v/>
      </c>
      <c r="T59" s="10" t="str">
        <f aca="false">IFERROR(VLOOKUP($A59,03_質問施策マッピング!$A:$B,2,0),"")</f>
        <v>AIMF-ID-DGV-002</v>
      </c>
      <c r="U59" s="10" t="str">
        <f aca="false">IF($T59="","",IFERROR(VLOOKUP($T59,02_施策マスター!$A:$B,2,0),""))</f>
        <v>データ分類とAI利用可否ラベル</v>
      </c>
      <c r="V59" s="10" t="str">
        <f aca="false">IF($R59="","",$R59+(1000-ROW())/1000000)</f>
        <v/>
      </c>
      <c r="W59" s="10" t="str">
        <f aca="false">IF($V59="","",COUNTIF($V$2:$V$208,"&gt;"&amp;$V59)+1)</f>
        <v/>
      </c>
      <c r="X59" s="10" t="s">
        <v>116</v>
      </c>
    </row>
    <row r="60" customFormat="false" ht="26.85" hidden="false" customHeight="false" outlineLevel="0" collapsed="false">
      <c r="A60" s="10" t="s">
        <v>289</v>
      </c>
      <c r="B60" s="10" t="s">
        <v>217</v>
      </c>
      <c r="C60" s="10" t="s">
        <v>282</v>
      </c>
      <c r="D60" s="11" t="s">
        <v>290</v>
      </c>
      <c r="E60" s="11" t="s">
        <v>291</v>
      </c>
      <c r="F60" s="10" t="s">
        <v>133</v>
      </c>
      <c r="G60" s="10" t="s">
        <v>285</v>
      </c>
      <c r="H60" s="12" t="str">
        <f aca="false">IF(OR($G60="all",AND(00_はじめに!$B$24="Y",ISNUMBER(SEARCH("traditional",$G60))),AND(00_はじめに!$B$25="Y",ISNUMBER(SEARCH("generative",$G60))),AND(00_はじめに!$B$26="Y",ISNUMBER(SEARCH("ai-agent",$G60))),AND(00_はじめに!$B$27="Y",ISNUMBER(SEARCH("multi-agent",$G60)))),"○","対象外")</f>
        <v>○</v>
      </c>
      <c r="I60" s="13"/>
      <c r="J60" s="14" t="n">
        <v>3</v>
      </c>
      <c r="K60" s="12" t="str">
        <f aca="false">IF(OR($H60="対象外",$I60="",$J60=""),"",$J60-$I60)</f>
        <v/>
      </c>
      <c r="L60" s="14" t="n">
        <v>4</v>
      </c>
      <c r="M60" s="14" t="n">
        <v>3</v>
      </c>
      <c r="N60" s="14" t="n">
        <v>5</v>
      </c>
      <c r="O60" s="14" t="n">
        <v>2</v>
      </c>
      <c r="P60" s="14" t="n">
        <v>4</v>
      </c>
      <c r="Q60" s="14" t="n">
        <v>3</v>
      </c>
      <c r="R60" s="15" t="str">
        <f aca="false">IF(OR($H60="対象外",$K60="",$L60="",$M60="",$N60="",$O60="",$P60="",$Q60=""),"",($K60*$L60*$M60*$N60*$O60*$P60)/$Q60)</f>
        <v/>
      </c>
      <c r="S60" s="12" t="str">
        <f aca="false">IF($H60="対象外","",IF(OR($I60="",$J60=""),"",IF(OR($J60-$I60&gt;0,AND($R60&lt;&gt;"",$R60&gt;=00_はじめに!$B$19)),"○","")))</f>
        <v/>
      </c>
      <c r="T60" s="10" t="str">
        <f aca="false">IFERROR(VLOOKUP($A60,03_質問施策マッピング!$A:$B,2,0),"")</f>
        <v>AIMF-ID-DGV-003</v>
      </c>
      <c r="U60" s="10" t="str">
        <f aca="false">IF($T60="","",IFERROR(VLOOKUP($T60,02_施策マスター!$A:$B,2,0),""))</f>
        <v>学習・RAGデータの来歴（プロビナンス）記録</v>
      </c>
      <c r="V60" s="10" t="str">
        <f aca="false">IF($R60="","",$R60+(1000-ROW())/1000000)</f>
        <v/>
      </c>
      <c r="W60" s="10" t="str">
        <f aca="false">IF($V60="","",COUNTIF($V$2:$V$208,"&gt;"&amp;$V60)+1)</f>
        <v/>
      </c>
      <c r="X60" s="10" t="s">
        <v>116</v>
      </c>
    </row>
    <row r="61" customFormat="false" ht="26.85" hidden="false" customHeight="false" outlineLevel="0" collapsed="false">
      <c r="A61" s="10" t="s">
        <v>292</v>
      </c>
      <c r="B61" s="10" t="s">
        <v>217</v>
      </c>
      <c r="C61" s="10" t="s">
        <v>282</v>
      </c>
      <c r="D61" s="11" t="s">
        <v>293</v>
      </c>
      <c r="E61" s="11" t="s">
        <v>294</v>
      </c>
      <c r="F61" s="10" t="s">
        <v>133</v>
      </c>
      <c r="G61" s="10" t="s">
        <v>285</v>
      </c>
      <c r="H61" s="12" t="str">
        <f aca="false">IF(OR($G61="all",AND(00_はじめに!$B$24="Y",ISNUMBER(SEARCH("traditional",$G61))),AND(00_はじめに!$B$25="Y",ISNUMBER(SEARCH("generative",$G61))),AND(00_はじめに!$B$26="Y",ISNUMBER(SEARCH("ai-agent",$G61))),AND(00_はじめに!$B$27="Y",ISNUMBER(SEARCH("multi-agent",$G61)))),"○","対象外")</f>
        <v>○</v>
      </c>
      <c r="I61" s="13"/>
      <c r="J61" s="14" t="n">
        <v>3</v>
      </c>
      <c r="K61" s="12" t="str">
        <f aca="false">IF(OR($H61="対象外",$I61="",$J61=""),"",$J61-$I61)</f>
        <v/>
      </c>
      <c r="L61" s="14" t="n">
        <v>4</v>
      </c>
      <c r="M61" s="14" t="n">
        <v>3</v>
      </c>
      <c r="N61" s="14" t="n">
        <v>4</v>
      </c>
      <c r="O61" s="14" t="n">
        <v>2</v>
      </c>
      <c r="P61" s="14" t="n">
        <v>4</v>
      </c>
      <c r="Q61" s="14" t="n">
        <v>3</v>
      </c>
      <c r="R61" s="15" t="str">
        <f aca="false">IF(OR($H61="対象外",$K61="",$L61="",$M61="",$N61="",$O61="",$P61="",$Q61=""),"",($K61*$L61*$M61*$N61*$O61*$P61)/$Q61)</f>
        <v/>
      </c>
      <c r="S61" s="12" t="str">
        <f aca="false">IF($H61="対象外","",IF(OR($I61="",$J61=""),"",IF(OR($J61-$I61&gt;0,AND($R61&lt;&gt;"",$R61&gt;=00_はじめに!$B$19)),"○","")))</f>
        <v/>
      </c>
      <c r="T61" s="10" t="str">
        <f aca="false">IFERROR(VLOOKUP($A61,03_質問施策マッピング!$A:$B,2,0),"")</f>
        <v>AIMF-ID-DGV-004</v>
      </c>
      <c r="U61" s="10" t="str">
        <f aca="false">IF($T61="","",IFERROR(VLOOKUP($T61,02_施策マスター!$A:$B,2,0),""))</f>
        <v>合成データの生成・利用統制</v>
      </c>
      <c r="V61" s="10" t="str">
        <f aca="false">IF($R61="","",$R61+(1000-ROW())/1000000)</f>
        <v/>
      </c>
      <c r="W61" s="10" t="str">
        <f aca="false">IF($V61="","",COUNTIF($V$2:$V$208,"&gt;"&amp;$V61)+1)</f>
        <v/>
      </c>
      <c r="X61" s="10" t="s">
        <v>116</v>
      </c>
    </row>
    <row r="62" customFormat="false" ht="32.8" hidden="false" customHeight="false" outlineLevel="0" collapsed="false">
      <c r="A62" s="10" t="s">
        <v>295</v>
      </c>
      <c r="B62" s="10" t="s">
        <v>217</v>
      </c>
      <c r="C62" s="10" t="s">
        <v>282</v>
      </c>
      <c r="D62" s="11" t="s">
        <v>296</v>
      </c>
      <c r="E62" s="11" t="s">
        <v>297</v>
      </c>
      <c r="F62" s="10" t="s">
        <v>98</v>
      </c>
      <c r="G62" s="10" t="s">
        <v>99</v>
      </c>
      <c r="H62" s="12" t="str">
        <f aca="false">IF(OR($G62="all",AND(00_はじめに!$B$24="Y",ISNUMBER(SEARCH("traditional",$G62))),AND(00_はじめに!$B$25="Y",ISNUMBER(SEARCH("generative",$G62))),AND(00_はじめに!$B$26="Y",ISNUMBER(SEARCH("ai-agent",$G62))),AND(00_はじめに!$B$27="Y",ISNUMBER(SEARCH("multi-agent",$G62)))),"○","対象外")</f>
        <v>○</v>
      </c>
      <c r="I62" s="13"/>
      <c r="J62" s="14" t="n">
        <v>3</v>
      </c>
      <c r="K62" s="12" t="str">
        <f aca="false">IF(OR($H62="対象外",$I62="",$J62=""),"",$J62-$I62)</f>
        <v/>
      </c>
      <c r="L62" s="14" t="n">
        <v>4</v>
      </c>
      <c r="M62" s="14" t="n">
        <v>3</v>
      </c>
      <c r="N62" s="14" t="n">
        <v>5</v>
      </c>
      <c r="O62" s="14" t="n">
        <v>4</v>
      </c>
      <c r="P62" s="14" t="n">
        <v>4</v>
      </c>
      <c r="Q62" s="14" t="n">
        <v>2</v>
      </c>
      <c r="R62" s="15" t="str">
        <f aca="false">IF(OR($H62="対象外",$K62="",$L62="",$M62="",$N62="",$O62="",$P62="",$Q62=""),"",($K62*$L62*$M62*$N62*$O62*$P62)/$Q62)</f>
        <v/>
      </c>
      <c r="S62" s="12" t="str">
        <f aca="false">IF($H62="対象外","",IF(OR($I62="",$J62=""),"",IF(OR($J62-$I62&gt;0,AND($R62&lt;&gt;"",$R62&gt;=00_はじめに!$B$19)),"○","")))</f>
        <v/>
      </c>
      <c r="T62" s="10" t="str">
        <f aca="false">IFERROR(VLOOKUP($A62,03_質問施策マッピング!$A:$B,2,0),"")</f>
        <v>AIMF-ID-DGV-005</v>
      </c>
      <c r="U62" s="10" t="str">
        <f aca="false">IF($T62="","",IFERROR(VLOOKUP($T62,02_施策マスター!$A:$B,2,0),""))</f>
        <v>データ保持・削除ポリシーのAIパイプライン適用</v>
      </c>
      <c r="V62" s="10" t="str">
        <f aca="false">IF($R62="","",$R62+(1000-ROW())/1000000)</f>
        <v/>
      </c>
      <c r="W62" s="10" t="str">
        <f aca="false">IF($V62="","",COUNTIF($V$2:$V$208,"&gt;"&amp;$V62)+1)</f>
        <v/>
      </c>
      <c r="X62" s="10" t="s">
        <v>116</v>
      </c>
    </row>
    <row r="63" customFormat="false" ht="26.85" hidden="false" customHeight="false" outlineLevel="0" collapsed="false">
      <c r="A63" s="10" t="s">
        <v>298</v>
      </c>
      <c r="B63" s="10" t="s">
        <v>217</v>
      </c>
      <c r="C63" s="10" t="s">
        <v>299</v>
      </c>
      <c r="D63" s="10" t="s">
        <v>300</v>
      </c>
      <c r="E63" s="11" t="s">
        <v>301</v>
      </c>
      <c r="F63" s="10" t="s">
        <v>133</v>
      </c>
      <c r="G63" s="10" t="s">
        <v>99</v>
      </c>
      <c r="H63" s="12" t="str">
        <f aca="false">IF(OR($G63="all",AND(00_はじめに!$B$24="Y",ISNUMBER(SEARCH("traditional",$G63))),AND(00_はじめに!$B$25="Y",ISNUMBER(SEARCH("generative",$G63))),AND(00_はじめに!$B$26="Y",ISNUMBER(SEARCH("ai-agent",$G63))),AND(00_はじめに!$B$27="Y",ISNUMBER(SEARCH("multi-agent",$G63)))),"○","対象外")</f>
        <v>○</v>
      </c>
      <c r="I63" s="13"/>
      <c r="J63" s="14" t="n">
        <v>3</v>
      </c>
      <c r="K63" s="12" t="str">
        <f aca="false">IF(OR($H63="対象外",$I63="",$J63=""),"",$J63-$I63)</f>
        <v/>
      </c>
      <c r="L63" s="14" t="n">
        <v>4</v>
      </c>
      <c r="M63" s="14" t="n">
        <v>3</v>
      </c>
      <c r="N63" s="14" t="n">
        <v>4</v>
      </c>
      <c r="O63" s="14" t="n">
        <v>2</v>
      </c>
      <c r="P63" s="14" t="n">
        <v>4</v>
      </c>
      <c r="Q63" s="14" t="n">
        <v>3</v>
      </c>
      <c r="R63" s="15" t="str">
        <f aca="false">IF(OR($H63="対象外",$K63="",$L63="",$M63="",$N63="",$O63="",$P63="",$Q63=""),"",($K63*$L63*$M63*$N63*$O63*$P63)/$Q63)</f>
        <v/>
      </c>
      <c r="S63" s="12" t="str">
        <f aca="false">IF($H63="対象外","",IF(OR($I63="",$J63=""),"",IF(OR($J63-$I63&gt;0,AND($R63&lt;&gt;"",$R63&gt;=00_はじめに!$B$19)),"○","")))</f>
        <v/>
      </c>
      <c r="T63" s="10" t="str">
        <f aca="false">IFERROR(VLOOKUP($A63,03_質問施策マッピング!$A:$B,2,0),"")</f>
        <v>AIMF-ID-THR-001</v>
      </c>
      <c r="U63" s="10" t="str">
        <f aca="false">IF($T63="","",IFERROR(VLOOKUP($T63,02_施策マスター!$A:$B,2,0),""))</f>
        <v>MITRE ATLASに基づくAI脅威モデリング</v>
      </c>
      <c r="V63" s="10" t="str">
        <f aca="false">IF($R63="","",$R63+(1000-ROW())/1000000)</f>
        <v/>
      </c>
      <c r="W63" s="10" t="str">
        <f aca="false">IF($V63="","",COUNTIF($V$2:$V$208,"&gt;"&amp;$V63)+1)</f>
        <v/>
      </c>
      <c r="X63" s="10" t="s">
        <v>116</v>
      </c>
    </row>
    <row r="64" customFormat="false" ht="39.55" hidden="false" customHeight="false" outlineLevel="0" collapsed="false">
      <c r="A64" s="10" t="s">
        <v>302</v>
      </c>
      <c r="B64" s="10" t="s">
        <v>217</v>
      </c>
      <c r="C64" s="10" t="s">
        <v>299</v>
      </c>
      <c r="D64" s="11" t="s">
        <v>303</v>
      </c>
      <c r="E64" s="11" t="s">
        <v>304</v>
      </c>
      <c r="F64" s="10" t="s">
        <v>133</v>
      </c>
      <c r="G64" s="10" t="s">
        <v>166</v>
      </c>
      <c r="H64" s="12" t="str">
        <f aca="false">IF(OR($G64="all",AND(00_はじめに!$B$24="Y",ISNUMBER(SEARCH("traditional",$G64))),AND(00_はじめに!$B$25="Y",ISNUMBER(SEARCH("generative",$G64))),AND(00_はじめに!$B$26="Y",ISNUMBER(SEARCH("ai-agent",$G64))),AND(00_はじめに!$B$27="Y",ISNUMBER(SEARCH("multi-agent",$G64)))),"○","対象外")</f>
        <v>○</v>
      </c>
      <c r="I64" s="13"/>
      <c r="J64" s="14" t="n">
        <v>3</v>
      </c>
      <c r="K64" s="12" t="str">
        <f aca="false">IF(OR($H64="対象外",$I64="",$J64=""),"",$J64-$I64)</f>
        <v/>
      </c>
      <c r="L64" s="14" t="n">
        <v>4</v>
      </c>
      <c r="M64" s="14" t="n">
        <v>3</v>
      </c>
      <c r="N64" s="14" t="n">
        <v>4</v>
      </c>
      <c r="O64" s="14" t="n">
        <v>2</v>
      </c>
      <c r="P64" s="14" t="n">
        <v>4</v>
      </c>
      <c r="Q64" s="14" t="n">
        <v>3</v>
      </c>
      <c r="R64" s="15" t="str">
        <f aca="false">IF(OR($H64="対象外",$K64="",$L64="",$M64="",$N64="",$O64="",$P64="",$Q64=""),"",($K64*$L64*$M64*$N64*$O64*$P64)/$Q64)</f>
        <v/>
      </c>
      <c r="S64" s="12" t="str">
        <f aca="false">IF($H64="対象外","",IF(OR($I64="",$J64=""),"",IF(OR($J64-$I64&gt;0,AND($R64&lt;&gt;"",$R64&gt;=00_はじめに!$B$19)),"○","")))</f>
        <v/>
      </c>
      <c r="T64" s="10" t="str">
        <f aca="false">IFERROR(VLOOKUP($A64,03_質問施策マッピング!$A:$B,2,0),"")</f>
        <v>AIMF-ID-THR-002</v>
      </c>
      <c r="U64" s="10" t="str">
        <f aca="false">IF($T64="","",IFERROR(VLOOKUP($T64,02_施策マスター!$A:$B,2,0),""))</f>
        <v>エージェントシステムのアタックサーフェス分析</v>
      </c>
      <c r="V64" s="10" t="str">
        <f aca="false">IF($R64="","",$R64+(1000-ROW())/1000000)</f>
        <v/>
      </c>
      <c r="W64" s="10" t="str">
        <f aca="false">IF($V64="","",COUNTIF($V$2:$V$208,"&gt;"&amp;$V64)+1)</f>
        <v/>
      </c>
      <c r="X64" s="10" t="s">
        <v>116</v>
      </c>
    </row>
    <row r="65" customFormat="false" ht="32.8" hidden="false" customHeight="false" outlineLevel="0" collapsed="false">
      <c r="A65" s="10" t="s">
        <v>305</v>
      </c>
      <c r="B65" s="10" t="s">
        <v>217</v>
      </c>
      <c r="C65" s="10" t="s">
        <v>299</v>
      </c>
      <c r="D65" s="10" t="s">
        <v>306</v>
      </c>
      <c r="E65" s="10" t="s">
        <v>307</v>
      </c>
      <c r="F65" s="10" t="s">
        <v>98</v>
      </c>
      <c r="G65" s="10" t="s">
        <v>99</v>
      </c>
      <c r="H65" s="12" t="str">
        <f aca="false">IF(OR($G65="all",AND(00_はじめに!$B$24="Y",ISNUMBER(SEARCH("traditional",$G65))),AND(00_はじめに!$B$25="Y",ISNUMBER(SEARCH("generative",$G65))),AND(00_はじめに!$B$26="Y",ISNUMBER(SEARCH("ai-agent",$G65))),AND(00_はじめに!$B$27="Y",ISNUMBER(SEARCH("multi-agent",$G65)))),"○","対象外")</f>
        <v>○</v>
      </c>
      <c r="I65" s="13"/>
      <c r="J65" s="14" t="n">
        <v>3</v>
      </c>
      <c r="K65" s="12" t="str">
        <f aca="false">IF(OR($H65="対象外",$I65="",$J65=""),"",$J65-$I65)</f>
        <v/>
      </c>
      <c r="L65" s="14" t="n">
        <v>4</v>
      </c>
      <c r="M65" s="14" t="n">
        <v>3</v>
      </c>
      <c r="N65" s="14" t="n">
        <v>4</v>
      </c>
      <c r="O65" s="14" t="n">
        <v>4</v>
      </c>
      <c r="P65" s="14" t="n">
        <v>4</v>
      </c>
      <c r="Q65" s="14" t="n">
        <v>2</v>
      </c>
      <c r="R65" s="15" t="str">
        <f aca="false">IF(OR($H65="対象外",$K65="",$L65="",$M65="",$N65="",$O65="",$P65="",$Q65=""),"",($K65*$L65*$M65*$N65*$O65*$P65)/$Q65)</f>
        <v/>
      </c>
      <c r="S65" s="12" t="str">
        <f aca="false">IF($H65="対象外","",IF(OR($I65="",$J65=""),"",IF(OR($J65-$I65&gt;0,AND($R65&lt;&gt;"",$R65&gt;=00_はじめに!$B$19)),"○","")))</f>
        <v/>
      </c>
      <c r="T65" s="10" t="str">
        <f aca="false">IFERROR(VLOOKUP($A65,03_質問施策マッピング!$A:$B,2,0),"")</f>
        <v>AIMF-ID-THR-003</v>
      </c>
      <c r="U65" s="10" t="str">
        <f aca="false">IF($T65="","",IFERROR(VLOOKUP($T65,02_施策マスター!$A:$B,2,0),""))</f>
        <v>AI脅威インテリジェンスの収集・共有</v>
      </c>
      <c r="V65" s="10" t="str">
        <f aca="false">IF($R65="","",$R65+(1000-ROW())/1000000)</f>
        <v/>
      </c>
      <c r="W65" s="10" t="str">
        <f aca="false">IF($V65="","",COUNTIF($V$2:$V$208,"&gt;"&amp;$V65)+1)</f>
        <v/>
      </c>
      <c r="X65" s="10" t="s">
        <v>116</v>
      </c>
    </row>
    <row r="66" customFormat="false" ht="39.55" hidden="false" customHeight="false" outlineLevel="0" collapsed="false">
      <c r="A66" s="10" t="s">
        <v>308</v>
      </c>
      <c r="B66" s="10" t="s">
        <v>217</v>
      </c>
      <c r="C66" s="10" t="s">
        <v>299</v>
      </c>
      <c r="D66" s="10" t="s">
        <v>309</v>
      </c>
      <c r="E66" s="11" t="s">
        <v>310</v>
      </c>
      <c r="F66" s="10" t="s">
        <v>133</v>
      </c>
      <c r="G66" s="10" t="s">
        <v>99</v>
      </c>
      <c r="H66" s="12" t="str">
        <f aca="false">IF(OR($G66="all",AND(00_はじめに!$B$24="Y",ISNUMBER(SEARCH("traditional",$G66))),AND(00_はじめに!$B$25="Y",ISNUMBER(SEARCH("generative",$G66))),AND(00_はじめに!$B$26="Y",ISNUMBER(SEARCH("ai-agent",$G66))),AND(00_はじめに!$B$27="Y",ISNUMBER(SEARCH("multi-agent",$G66)))),"○","対象外")</f>
        <v>○</v>
      </c>
      <c r="I66" s="13"/>
      <c r="J66" s="14" t="n">
        <v>3</v>
      </c>
      <c r="K66" s="12" t="str">
        <f aca="false">IF(OR($H66="対象外",$I66="",$J66=""),"",$J66-$I66)</f>
        <v/>
      </c>
      <c r="L66" s="14" t="n">
        <v>4</v>
      </c>
      <c r="M66" s="14" t="n">
        <v>3</v>
      </c>
      <c r="N66" s="14" t="n">
        <v>4</v>
      </c>
      <c r="O66" s="14" t="n">
        <v>2</v>
      </c>
      <c r="P66" s="14" t="n">
        <v>4</v>
      </c>
      <c r="Q66" s="14" t="n">
        <v>3</v>
      </c>
      <c r="R66" s="15" t="str">
        <f aca="false">IF(OR($H66="対象外",$K66="",$L66="",$M66="",$N66="",$O66="",$P66="",$Q66=""),"",($K66*$L66*$M66*$N66*$O66*$P66)/$Q66)</f>
        <v/>
      </c>
      <c r="S66" s="12" t="str">
        <f aca="false">IF($H66="対象外","",IF(OR($I66="",$J66=""),"",IF(OR($J66-$I66&gt;0,AND($R66&lt;&gt;"",$R66&gt;=00_はじめに!$B$19)),"○","")))</f>
        <v/>
      </c>
      <c r="T66" s="10" t="str">
        <f aca="false">IFERROR(VLOOKUP($A66,03_質問施策マッピング!$A:$B,2,0),"")</f>
        <v>AIMF-ID-THR-004</v>
      </c>
      <c r="U66" s="10" t="str">
        <f aca="false">IF($T66="","",IFERROR(VLOOKUP($T66,02_施策マスター!$A:$B,2,0),""))</f>
        <v>AI脅威シナリオライブラリの整備</v>
      </c>
      <c r="V66" s="10" t="str">
        <f aca="false">IF($R66="","",$R66+(1000-ROW())/1000000)</f>
        <v/>
      </c>
      <c r="W66" s="10" t="str">
        <f aca="false">IF($V66="","",COUNTIF($V$2:$V$208,"&gt;"&amp;$V66)+1)</f>
        <v/>
      </c>
      <c r="X66" s="10" t="s">
        <v>116</v>
      </c>
    </row>
    <row r="67" customFormat="false" ht="39.55" hidden="false" customHeight="false" outlineLevel="0" collapsed="false">
      <c r="A67" s="10" t="s">
        <v>311</v>
      </c>
      <c r="B67" s="10" t="s">
        <v>312</v>
      </c>
      <c r="C67" s="10" t="s">
        <v>313</v>
      </c>
      <c r="D67" s="11" t="s">
        <v>314</v>
      </c>
      <c r="E67" s="10" t="s">
        <v>315</v>
      </c>
      <c r="F67" s="10" t="s">
        <v>98</v>
      </c>
      <c r="G67" s="10" t="s">
        <v>99</v>
      </c>
      <c r="H67" s="12" t="str">
        <f aca="false">IF(OR($G67="all",AND(00_はじめに!$B$24="Y",ISNUMBER(SEARCH("traditional",$G67))),AND(00_はじめに!$B$25="Y",ISNUMBER(SEARCH("generative",$G67))),AND(00_はじめに!$B$26="Y",ISNUMBER(SEARCH("ai-agent",$G67))),AND(00_はじめに!$B$27="Y",ISNUMBER(SEARCH("multi-agent",$G67)))),"○","対象外")</f>
        <v>○</v>
      </c>
      <c r="I67" s="13"/>
      <c r="J67" s="14" t="n">
        <v>4</v>
      </c>
      <c r="K67" s="12" t="str">
        <f aca="false">IF(OR($H67="対象外",$I67="",$J67=""),"",$J67-$I67)</f>
        <v/>
      </c>
      <c r="L67" s="14" t="n">
        <v>4</v>
      </c>
      <c r="M67" s="14" t="n">
        <v>4</v>
      </c>
      <c r="N67" s="14" t="n">
        <v>4</v>
      </c>
      <c r="O67" s="14" t="n">
        <v>4</v>
      </c>
      <c r="P67" s="14" t="n">
        <v>3</v>
      </c>
      <c r="Q67" s="14" t="n">
        <v>3</v>
      </c>
      <c r="R67" s="15" t="str">
        <f aca="false">IF(OR($H67="対象外",$K67="",$L67="",$M67="",$N67="",$O67="",$P67="",$Q67=""),"",($K67*$L67*$M67*$N67*$O67*$P67)/$Q67)</f>
        <v/>
      </c>
      <c r="S67" s="12" t="str">
        <f aca="false">IF($H67="対象外","",IF(OR($I67="",$J67=""),"",IF(OR($J67-$I67&gt;0,AND($R67&lt;&gt;"",$R67&gt;=00_はじめに!$B$19)),"○","")))</f>
        <v/>
      </c>
      <c r="T67" s="10" t="str">
        <f aca="false">IFERROR(VLOOKUP($A67,03_質問施策マッピング!$A:$B,2,0),"")</f>
        <v>AIMF-PR-VUL-001</v>
      </c>
      <c r="U67" s="10" t="str">
        <f aca="false">IF($T67="","",IFERROR(VLOOKUP($T67,02_施策マスター!$A:$B,2,0),""))</f>
        <v>脆弱性トリアージ自動化プロセス</v>
      </c>
      <c r="V67" s="10" t="str">
        <f aca="false">IF($R67="","",$R67+(1000-ROW())/1000000)</f>
        <v/>
      </c>
      <c r="W67" s="10" t="str">
        <f aca="false">IF($V67="","",COUNTIF($V$2:$V$208,"&gt;"&amp;$V67)+1)</f>
        <v/>
      </c>
      <c r="X67" s="10" t="s">
        <v>100</v>
      </c>
    </row>
    <row r="68" customFormat="false" ht="32.8" hidden="false" customHeight="false" outlineLevel="0" collapsed="false">
      <c r="A68" s="10" t="s">
        <v>316</v>
      </c>
      <c r="B68" s="10" t="s">
        <v>312</v>
      </c>
      <c r="C68" s="10" t="s">
        <v>313</v>
      </c>
      <c r="D68" s="10" t="s">
        <v>317</v>
      </c>
      <c r="E68" s="10" t="s">
        <v>318</v>
      </c>
      <c r="F68" s="10" t="s">
        <v>98</v>
      </c>
      <c r="G68" s="10" t="s">
        <v>99</v>
      </c>
      <c r="H68" s="12" t="str">
        <f aca="false">IF(OR($G68="all",AND(00_はじめに!$B$24="Y",ISNUMBER(SEARCH("traditional",$G68))),AND(00_はじめに!$B$25="Y",ISNUMBER(SEARCH("generative",$G68))),AND(00_はじめに!$B$26="Y",ISNUMBER(SEARCH("ai-agent",$G68))),AND(00_はじめに!$B$27="Y",ISNUMBER(SEARCH("multi-agent",$G68)))),"○","対象外")</f>
        <v>○</v>
      </c>
      <c r="I68" s="13"/>
      <c r="J68" s="14" t="n">
        <v>4</v>
      </c>
      <c r="K68" s="12" t="str">
        <f aca="false">IF(OR($H68="対象外",$I68="",$J68=""),"",$J68-$I68)</f>
        <v/>
      </c>
      <c r="L68" s="14" t="n">
        <v>4</v>
      </c>
      <c r="M68" s="14" t="n">
        <v>4</v>
      </c>
      <c r="N68" s="14" t="n">
        <v>4</v>
      </c>
      <c r="O68" s="14" t="n">
        <v>4</v>
      </c>
      <c r="P68" s="14" t="n">
        <v>3</v>
      </c>
      <c r="Q68" s="14" t="n">
        <v>3</v>
      </c>
      <c r="R68" s="15" t="str">
        <f aca="false">IF(OR($H68="対象外",$K68="",$L68="",$M68="",$N68="",$O68="",$P68="",$Q68=""),"",($K68*$L68*$M68*$N68*$O68*$P68)/$Q68)</f>
        <v/>
      </c>
      <c r="S68" s="12" t="str">
        <f aca="false">IF($H68="対象外","",IF(OR($I68="",$J68=""),"",IF(OR($J68-$I68&gt;0,AND($R68&lt;&gt;"",$R68&gt;=00_はじめに!$B$19)),"○","")))</f>
        <v/>
      </c>
      <c r="T68" s="10" t="str">
        <f aca="false">IFERROR(VLOOKUP($A68,03_質問施策マッピング!$A:$B,2,0),"")</f>
        <v>AIMF-PR-VUL-002</v>
      </c>
      <c r="U68" s="10" t="str">
        <f aca="false">IF($T68="","",IFERROR(VLOOKUP($T68,02_施策マスター!$A:$B,2,0),""))</f>
        <v>IaCによる迅速な脆弱性適用基盤</v>
      </c>
      <c r="V68" s="10" t="str">
        <f aca="false">IF($R68="","",$R68+(1000-ROW())/1000000)</f>
        <v/>
      </c>
      <c r="W68" s="10" t="str">
        <f aca="false">IF($V68="","",COUNTIF($V$2:$V$208,"&gt;"&amp;$V68)+1)</f>
        <v/>
      </c>
      <c r="X68" s="10" t="s">
        <v>100</v>
      </c>
    </row>
    <row r="69" customFormat="false" ht="39.55" hidden="false" customHeight="false" outlineLevel="0" collapsed="false">
      <c r="A69" s="10" t="s">
        <v>319</v>
      </c>
      <c r="B69" s="10" t="s">
        <v>312</v>
      </c>
      <c r="C69" s="10" t="s">
        <v>313</v>
      </c>
      <c r="D69" s="11" t="s">
        <v>320</v>
      </c>
      <c r="E69" s="11" t="s">
        <v>321</v>
      </c>
      <c r="F69" s="10" t="s">
        <v>98</v>
      </c>
      <c r="G69" s="10" t="s">
        <v>99</v>
      </c>
      <c r="H69" s="12" t="str">
        <f aca="false">IF(OR($G69="all",AND(00_はじめに!$B$24="Y",ISNUMBER(SEARCH("traditional",$G69))),AND(00_はじめに!$B$25="Y",ISNUMBER(SEARCH("generative",$G69))),AND(00_はじめに!$B$26="Y",ISNUMBER(SEARCH("ai-agent",$G69))),AND(00_はじめに!$B$27="Y",ISNUMBER(SEARCH("multi-agent",$G69)))),"○","対象外")</f>
        <v>○</v>
      </c>
      <c r="I69" s="13"/>
      <c r="J69" s="14" t="n">
        <v>4</v>
      </c>
      <c r="K69" s="12" t="str">
        <f aca="false">IF(OR($H69="対象外",$I69="",$J69=""),"",$J69-$I69)</f>
        <v/>
      </c>
      <c r="L69" s="14" t="n">
        <v>4</v>
      </c>
      <c r="M69" s="14" t="n">
        <v>4</v>
      </c>
      <c r="N69" s="14" t="n">
        <v>4</v>
      </c>
      <c r="O69" s="14" t="n">
        <v>4</v>
      </c>
      <c r="P69" s="14" t="n">
        <v>3</v>
      </c>
      <c r="Q69" s="14" t="n">
        <v>3</v>
      </c>
      <c r="R69" s="15" t="str">
        <f aca="false">IF(OR($H69="対象外",$K69="",$L69="",$M69="",$N69="",$O69="",$P69="",$Q69=""),"",($K69*$L69*$M69*$N69*$O69*$P69)/$Q69)</f>
        <v/>
      </c>
      <c r="S69" s="12" t="str">
        <f aca="false">IF($H69="対象外","",IF(OR($I69="",$J69=""),"",IF(OR($J69-$I69&gt;0,AND($R69&lt;&gt;"",$R69&gt;=00_はじめに!$B$19)),"○","")))</f>
        <v/>
      </c>
      <c r="T69" s="10" t="str">
        <f aca="false">IFERROR(VLOOKUP($A69,03_質問施策マッピング!$A:$B,2,0),"")</f>
        <v>AIMF-PR-VUL-003</v>
      </c>
      <c r="U69" s="10" t="str">
        <f aca="false">IF($T69="","",IFERROR(VLOOKUP($T69,02_施策マスター!$A:$B,2,0),""))</f>
        <v>コンテナイメージの自動パッチ適用パイプライン</v>
      </c>
      <c r="V69" s="10" t="str">
        <f aca="false">IF($R69="","",$R69+(1000-ROW())/1000000)</f>
        <v/>
      </c>
      <c r="W69" s="10" t="str">
        <f aca="false">IF($V69="","",COUNTIF($V$2:$V$208,"&gt;"&amp;$V69)+1)</f>
        <v/>
      </c>
      <c r="X69" s="10" t="s">
        <v>100</v>
      </c>
    </row>
    <row r="70" customFormat="false" ht="39.55" hidden="false" customHeight="false" outlineLevel="0" collapsed="false">
      <c r="A70" s="10" t="s">
        <v>322</v>
      </c>
      <c r="B70" s="10" t="s">
        <v>312</v>
      </c>
      <c r="C70" s="10" t="s">
        <v>313</v>
      </c>
      <c r="D70" s="11" t="s">
        <v>323</v>
      </c>
      <c r="E70" s="11" t="s">
        <v>324</v>
      </c>
      <c r="F70" s="10" t="s">
        <v>98</v>
      </c>
      <c r="G70" s="10" t="s">
        <v>99</v>
      </c>
      <c r="H70" s="12" t="str">
        <f aca="false">IF(OR($G70="all",AND(00_はじめに!$B$24="Y",ISNUMBER(SEARCH("traditional",$G70))),AND(00_はじめに!$B$25="Y",ISNUMBER(SEARCH("generative",$G70))),AND(00_はじめに!$B$26="Y",ISNUMBER(SEARCH("ai-agent",$G70))),AND(00_はじめに!$B$27="Y",ISNUMBER(SEARCH("multi-agent",$G70)))),"○","対象外")</f>
        <v>○</v>
      </c>
      <c r="I70" s="13"/>
      <c r="J70" s="14" t="n">
        <v>3</v>
      </c>
      <c r="K70" s="12" t="str">
        <f aca="false">IF(OR($H70="対象外",$I70="",$J70=""),"",$J70-$I70)</f>
        <v/>
      </c>
      <c r="L70" s="14" t="n">
        <v>4</v>
      </c>
      <c r="M70" s="14" t="n">
        <v>4</v>
      </c>
      <c r="N70" s="14" t="n">
        <v>4</v>
      </c>
      <c r="O70" s="14" t="n">
        <v>4</v>
      </c>
      <c r="P70" s="14" t="n">
        <v>3</v>
      </c>
      <c r="Q70" s="14" t="n">
        <v>3</v>
      </c>
      <c r="R70" s="15" t="str">
        <f aca="false">IF(OR($H70="対象外",$K70="",$L70="",$M70="",$N70="",$O70="",$P70="",$Q70=""),"",($K70*$L70*$M70*$N70*$O70*$P70)/$Q70)</f>
        <v/>
      </c>
      <c r="S70" s="12" t="str">
        <f aca="false">IF($H70="対象外","",IF(OR($I70="",$J70=""),"",IF(OR($J70-$I70&gt;0,AND($R70&lt;&gt;"",$R70&gt;=00_はじめに!$B$19)),"○","")))</f>
        <v/>
      </c>
      <c r="T70" s="10" t="str">
        <f aca="false">IFERROR(VLOOKUP($A70,03_質問施策マッピング!$A:$B,2,0),"")</f>
        <v>AIMF-PR-VUL-004</v>
      </c>
      <c r="U70" s="10" t="str">
        <f aca="false">IF($T70="","",IFERROR(VLOOKUP($T70,02_施策マスター!$A:$B,2,0),""))</f>
        <v>仮想パッチ・緩和策の適用</v>
      </c>
      <c r="V70" s="10" t="str">
        <f aca="false">IF($R70="","",$R70+(1000-ROW())/1000000)</f>
        <v/>
      </c>
      <c r="W70" s="10" t="str">
        <f aca="false">IF($V70="","",COUNTIF($V$2:$V$208,"&gt;"&amp;$V70)+1)</f>
        <v/>
      </c>
      <c r="X70" s="10" t="s">
        <v>116</v>
      </c>
    </row>
    <row r="71" customFormat="false" ht="32.8" hidden="false" customHeight="false" outlineLevel="0" collapsed="false">
      <c r="A71" s="10" t="s">
        <v>325</v>
      </c>
      <c r="B71" s="10" t="s">
        <v>312</v>
      </c>
      <c r="C71" s="10" t="s">
        <v>313</v>
      </c>
      <c r="D71" s="10" t="s">
        <v>326</v>
      </c>
      <c r="E71" s="11" t="s">
        <v>327</v>
      </c>
      <c r="F71" s="10" t="s">
        <v>98</v>
      </c>
      <c r="G71" s="10" t="s">
        <v>99</v>
      </c>
      <c r="H71" s="12" t="str">
        <f aca="false">IF(OR($G71="all",AND(00_はじめに!$B$24="Y",ISNUMBER(SEARCH("traditional",$G71))),AND(00_はじめに!$B$25="Y",ISNUMBER(SEARCH("generative",$G71))),AND(00_はじめに!$B$26="Y",ISNUMBER(SEARCH("ai-agent",$G71))),AND(00_はじめに!$B$27="Y",ISNUMBER(SEARCH("multi-agent",$G71)))),"○","対象外")</f>
        <v>○</v>
      </c>
      <c r="I71" s="13"/>
      <c r="J71" s="14" t="n">
        <v>3</v>
      </c>
      <c r="K71" s="12" t="str">
        <f aca="false">IF(OR($H71="対象外",$I71="",$J71=""),"",$J71-$I71)</f>
        <v/>
      </c>
      <c r="L71" s="14" t="n">
        <v>4</v>
      </c>
      <c r="M71" s="14" t="n">
        <v>4</v>
      </c>
      <c r="N71" s="14" t="n">
        <v>4</v>
      </c>
      <c r="O71" s="14" t="n">
        <v>4</v>
      </c>
      <c r="P71" s="14" t="n">
        <v>3</v>
      </c>
      <c r="Q71" s="14" t="n">
        <v>3</v>
      </c>
      <c r="R71" s="15" t="str">
        <f aca="false">IF(OR($H71="対象外",$K71="",$L71="",$M71="",$N71="",$O71="",$P71="",$Q71=""),"",($K71*$L71*$M71*$N71*$O71*$P71)/$Q71)</f>
        <v/>
      </c>
      <c r="S71" s="12" t="str">
        <f aca="false">IF($H71="対象外","",IF(OR($I71="",$J71=""),"",IF(OR($J71-$I71&gt;0,AND($R71&lt;&gt;"",$R71&gt;=00_はじめに!$B$19)),"○","")))</f>
        <v/>
      </c>
      <c r="T71" s="10" t="str">
        <f aca="false">IFERROR(VLOOKUP($A71,03_質問施策マッピング!$A:$B,2,0),"")</f>
        <v>AIMF-PR-VUL-005</v>
      </c>
      <c r="U71" s="10" t="str">
        <f aca="false">IF($T71="","",IFERROR(VLOOKUP($T71,02_施策マスター!$A:$B,2,0),""))</f>
        <v>EOL・レガシーAIコンポーネントの管理</v>
      </c>
      <c r="V71" s="10" t="str">
        <f aca="false">IF($R71="","",$R71+(1000-ROW())/1000000)</f>
        <v/>
      </c>
      <c r="W71" s="10" t="str">
        <f aca="false">IF($V71="","",COUNTIF($V$2:$V$208,"&gt;"&amp;$V71)+1)</f>
        <v/>
      </c>
      <c r="X71" s="10" t="s">
        <v>116</v>
      </c>
    </row>
    <row r="72" customFormat="false" ht="39.55" hidden="false" customHeight="false" outlineLevel="0" collapsed="false">
      <c r="A72" s="10" t="s">
        <v>328</v>
      </c>
      <c r="B72" s="10" t="s">
        <v>312</v>
      </c>
      <c r="C72" s="10" t="s">
        <v>329</v>
      </c>
      <c r="D72" s="10" t="s">
        <v>330</v>
      </c>
      <c r="E72" s="10" t="s">
        <v>331</v>
      </c>
      <c r="F72" s="10" t="s">
        <v>98</v>
      </c>
      <c r="G72" s="10" t="s">
        <v>99</v>
      </c>
      <c r="H72" s="12" t="str">
        <f aca="false">IF(OR($G72="all",AND(00_はじめに!$B$24="Y",ISNUMBER(SEARCH("traditional",$G72))),AND(00_はじめに!$B$25="Y",ISNUMBER(SEARCH("generative",$G72))),AND(00_はじめに!$B$26="Y",ISNUMBER(SEARCH("ai-agent",$G72))),AND(00_はじめに!$B$27="Y",ISNUMBER(SEARCH("multi-agent",$G72)))),"○","対象外")</f>
        <v>○</v>
      </c>
      <c r="I72" s="13"/>
      <c r="J72" s="14" t="n">
        <v>4</v>
      </c>
      <c r="K72" s="12" t="str">
        <f aca="false">IF(OR($H72="対象外",$I72="",$J72=""),"",$J72-$I72)</f>
        <v/>
      </c>
      <c r="L72" s="14" t="n">
        <v>4</v>
      </c>
      <c r="M72" s="14" t="n">
        <v>3</v>
      </c>
      <c r="N72" s="14" t="n">
        <v>4</v>
      </c>
      <c r="O72" s="14" t="n">
        <v>4</v>
      </c>
      <c r="P72" s="14" t="n">
        <v>4</v>
      </c>
      <c r="Q72" s="14" t="n">
        <v>3</v>
      </c>
      <c r="R72" s="15" t="str">
        <f aca="false">IF(OR($H72="対象外",$K72="",$L72="",$M72="",$N72="",$O72="",$P72="",$Q72=""),"",($K72*$L72*$M72*$N72*$O72*$P72)/$Q72)</f>
        <v/>
      </c>
      <c r="S72" s="12" t="str">
        <f aca="false">IF($H72="対象外","",IF(OR($I72="",$J72=""),"",IF(OR($J72-$I72&gt;0,AND($R72&lt;&gt;"",$R72&gt;=00_はじめに!$B$19)),"○","")))</f>
        <v/>
      </c>
      <c r="T72" s="10" t="str">
        <f aca="false">IFERROR(VLOOKUP($A72,03_質問施策マッピング!$A:$B,2,0),"")</f>
        <v>AIMF-PR-INF-001</v>
      </c>
      <c r="U72" s="10" t="str">
        <f aca="false">IF($T72="","",IFERROR(VLOOKUP($T72,02_施策マスター!$A:$B,2,0),""))</f>
        <v>AIネットワーク環境の閉域化</v>
      </c>
      <c r="V72" s="10" t="str">
        <f aca="false">IF($R72="","",$R72+(1000-ROW())/1000000)</f>
        <v/>
      </c>
      <c r="W72" s="10" t="str">
        <f aca="false">IF($V72="","",COUNTIF($V$2:$V$208,"&gt;"&amp;$V72)+1)</f>
        <v/>
      </c>
      <c r="X72" s="10" t="s">
        <v>100</v>
      </c>
    </row>
    <row r="73" customFormat="false" ht="32.8" hidden="false" customHeight="false" outlineLevel="0" collapsed="false">
      <c r="A73" s="10" t="s">
        <v>332</v>
      </c>
      <c r="B73" s="10" t="s">
        <v>312</v>
      </c>
      <c r="C73" s="10" t="s">
        <v>329</v>
      </c>
      <c r="D73" s="11" t="s">
        <v>333</v>
      </c>
      <c r="E73" s="10" t="s">
        <v>334</v>
      </c>
      <c r="F73" s="10" t="s">
        <v>98</v>
      </c>
      <c r="G73" s="10" t="s">
        <v>99</v>
      </c>
      <c r="H73" s="12" t="str">
        <f aca="false">IF(OR($G73="all",AND(00_はじめに!$B$24="Y",ISNUMBER(SEARCH("traditional",$G73))),AND(00_はじめに!$B$25="Y",ISNUMBER(SEARCH("generative",$G73))),AND(00_はじめに!$B$26="Y",ISNUMBER(SEARCH("ai-agent",$G73))),AND(00_はじめに!$B$27="Y",ISNUMBER(SEARCH("multi-agent",$G73)))),"○","対象外")</f>
        <v>○</v>
      </c>
      <c r="I73" s="13"/>
      <c r="J73" s="14" t="n">
        <v>4</v>
      </c>
      <c r="K73" s="12" t="str">
        <f aca="false">IF(OR($H73="対象外",$I73="",$J73=""),"",$J73-$I73)</f>
        <v/>
      </c>
      <c r="L73" s="14" t="n">
        <v>4</v>
      </c>
      <c r="M73" s="14" t="n">
        <v>3</v>
      </c>
      <c r="N73" s="14" t="n">
        <v>4</v>
      </c>
      <c r="O73" s="14" t="n">
        <v>4</v>
      </c>
      <c r="P73" s="14" t="n">
        <v>4</v>
      </c>
      <c r="Q73" s="14" t="n">
        <v>3</v>
      </c>
      <c r="R73" s="15" t="str">
        <f aca="false">IF(OR($H73="対象外",$K73="",$L73="",$M73="",$N73="",$O73="",$P73="",$Q73=""),"",($K73*$L73*$M73*$N73*$O73*$P73)/$Q73)</f>
        <v/>
      </c>
      <c r="S73" s="12" t="str">
        <f aca="false">IF($H73="対象外","",IF(OR($I73="",$J73=""),"",IF(OR($J73-$I73&gt;0,AND($R73&lt;&gt;"",$R73&gt;=00_はじめに!$B$19)),"○","")))</f>
        <v/>
      </c>
      <c r="T73" s="10" t="str">
        <f aca="false">IFERROR(VLOOKUP($A73,03_質問施策マッピング!$A:$B,2,0),"")</f>
        <v>AIMF-PR-INF-002</v>
      </c>
      <c r="U73" s="10" t="str">
        <f aca="false">IF($T73="","",IFERROR(VLOOKUP($T73,02_施策マスター!$A:$B,2,0),""))</f>
        <v>コンテナ・オーケストレーション基盤の堅牢化</v>
      </c>
      <c r="V73" s="10" t="str">
        <f aca="false">IF($R73="","",$R73+(1000-ROW())/1000000)</f>
        <v/>
      </c>
      <c r="W73" s="10" t="str">
        <f aca="false">IF($V73="","",COUNTIF($V$2:$V$208,"&gt;"&amp;$V73)+1)</f>
        <v/>
      </c>
      <c r="X73" s="10" t="s">
        <v>100</v>
      </c>
    </row>
    <row r="74" customFormat="false" ht="32.8" hidden="false" customHeight="false" outlineLevel="0" collapsed="false">
      <c r="A74" s="10" t="s">
        <v>335</v>
      </c>
      <c r="B74" s="10" t="s">
        <v>312</v>
      </c>
      <c r="C74" s="10" t="s">
        <v>329</v>
      </c>
      <c r="D74" s="11" t="s">
        <v>336</v>
      </c>
      <c r="E74" s="11" t="s">
        <v>337</v>
      </c>
      <c r="F74" s="10" t="s">
        <v>98</v>
      </c>
      <c r="G74" s="10" t="s">
        <v>99</v>
      </c>
      <c r="H74" s="12" t="str">
        <f aca="false">IF(OR($G74="all",AND(00_はじめに!$B$24="Y",ISNUMBER(SEARCH("traditional",$G74))),AND(00_はじめに!$B$25="Y",ISNUMBER(SEARCH("generative",$G74))),AND(00_はじめに!$B$26="Y",ISNUMBER(SEARCH("ai-agent",$G74))),AND(00_はじめに!$B$27="Y",ISNUMBER(SEARCH("multi-agent",$G74)))),"○","対象外")</f>
        <v>○</v>
      </c>
      <c r="I74" s="13"/>
      <c r="J74" s="14" t="n">
        <v>4</v>
      </c>
      <c r="K74" s="12" t="str">
        <f aca="false">IF(OR($H74="対象外",$I74="",$J74=""),"",$J74-$I74)</f>
        <v/>
      </c>
      <c r="L74" s="14" t="n">
        <v>4</v>
      </c>
      <c r="M74" s="14" t="n">
        <v>3</v>
      </c>
      <c r="N74" s="14" t="n">
        <v>5</v>
      </c>
      <c r="O74" s="14" t="n">
        <v>4</v>
      </c>
      <c r="P74" s="14" t="n">
        <v>4</v>
      </c>
      <c r="Q74" s="14" t="n">
        <v>3</v>
      </c>
      <c r="R74" s="15" t="str">
        <f aca="false">IF(OR($H74="対象外",$K74="",$L74="",$M74="",$N74="",$O74="",$P74="",$Q74=""),"",($K74*$L74*$M74*$N74*$O74*$P74)/$Q74)</f>
        <v/>
      </c>
      <c r="S74" s="12" t="str">
        <f aca="false">IF($H74="対象外","",IF(OR($I74="",$J74=""),"",IF(OR($J74-$I74&gt;0,AND($R74&lt;&gt;"",$R74&gt;=00_はじめに!$B$19)),"○","")))</f>
        <v/>
      </c>
      <c r="T74" s="10" t="str">
        <f aca="false">IFERROR(VLOOKUP($A74,03_質問施策マッピング!$A:$B,2,0),"")</f>
        <v>AIMF-PR-INF-003</v>
      </c>
      <c r="U74" s="10" t="str">
        <f aca="false">IF($T74="","",IFERROR(VLOOKUP($T74,02_施策マスター!$A:$B,2,0),""))</f>
        <v>ストレージ・データの暗号化（データ・アット・レスト）</v>
      </c>
      <c r="V74" s="10" t="str">
        <f aca="false">IF($R74="","",$R74+(1000-ROW())/1000000)</f>
        <v/>
      </c>
      <c r="W74" s="10" t="str">
        <f aca="false">IF($V74="","",COUNTIF($V$2:$V$208,"&gt;"&amp;$V74)+1)</f>
        <v/>
      </c>
      <c r="X74" s="10" t="s">
        <v>100</v>
      </c>
    </row>
    <row r="75" customFormat="false" ht="39.55" hidden="false" customHeight="false" outlineLevel="0" collapsed="false">
      <c r="A75" s="10" t="s">
        <v>338</v>
      </c>
      <c r="B75" s="10" t="s">
        <v>312</v>
      </c>
      <c r="C75" s="10" t="s">
        <v>329</v>
      </c>
      <c r="D75" s="10" t="s">
        <v>339</v>
      </c>
      <c r="E75" s="10" t="s">
        <v>340</v>
      </c>
      <c r="F75" s="10" t="s">
        <v>133</v>
      </c>
      <c r="G75" s="10" t="s">
        <v>99</v>
      </c>
      <c r="H75" s="12" t="str">
        <f aca="false">IF(OR($G75="all",AND(00_はじめに!$B$24="Y",ISNUMBER(SEARCH("traditional",$G75))),AND(00_はじめに!$B$25="Y",ISNUMBER(SEARCH("generative",$G75))),AND(00_はじめに!$B$26="Y",ISNUMBER(SEARCH("ai-agent",$G75))),AND(00_はじめに!$B$27="Y",ISNUMBER(SEARCH("multi-agent",$G75)))),"○","対象外")</f>
        <v>○</v>
      </c>
      <c r="I75" s="13"/>
      <c r="J75" s="14" t="n">
        <v>3</v>
      </c>
      <c r="K75" s="12" t="str">
        <f aca="false">IF(OR($H75="対象外",$I75="",$J75=""),"",$J75-$I75)</f>
        <v/>
      </c>
      <c r="L75" s="14" t="n">
        <v>4</v>
      </c>
      <c r="M75" s="14" t="n">
        <v>3</v>
      </c>
      <c r="N75" s="14" t="n">
        <v>4</v>
      </c>
      <c r="O75" s="14" t="n">
        <v>2</v>
      </c>
      <c r="P75" s="14" t="n">
        <v>4</v>
      </c>
      <c r="Q75" s="14" t="n">
        <v>4</v>
      </c>
      <c r="R75" s="15" t="str">
        <f aca="false">IF(OR($H75="対象外",$K75="",$L75="",$M75="",$N75="",$O75="",$P75="",$Q75=""),"",($K75*$L75*$M75*$N75*$O75*$P75)/$Q75)</f>
        <v/>
      </c>
      <c r="S75" s="12" t="str">
        <f aca="false">IF($H75="対象外","",IF(OR($I75="",$J75=""),"",IF(OR($J75-$I75&gt;0,AND($R75&lt;&gt;"",$R75&gt;=00_はじめに!$B$19)),"○","")))</f>
        <v/>
      </c>
      <c r="T75" s="10" t="str">
        <f aca="false">IFERROR(VLOOKUP($A75,03_質問施策マッピング!$A:$B,2,0),"")</f>
        <v>AIMF-PR-INF-004</v>
      </c>
      <c r="U75" s="10" t="str">
        <f aca="false">IF($T75="","",IFERROR(VLOOKUP($T75,02_施策マスター!$A:$B,2,0),""))</f>
        <v>GPU・アクセラレータのマルチテナント分離</v>
      </c>
      <c r="V75" s="10" t="str">
        <f aca="false">IF($R75="","",$R75+(1000-ROW())/1000000)</f>
        <v/>
      </c>
      <c r="W75" s="10" t="str">
        <f aca="false">IF($V75="","",COUNTIF($V$2:$V$208,"&gt;"&amp;$V75)+1)</f>
        <v/>
      </c>
      <c r="X75" s="10" t="s">
        <v>116</v>
      </c>
    </row>
    <row r="76" customFormat="false" ht="32.8" hidden="false" customHeight="false" outlineLevel="0" collapsed="false">
      <c r="A76" s="10" t="s">
        <v>341</v>
      </c>
      <c r="B76" s="10" t="s">
        <v>312</v>
      </c>
      <c r="C76" s="10" t="s">
        <v>329</v>
      </c>
      <c r="D76" s="11" t="s">
        <v>342</v>
      </c>
      <c r="E76" s="11" t="s">
        <v>343</v>
      </c>
      <c r="F76" s="10" t="s">
        <v>98</v>
      </c>
      <c r="G76" s="10" t="s">
        <v>99</v>
      </c>
      <c r="H76" s="12" t="str">
        <f aca="false">IF(OR($G76="all",AND(00_はじめに!$B$24="Y",ISNUMBER(SEARCH("traditional",$G76))),AND(00_はじめに!$B$25="Y",ISNUMBER(SEARCH("generative",$G76))),AND(00_はじめに!$B$26="Y",ISNUMBER(SEARCH("ai-agent",$G76))),AND(00_はじめに!$B$27="Y",ISNUMBER(SEARCH("multi-agent",$G76)))),"○","対象外")</f>
        <v>○</v>
      </c>
      <c r="I76" s="13"/>
      <c r="J76" s="14" t="n">
        <v>3</v>
      </c>
      <c r="K76" s="12" t="str">
        <f aca="false">IF(OR($H76="対象外",$I76="",$J76=""),"",$J76-$I76)</f>
        <v/>
      </c>
      <c r="L76" s="14" t="n">
        <v>4</v>
      </c>
      <c r="M76" s="14" t="n">
        <v>3</v>
      </c>
      <c r="N76" s="14" t="n">
        <v>4</v>
      </c>
      <c r="O76" s="14" t="n">
        <v>4</v>
      </c>
      <c r="P76" s="14" t="n">
        <v>4</v>
      </c>
      <c r="Q76" s="14" t="n">
        <v>3</v>
      </c>
      <c r="R76" s="15" t="str">
        <f aca="false">IF(OR($H76="対象外",$K76="",$L76="",$M76="",$N76="",$O76="",$P76="",$Q76=""),"",($K76*$L76*$M76*$N76*$O76*$P76)/$Q76)</f>
        <v/>
      </c>
      <c r="S76" s="12" t="str">
        <f aca="false">IF($H76="対象外","",IF(OR($I76="",$J76=""),"",IF(OR($J76-$I76&gt;0,AND($R76&lt;&gt;"",$R76&gt;=00_はじめに!$B$19)),"○","")))</f>
        <v/>
      </c>
      <c r="T76" s="10" t="str">
        <f aca="false">IFERROR(VLOOKUP($A76,03_質問施策マッピング!$A:$B,2,0),"")</f>
        <v>AIMF-PR-INF-005</v>
      </c>
      <c r="U76" s="10" t="str">
        <f aca="false">IF($T76="","",IFERROR(VLOOKUP($T76,02_施策マスター!$A:$B,2,0),""))</f>
        <v>推論エンドポイント・モデルAPIの保護</v>
      </c>
      <c r="V76" s="10" t="str">
        <f aca="false">IF($R76="","",$R76+(1000-ROW())/1000000)</f>
        <v/>
      </c>
      <c r="W76" s="10" t="str">
        <f aca="false">IF($V76="","",COUNTIF($V$2:$V$208,"&gt;"&amp;$V76)+1)</f>
        <v/>
      </c>
      <c r="X76" s="10" t="s">
        <v>116</v>
      </c>
    </row>
    <row r="77" customFormat="false" ht="39.55" hidden="false" customHeight="false" outlineLevel="0" collapsed="false">
      <c r="A77" s="10" t="s">
        <v>344</v>
      </c>
      <c r="B77" s="10" t="s">
        <v>312</v>
      </c>
      <c r="C77" s="10" t="s">
        <v>329</v>
      </c>
      <c r="D77" s="11" t="s">
        <v>345</v>
      </c>
      <c r="E77" s="11" t="s">
        <v>346</v>
      </c>
      <c r="F77" s="10" t="s">
        <v>98</v>
      </c>
      <c r="G77" s="10" t="s">
        <v>99</v>
      </c>
      <c r="H77" s="12" t="str">
        <f aca="false">IF(OR($G77="all",AND(00_はじめに!$B$24="Y",ISNUMBER(SEARCH("traditional",$G77))),AND(00_はじめに!$B$25="Y",ISNUMBER(SEARCH("generative",$G77))),AND(00_はじめに!$B$26="Y",ISNUMBER(SEARCH("ai-agent",$G77))),AND(00_はじめに!$B$27="Y",ISNUMBER(SEARCH("multi-agent",$G77)))),"○","対象外")</f>
        <v>○</v>
      </c>
      <c r="I77" s="13"/>
      <c r="J77" s="14" t="n">
        <v>3</v>
      </c>
      <c r="K77" s="12" t="str">
        <f aca="false">IF(OR($H77="対象外",$I77="",$J77=""),"",$J77-$I77)</f>
        <v/>
      </c>
      <c r="L77" s="14" t="n">
        <v>4</v>
      </c>
      <c r="M77" s="14" t="n">
        <v>3</v>
      </c>
      <c r="N77" s="14" t="n">
        <v>4</v>
      </c>
      <c r="O77" s="14" t="n">
        <v>4</v>
      </c>
      <c r="P77" s="14" t="n">
        <v>4</v>
      </c>
      <c r="Q77" s="14" t="n">
        <v>3</v>
      </c>
      <c r="R77" s="15" t="str">
        <f aca="false">IF(OR($H77="対象外",$K77="",$L77="",$M77="",$N77="",$O77="",$P77="",$Q77=""),"",($K77*$L77*$M77*$N77*$O77*$P77)/$Q77)</f>
        <v/>
      </c>
      <c r="S77" s="12" t="str">
        <f aca="false">IF($H77="対象外","",IF(OR($I77="",$J77=""),"",IF(OR($J77-$I77&gt;0,AND($R77&lt;&gt;"",$R77&gt;=00_はじめに!$B$19)),"○","")))</f>
        <v/>
      </c>
      <c r="T77" s="10" t="str">
        <f aca="false">IFERROR(VLOOKUP($A77,03_質問施策マッピング!$A:$B,2,0),"")</f>
        <v>AIMF-PR-INF-006</v>
      </c>
      <c r="U77" s="10" t="str">
        <f aca="false">IF($T77="","",IFERROR(VLOOKUP($T77,02_施策マスター!$A:$B,2,0),""))</f>
        <v>開発・学習環境と本番環境の分離</v>
      </c>
      <c r="V77" s="10" t="str">
        <f aca="false">IF($R77="","",$R77+(1000-ROW())/1000000)</f>
        <v/>
      </c>
      <c r="W77" s="10" t="str">
        <f aca="false">IF($V77="","",COUNTIF($V$2:$V$208,"&gt;"&amp;$V77)+1)</f>
        <v/>
      </c>
      <c r="X77" s="10" t="s">
        <v>116</v>
      </c>
    </row>
    <row r="78" customFormat="false" ht="32.8" hidden="false" customHeight="false" outlineLevel="0" collapsed="false">
      <c r="A78" s="10" t="s">
        <v>347</v>
      </c>
      <c r="B78" s="10" t="s">
        <v>312</v>
      </c>
      <c r="C78" s="10" t="s">
        <v>329</v>
      </c>
      <c r="D78" s="10" t="s">
        <v>348</v>
      </c>
      <c r="E78" s="11" t="s">
        <v>349</v>
      </c>
      <c r="F78" s="10" t="s">
        <v>98</v>
      </c>
      <c r="G78" s="10" t="s">
        <v>99</v>
      </c>
      <c r="H78" s="12" t="str">
        <f aca="false">IF(OR($G78="all",AND(00_はじめに!$B$24="Y",ISNUMBER(SEARCH("traditional",$G78))),AND(00_はじめに!$B$25="Y",ISNUMBER(SEARCH("generative",$G78))),AND(00_はじめに!$B$26="Y",ISNUMBER(SEARCH("ai-agent",$G78))),AND(00_はじめに!$B$27="Y",ISNUMBER(SEARCH("multi-agent",$G78)))),"○","対象外")</f>
        <v>○</v>
      </c>
      <c r="I78" s="13"/>
      <c r="J78" s="14" t="n">
        <v>3</v>
      </c>
      <c r="K78" s="12" t="str">
        <f aca="false">IF(OR($H78="対象外",$I78="",$J78=""),"",$J78-$I78)</f>
        <v/>
      </c>
      <c r="L78" s="14" t="n">
        <v>4</v>
      </c>
      <c r="M78" s="14" t="n">
        <v>3</v>
      </c>
      <c r="N78" s="14" t="n">
        <v>4</v>
      </c>
      <c r="O78" s="14" t="n">
        <v>4</v>
      </c>
      <c r="P78" s="14" t="n">
        <v>4</v>
      </c>
      <c r="Q78" s="14" t="n">
        <v>3</v>
      </c>
      <c r="R78" s="15" t="str">
        <f aca="false">IF(OR($H78="対象外",$K78="",$L78="",$M78="",$N78="",$O78="",$P78="",$Q78=""),"",($K78*$L78*$M78*$N78*$O78*$P78)/$Q78)</f>
        <v/>
      </c>
      <c r="S78" s="12" t="str">
        <f aca="false">IF($H78="対象外","",IF(OR($I78="",$J78=""),"",IF(OR($J78-$I78&gt;0,AND($R78&lt;&gt;"",$R78&gt;=00_はじめに!$B$19)),"○","")))</f>
        <v/>
      </c>
      <c r="T78" s="10" t="str">
        <f aca="false">IFERROR(VLOOKUP($A78,03_質問施策マッピング!$A:$B,2,0),"")</f>
        <v>AIMF-PR-INF-007</v>
      </c>
      <c r="U78" s="10" t="str">
        <f aca="false">IF($T78="","",IFERROR(VLOOKUP($T78,02_施策マスター!$A:$B,2,0),""))</f>
        <v>AIリソース設定のセキュリティベースライン</v>
      </c>
      <c r="V78" s="10" t="str">
        <f aca="false">IF($R78="","",$R78+(1000-ROW())/1000000)</f>
        <v/>
      </c>
      <c r="W78" s="10" t="str">
        <f aca="false">IF($V78="","",COUNTIF($V$2:$V$208,"&gt;"&amp;$V78)+1)</f>
        <v/>
      </c>
      <c r="X78" s="10" t="s">
        <v>116</v>
      </c>
    </row>
    <row r="79" customFormat="false" ht="39.55" hidden="false" customHeight="false" outlineLevel="0" collapsed="false">
      <c r="A79" s="10" t="s">
        <v>350</v>
      </c>
      <c r="B79" s="10" t="s">
        <v>312</v>
      </c>
      <c r="C79" s="10" t="s">
        <v>351</v>
      </c>
      <c r="D79" s="10" t="s">
        <v>352</v>
      </c>
      <c r="E79" s="11" t="s">
        <v>353</v>
      </c>
      <c r="F79" s="10" t="s">
        <v>133</v>
      </c>
      <c r="G79" s="10" t="s">
        <v>134</v>
      </c>
      <c r="H79" s="12" t="str">
        <f aca="false">IF(OR($G79="all",AND(00_はじめに!$B$24="Y",ISNUMBER(SEARCH("traditional",$G79))),AND(00_はじめに!$B$25="Y",ISNUMBER(SEARCH("generative",$G79))),AND(00_はじめに!$B$26="Y",ISNUMBER(SEARCH("ai-agent",$G79))),AND(00_はじめに!$B$27="Y",ISNUMBER(SEARCH("multi-agent",$G79)))),"○","対象外")</f>
        <v>○</v>
      </c>
      <c r="I79" s="13"/>
      <c r="J79" s="14" t="n">
        <v>4</v>
      </c>
      <c r="K79" s="12" t="str">
        <f aca="false">IF(OR($H79="対象外",$I79="",$J79=""),"",$J79-$I79)</f>
        <v/>
      </c>
      <c r="L79" s="14" t="n">
        <v>5</v>
      </c>
      <c r="M79" s="14" t="n">
        <v>3</v>
      </c>
      <c r="N79" s="14" t="n">
        <v>5</v>
      </c>
      <c r="O79" s="14" t="n">
        <v>2</v>
      </c>
      <c r="P79" s="14" t="n">
        <v>4</v>
      </c>
      <c r="Q79" s="14" t="n">
        <v>4</v>
      </c>
      <c r="R79" s="15" t="str">
        <f aca="false">IF(OR($H79="対象外",$K79="",$L79="",$M79="",$N79="",$O79="",$P79="",$Q79=""),"",($K79*$L79*$M79*$N79*$O79*$P79)/$Q79)</f>
        <v/>
      </c>
      <c r="S79" s="12" t="str">
        <f aca="false">IF($H79="対象外","",IF(OR($I79="",$J79=""),"",IF(OR($J79-$I79&gt;0,AND($R79&lt;&gt;"",$R79&gt;=00_はじめに!$B$19)),"○","")))</f>
        <v/>
      </c>
      <c r="T79" s="10" t="str">
        <f aca="false">IFERROR(VLOOKUP($A79,03_質問施策マッピング!$A:$B,2,0),"")</f>
        <v>AIMF-PR-IAM-001</v>
      </c>
      <c r="U79" s="10" t="str">
        <f aca="false">IF($T79="","",IFERROR(VLOOKUP($T79,02_施策マスター!$A:$B,2,0),""))</f>
        <v>RAGデータアクセス権（ACL）の同期</v>
      </c>
      <c r="V79" s="10" t="str">
        <f aca="false">IF($R79="","",$R79+(1000-ROW())/1000000)</f>
        <v/>
      </c>
      <c r="W79" s="10" t="str">
        <f aca="false">IF($V79="","",COUNTIF($V$2:$V$208,"&gt;"&amp;$V79)+1)</f>
        <v/>
      </c>
      <c r="X79" s="10" t="s">
        <v>100</v>
      </c>
    </row>
    <row r="80" customFormat="false" ht="26.85" hidden="false" customHeight="false" outlineLevel="0" collapsed="false">
      <c r="A80" s="10" t="s">
        <v>354</v>
      </c>
      <c r="B80" s="10" t="s">
        <v>312</v>
      </c>
      <c r="C80" s="10" t="s">
        <v>351</v>
      </c>
      <c r="D80" s="10" t="s">
        <v>355</v>
      </c>
      <c r="E80" s="11" t="s">
        <v>356</v>
      </c>
      <c r="F80" s="10" t="s">
        <v>133</v>
      </c>
      <c r="G80" s="10" t="s">
        <v>166</v>
      </c>
      <c r="H80" s="12" t="str">
        <f aca="false">IF(OR($G80="all",AND(00_はじめに!$B$24="Y",ISNUMBER(SEARCH("traditional",$G80))),AND(00_はじめに!$B$25="Y",ISNUMBER(SEARCH("generative",$G80))),AND(00_はじめに!$B$26="Y",ISNUMBER(SEARCH("ai-agent",$G80))),AND(00_はじめに!$B$27="Y",ISNUMBER(SEARCH("multi-agent",$G80)))),"○","対象外")</f>
        <v>○</v>
      </c>
      <c r="I80" s="13"/>
      <c r="J80" s="14" t="n">
        <v>4</v>
      </c>
      <c r="K80" s="12" t="str">
        <f aca="false">IF(OR($H80="対象外",$I80="",$J80=""),"",$J80-$I80)</f>
        <v/>
      </c>
      <c r="L80" s="14" t="n">
        <v>5</v>
      </c>
      <c r="M80" s="14" t="n">
        <v>3</v>
      </c>
      <c r="N80" s="14" t="n">
        <v>5</v>
      </c>
      <c r="O80" s="14" t="n">
        <v>2</v>
      </c>
      <c r="P80" s="14" t="n">
        <v>4</v>
      </c>
      <c r="Q80" s="14" t="n">
        <v>4</v>
      </c>
      <c r="R80" s="15" t="str">
        <f aca="false">IF(OR($H80="対象外",$K80="",$L80="",$M80="",$N80="",$O80="",$P80="",$Q80=""),"",($K80*$L80*$M80*$N80*$O80*$P80)/$Q80)</f>
        <v/>
      </c>
      <c r="S80" s="12" t="str">
        <f aca="false">IF($H80="対象外","",IF(OR($I80="",$J80=""),"",IF(OR($J80-$I80&gt;0,AND($R80&lt;&gt;"",$R80&gt;=00_はじめに!$B$19)),"○","")))</f>
        <v/>
      </c>
      <c r="T80" s="10" t="str">
        <f aca="false">IFERROR(VLOOKUP($A80,03_質問施策マッピング!$A:$B,2,0),"")</f>
        <v>AIMF-PR-IAM-002</v>
      </c>
      <c r="U80" s="10" t="str">
        <f aca="false">IF($T80="","",IFERROR(VLOOKUP($T80,02_施策マスター!$A:$B,2,0),""))</f>
        <v>AIエージェントへの最小権限原則の適用</v>
      </c>
      <c r="V80" s="10" t="str">
        <f aca="false">IF($R80="","",$R80+(1000-ROW())/1000000)</f>
        <v/>
      </c>
      <c r="W80" s="10" t="str">
        <f aca="false">IF($V80="","",COUNTIF($V$2:$V$208,"&gt;"&amp;$V80)+1)</f>
        <v/>
      </c>
      <c r="X80" s="10" t="s">
        <v>100</v>
      </c>
    </row>
    <row r="81" customFormat="false" ht="32.8" hidden="false" customHeight="false" outlineLevel="0" collapsed="false">
      <c r="A81" s="10" t="s">
        <v>357</v>
      </c>
      <c r="B81" s="10" t="s">
        <v>312</v>
      </c>
      <c r="C81" s="10" t="s">
        <v>351</v>
      </c>
      <c r="D81" s="10" t="s">
        <v>358</v>
      </c>
      <c r="E81" s="11" t="s">
        <v>359</v>
      </c>
      <c r="F81" s="10" t="s">
        <v>98</v>
      </c>
      <c r="G81" s="10" t="s">
        <v>99</v>
      </c>
      <c r="H81" s="12" t="str">
        <f aca="false">IF(OR($G81="all",AND(00_はじめに!$B$24="Y",ISNUMBER(SEARCH("traditional",$G81))),AND(00_はじめに!$B$25="Y",ISNUMBER(SEARCH("generative",$G81))),AND(00_はじめに!$B$26="Y",ISNUMBER(SEARCH("ai-agent",$G81))),AND(00_はじめに!$B$27="Y",ISNUMBER(SEARCH("multi-agent",$G81)))),"○","対象外")</f>
        <v>○</v>
      </c>
      <c r="I81" s="13"/>
      <c r="J81" s="14" t="n">
        <v>4</v>
      </c>
      <c r="K81" s="12" t="str">
        <f aca="false">IF(OR($H81="対象外",$I81="",$J81=""),"",$J81-$I81)</f>
        <v/>
      </c>
      <c r="L81" s="14" t="n">
        <v>5</v>
      </c>
      <c r="M81" s="14" t="n">
        <v>3</v>
      </c>
      <c r="N81" s="14" t="n">
        <v>4</v>
      </c>
      <c r="O81" s="14" t="n">
        <v>4</v>
      </c>
      <c r="P81" s="14" t="n">
        <v>4</v>
      </c>
      <c r="Q81" s="14" t="n">
        <v>3</v>
      </c>
      <c r="R81" s="15" t="str">
        <f aca="false">IF(OR($H81="対象外",$K81="",$L81="",$M81="",$N81="",$O81="",$P81="",$Q81=""),"",($K81*$L81*$M81*$N81*$O81*$P81)/$Q81)</f>
        <v/>
      </c>
      <c r="S81" s="12" t="str">
        <f aca="false">IF($H81="対象外","",IF(OR($I81="",$J81=""),"",IF(OR($J81-$I81&gt;0,AND($R81&lt;&gt;"",$R81&gt;=00_はじめに!$B$19)),"○","")))</f>
        <v/>
      </c>
      <c r="T81" s="10" t="str">
        <f aca="false">IFERROR(VLOOKUP($A81,03_質問施策マッピング!$A:$B,2,0),"")</f>
        <v>AIMF-PR-IAM-003</v>
      </c>
      <c r="U81" s="10" t="str">
        <f aca="false">IF($T81="","",IFERROR(VLOOKUP($T81,02_施策マスター!$A:$B,2,0),""))</f>
        <v>AIクレデンシャル・APIキーの暗号化管理</v>
      </c>
      <c r="V81" s="10" t="str">
        <f aca="false">IF($R81="","",$R81+(1000-ROW())/1000000)</f>
        <v/>
      </c>
      <c r="W81" s="10" t="str">
        <f aca="false">IF($V81="","",COUNTIF($V$2:$V$208,"&gt;"&amp;$V81)+1)</f>
        <v/>
      </c>
      <c r="X81" s="10" t="s">
        <v>100</v>
      </c>
    </row>
    <row r="82" customFormat="false" ht="39.55" hidden="false" customHeight="false" outlineLevel="0" collapsed="false">
      <c r="A82" s="10" t="s">
        <v>360</v>
      </c>
      <c r="B82" s="10" t="s">
        <v>312</v>
      </c>
      <c r="C82" s="10" t="s">
        <v>351</v>
      </c>
      <c r="D82" s="11" t="s">
        <v>361</v>
      </c>
      <c r="E82" s="10" t="s">
        <v>362</v>
      </c>
      <c r="F82" s="10" t="s">
        <v>98</v>
      </c>
      <c r="G82" s="10" t="s">
        <v>99</v>
      </c>
      <c r="H82" s="12" t="str">
        <f aca="false">IF(OR($G82="all",AND(00_はじめに!$B$24="Y",ISNUMBER(SEARCH("traditional",$G82))),AND(00_はじめに!$B$25="Y",ISNUMBER(SEARCH("generative",$G82))),AND(00_はじめに!$B$26="Y",ISNUMBER(SEARCH("ai-agent",$G82))),AND(00_はじめに!$B$27="Y",ISNUMBER(SEARCH("multi-agent",$G82)))),"○","対象外")</f>
        <v>○</v>
      </c>
      <c r="I82" s="13"/>
      <c r="J82" s="14" t="n">
        <v>3</v>
      </c>
      <c r="K82" s="12" t="str">
        <f aca="false">IF(OR($H82="対象外",$I82="",$J82=""),"",$J82-$I82)</f>
        <v/>
      </c>
      <c r="L82" s="14" t="n">
        <v>5</v>
      </c>
      <c r="M82" s="14" t="n">
        <v>3</v>
      </c>
      <c r="N82" s="14" t="n">
        <v>4</v>
      </c>
      <c r="O82" s="14" t="n">
        <v>4</v>
      </c>
      <c r="P82" s="14" t="n">
        <v>4</v>
      </c>
      <c r="Q82" s="14" t="n">
        <v>3</v>
      </c>
      <c r="R82" s="15" t="str">
        <f aca="false">IF(OR($H82="対象外",$K82="",$L82="",$M82="",$N82="",$O82="",$P82="",$Q82=""),"",($K82*$L82*$M82*$N82*$O82*$P82)/$Q82)</f>
        <v/>
      </c>
      <c r="S82" s="12" t="str">
        <f aca="false">IF($H82="対象外","",IF(OR($I82="",$J82=""),"",IF(OR($J82-$I82&gt;0,AND($R82&lt;&gt;"",$R82&gt;=00_はじめに!$B$19)),"○","")))</f>
        <v/>
      </c>
      <c r="T82" s="10" t="str">
        <f aca="false">IFERROR(VLOOKUP($A82,03_質問施策マッピング!$A:$B,2,0),"")</f>
        <v>AIMF-PR-IAM-004</v>
      </c>
      <c r="U82" s="10" t="str">
        <f aca="false">IF($T82="","",IFERROR(VLOOKUP($T82,02_施策マスター!$A:$B,2,0),""))</f>
        <v>フィッシング耐性MFAの適用（AI管理者・特権）</v>
      </c>
      <c r="V82" s="10" t="str">
        <f aca="false">IF($R82="","",$R82+(1000-ROW())/1000000)</f>
        <v/>
      </c>
      <c r="W82" s="10" t="str">
        <f aca="false">IF($V82="","",COUNTIF($V$2:$V$208,"&gt;"&amp;$V82)+1)</f>
        <v/>
      </c>
      <c r="X82" s="10" t="s">
        <v>116</v>
      </c>
    </row>
    <row r="83" customFormat="false" ht="26.85" hidden="false" customHeight="false" outlineLevel="0" collapsed="false">
      <c r="A83" s="10" t="s">
        <v>363</v>
      </c>
      <c r="B83" s="10" t="s">
        <v>312</v>
      </c>
      <c r="C83" s="10" t="s">
        <v>351</v>
      </c>
      <c r="D83" s="11" t="s">
        <v>364</v>
      </c>
      <c r="E83" s="11" t="s">
        <v>365</v>
      </c>
      <c r="F83" s="10" t="s">
        <v>133</v>
      </c>
      <c r="G83" s="10" t="s">
        <v>166</v>
      </c>
      <c r="H83" s="12" t="str">
        <f aca="false">IF(OR($G83="all",AND(00_はじめに!$B$24="Y",ISNUMBER(SEARCH("traditional",$G83))),AND(00_はじめに!$B$25="Y",ISNUMBER(SEARCH("generative",$G83))),AND(00_はじめに!$B$26="Y",ISNUMBER(SEARCH("ai-agent",$G83))),AND(00_はじめに!$B$27="Y",ISNUMBER(SEARCH("multi-agent",$G83)))),"○","対象外")</f>
        <v>○</v>
      </c>
      <c r="I83" s="13"/>
      <c r="J83" s="14" t="n">
        <v>3</v>
      </c>
      <c r="K83" s="12" t="str">
        <f aca="false">IF(OR($H83="対象外",$I83="",$J83=""),"",$J83-$I83)</f>
        <v/>
      </c>
      <c r="L83" s="14" t="n">
        <v>5</v>
      </c>
      <c r="M83" s="14" t="n">
        <v>3</v>
      </c>
      <c r="N83" s="14" t="n">
        <v>4</v>
      </c>
      <c r="O83" s="14" t="n">
        <v>2</v>
      </c>
      <c r="P83" s="14" t="n">
        <v>4</v>
      </c>
      <c r="Q83" s="14" t="n">
        <v>4</v>
      </c>
      <c r="R83" s="15" t="str">
        <f aca="false">IF(OR($H83="対象外",$K83="",$L83="",$M83="",$N83="",$O83="",$P83="",$Q83=""),"",($K83*$L83*$M83*$N83*$O83*$P83)/$Q83)</f>
        <v/>
      </c>
      <c r="S83" s="12" t="str">
        <f aca="false">IF($H83="対象外","",IF(OR($I83="",$J83=""),"",IF(OR($J83-$I83&gt;0,AND($R83&lt;&gt;"",$R83&gt;=00_はじめに!$B$19)),"○","")))</f>
        <v/>
      </c>
      <c r="T83" s="10" t="str">
        <f aca="false">IFERROR(VLOOKUP($A83,03_質問施策マッピング!$A:$B,2,0),"")</f>
        <v>AIMF-PR-IAM-005</v>
      </c>
      <c r="U83" s="10" t="str">
        <f aca="false">IF($T83="","",IFERROR(VLOOKUP($T83,02_施策マスター!$A:$B,2,0),""))</f>
        <v>エージェント・サービスアカウントのライフサイクル管理</v>
      </c>
      <c r="V83" s="10" t="str">
        <f aca="false">IF($R83="","",$R83+(1000-ROW())/1000000)</f>
        <v/>
      </c>
      <c r="W83" s="10" t="str">
        <f aca="false">IF($V83="","",COUNTIF($V$2:$V$208,"&gt;"&amp;$V83)+1)</f>
        <v/>
      </c>
      <c r="X83" s="10" t="s">
        <v>116</v>
      </c>
    </row>
    <row r="84" customFormat="false" ht="26.85" hidden="false" customHeight="false" outlineLevel="0" collapsed="false">
      <c r="A84" s="10" t="s">
        <v>366</v>
      </c>
      <c r="B84" s="10" t="s">
        <v>312</v>
      </c>
      <c r="C84" s="10" t="s">
        <v>351</v>
      </c>
      <c r="D84" s="11" t="s">
        <v>367</v>
      </c>
      <c r="E84" s="11" t="s">
        <v>368</v>
      </c>
      <c r="F84" s="10" t="s">
        <v>133</v>
      </c>
      <c r="G84" s="10" t="s">
        <v>166</v>
      </c>
      <c r="H84" s="12" t="str">
        <f aca="false">IF(OR($G84="all",AND(00_はじめに!$B$24="Y",ISNUMBER(SEARCH("traditional",$G84))),AND(00_はじめに!$B$25="Y",ISNUMBER(SEARCH("generative",$G84))),AND(00_はじめに!$B$26="Y",ISNUMBER(SEARCH("ai-agent",$G84))),AND(00_はじめに!$B$27="Y",ISNUMBER(SEARCH("multi-agent",$G84)))),"○","対象外")</f>
        <v>○</v>
      </c>
      <c r="I84" s="13"/>
      <c r="J84" s="14" t="n">
        <v>3</v>
      </c>
      <c r="K84" s="12" t="str">
        <f aca="false">IF(OR($H84="対象外",$I84="",$J84=""),"",$J84-$I84)</f>
        <v/>
      </c>
      <c r="L84" s="14" t="n">
        <v>5</v>
      </c>
      <c r="M84" s="14" t="n">
        <v>3</v>
      </c>
      <c r="N84" s="14" t="n">
        <v>4</v>
      </c>
      <c r="O84" s="14" t="n">
        <v>2</v>
      </c>
      <c r="P84" s="14" t="n">
        <v>4</v>
      </c>
      <c r="Q84" s="14" t="n">
        <v>4</v>
      </c>
      <c r="R84" s="15" t="str">
        <f aca="false">IF(OR($H84="対象外",$K84="",$L84="",$M84="",$N84="",$O84="",$P84="",$Q84=""),"",($K84*$L84*$M84*$N84*$O84*$P84)/$Q84)</f>
        <v/>
      </c>
      <c r="S84" s="12" t="str">
        <f aca="false">IF($H84="対象外","",IF(OR($I84="",$J84=""),"",IF(OR($J84-$I84&gt;0,AND($R84&lt;&gt;"",$R84&gt;=00_はじめに!$B$19)),"○","")))</f>
        <v/>
      </c>
      <c r="T84" s="10" t="str">
        <f aca="false">IFERROR(VLOOKUP($A84,03_質問施策マッピング!$A:$B,2,0),"")</f>
        <v>AIMF-PR-IAM-006</v>
      </c>
      <c r="U84" s="10" t="str">
        <f aca="false">IF($T84="","",IFERROR(VLOOKUP($T84,02_施策マスター!$A:$B,2,0),""))</f>
        <v>短命トークン・タスクバウンド認可</v>
      </c>
      <c r="V84" s="10" t="str">
        <f aca="false">IF($R84="","",$R84+(1000-ROW())/1000000)</f>
        <v/>
      </c>
      <c r="W84" s="10" t="str">
        <f aca="false">IF($V84="","",COUNTIF($V$2:$V$208,"&gt;"&amp;$V84)+1)</f>
        <v/>
      </c>
      <c r="X84" s="10" t="s">
        <v>116</v>
      </c>
    </row>
    <row r="85" customFormat="false" ht="39.55" hidden="false" customHeight="false" outlineLevel="0" collapsed="false">
      <c r="A85" s="10" t="s">
        <v>369</v>
      </c>
      <c r="B85" s="10" t="s">
        <v>312</v>
      </c>
      <c r="C85" s="10" t="s">
        <v>351</v>
      </c>
      <c r="D85" s="11" t="s">
        <v>370</v>
      </c>
      <c r="E85" s="11" t="s">
        <v>371</v>
      </c>
      <c r="F85" s="10" t="s">
        <v>133</v>
      </c>
      <c r="G85" s="10" t="s">
        <v>166</v>
      </c>
      <c r="H85" s="12" t="str">
        <f aca="false">IF(OR($G85="all",AND(00_はじめに!$B$24="Y",ISNUMBER(SEARCH("traditional",$G85))),AND(00_はじめに!$B$25="Y",ISNUMBER(SEARCH("generative",$G85))),AND(00_はじめに!$B$26="Y",ISNUMBER(SEARCH("ai-agent",$G85))),AND(00_はじめに!$B$27="Y",ISNUMBER(SEARCH("multi-agent",$G85)))),"○","対象外")</f>
        <v>○</v>
      </c>
      <c r="I85" s="13"/>
      <c r="J85" s="14" t="n">
        <v>3</v>
      </c>
      <c r="K85" s="12" t="str">
        <f aca="false">IF(OR($H85="対象外",$I85="",$J85=""),"",$J85-$I85)</f>
        <v/>
      </c>
      <c r="L85" s="14" t="n">
        <v>5</v>
      </c>
      <c r="M85" s="14" t="n">
        <v>3</v>
      </c>
      <c r="N85" s="14" t="n">
        <v>4</v>
      </c>
      <c r="O85" s="14" t="n">
        <v>2</v>
      </c>
      <c r="P85" s="14" t="n">
        <v>4</v>
      </c>
      <c r="Q85" s="14" t="n">
        <v>4</v>
      </c>
      <c r="R85" s="15" t="str">
        <f aca="false">IF(OR($H85="対象外",$K85="",$L85="",$M85="",$N85="",$O85="",$P85="",$Q85=""),"",($K85*$L85*$M85*$N85*$O85*$P85)/$Q85)</f>
        <v/>
      </c>
      <c r="S85" s="12" t="str">
        <f aca="false">IF($H85="対象外","",IF(OR($I85="",$J85=""),"",IF(OR($J85-$I85&gt;0,AND($R85&lt;&gt;"",$R85&gt;=00_はじめに!$B$19)),"○","")))</f>
        <v/>
      </c>
      <c r="T85" s="10" t="str">
        <f aca="false">IFERROR(VLOOKUP($A85,03_質問施策マッピング!$A:$B,2,0),"")</f>
        <v>AIMF-PR-IAM-007</v>
      </c>
      <c r="U85" s="10" t="str">
        <f aca="false">IF($T85="","",IFERROR(VLOOKUP($T85,02_施策マスター!$A:$B,2,0),""))</f>
        <v>動的な権限昇格の禁止とJITアクセス</v>
      </c>
      <c r="V85" s="10" t="str">
        <f aca="false">IF($R85="","",$R85+(1000-ROW())/1000000)</f>
        <v/>
      </c>
      <c r="W85" s="10" t="str">
        <f aca="false">IF($V85="","",COUNTIF($V$2:$V$208,"&gt;"&amp;$V85)+1)</f>
        <v/>
      </c>
      <c r="X85" s="10" t="s">
        <v>116</v>
      </c>
    </row>
    <row r="86" customFormat="false" ht="32.8" hidden="false" customHeight="false" outlineLevel="0" collapsed="false">
      <c r="A86" s="10" t="s">
        <v>372</v>
      </c>
      <c r="B86" s="10" t="s">
        <v>312</v>
      </c>
      <c r="C86" s="10" t="s">
        <v>351</v>
      </c>
      <c r="D86" s="10" t="s">
        <v>373</v>
      </c>
      <c r="E86" s="11" t="s">
        <v>374</v>
      </c>
      <c r="F86" s="10" t="s">
        <v>98</v>
      </c>
      <c r="G86" s="10" t="s">
        <v>99</v>
      </c>
      <c r="H86" s="12" t="str">
        <f aca="false">IF(OR($G86="all",AND(00_はじめに!$B$24="Y",ISNUMBER(SEARCH("traditional",$G86))),AND(00_はじめに!$B$25="Y",ISNUMBER(SEARCH("generative",$G86))),AND(00_はじめに!$B$26="Y",ISNUMBER(SEARCH("ai-agent",$G86))),AND(00_はじめに!$B$27="Y",ISNUMBER(SEARCH("multi-agent",$G86)))),"○","対象外")</f>
        <v>○</v>
      </c>
      <c r="I86" s="13"/>
      <c r="J86" s="14" t="n">
        <v>3</v>
      </c>
      <c r="K86" s="12" t="str">
        <f aca="false">IF(OR($H86="対象外",$I86="",$J86=""),"",$J86-$I86)</f>
        <v/>
      </c>
      <c r="L86" s="14" t="n">
        <v>5</v>
      </c>
      <c r="M86" s="14" t="n">
        <v>3</v>
      </c>
      <c r="N86" s="14" t="n">
        <v>4</v>
      </c>
      <c r="O86" s="14" t="n">
        <v>4</v>
      </c>
      <c r="P86" s="14" t="n">
        <v>4</v>
      </c>
      <c r="Q86" s="14" t="n">
        <v>3</v>
      </c>
      <c r="R86" s="15" t="str">
        <f aca="false">IF(OR($H86="対象外",$K86="",$L86="",$M86="",$N86="",$O86="",$P86="",$Q86=""),"",($K86*$L86*$M86*$N86*$O86*$P86)/$Q86)</f>
        <v/>
      </c>
      <c r="S86" s="12" t="str">
        <f aca="false">IF($H86="対象外","",IF(OR($I86="",$J86=""),"",IF(OR($J86-$I86&gt;0,AND($R86&lt;&gt;"",$R86&gt;=00_はじめに!$B$19)),"○","")))</f>
        <v/>
      </c>
      <c r="T86" s="10" t="str">
        <f aca="false">IFERROR(VLOOKUP($A86,03_質問施策マッピング!$A:$B,2,0),"")</f>
        <v>AIMF-PR-IAM-008</v>
      </c>
      <c r="U86" s="10" t="str">
        <f aca="false">IF($T86="","",IFERROR(VLOOKUP($T86,02_施策マスター!$A:$B,2,0),""))</f>
        <v>AIプラットフォームのRBAC/ABAC設計</v>
      </c>
      <c r="V86" s="10" t="str">
        <f aca="false">IF($R86="","",$R86+(1000-ROW())/1000000)</f>
        <v/>
      </c>
      <c r="W86" s="10" t="str">
        <f aca="false">IF($V86="","",COUNTIF($V$2:$V$208,"&gt;"&amp;$V86)+1)</f>
        <v/>
      </c>
      <c r="X86" s="10" t="s">
        <v>116</v>
      </c>
    </row>
    <row r="87" customFormat="false" ht="39.55" hidden="false" customHeight="false" outlineLevel="0" collapsed="false">
      <c r="A87" s="10" t="s">
        <v>375</v>
      </c>
      <c r="B87" s="10" t="s">
        <v>312</v>
      </c>
      <c r="C87" s="10" t="s">
        <v>376</v>
      </c>
      <c r="D87" s="11" t="s">
        <v>377</v>
      </c>
      <c r="E87" s="11" t="s">
        <v>378</v>
      </c>
      <c r="F87" s="10" t="s">
        <v>133</v>
      </c>
      <c r="G87" s="10" t="s">
        <v>203</v>
      </c>
      <c r="H87" s="12" t="str">
        <f aca="false">IF(OR($G87="all",AND(00_はじめに!$B$24="Y",ISNUMBER(SEARCH("traditional",$G87))),AND(00_はじめに!$B$25="Y",ISNUMBER(SEARCH("generative",$G87))),AND(00_はじめに!$B$26="Y",ISNUMBER(SEARCH("ai-agent",$G87))),AND(00_はじめに!$B$27="Y",ISNUMBER(SEARCH("multi-agent",$G87)))),"○","対象外")</f>
        <v>○</v>
      </c>
      <c r="I87" s="13"/>
      <c r="J87" s="14" t="n">
        <v>3</v>
      </c>
      <c r="K87" s="12" t="str">
        <f aca="false">IF(OR($H87="対象外",$I87="",$J87=""),"",$J87-$I87)</f>
        <v/>
      </c>
      <c r="L87" s="14" t="n">
        <v>5</v>
      </c>
      <c r="M87" s="14" t="n">
        <v>3</v>
      </c>
      <c r="N87" s="14" t="n">
        <v>4</v>
      </c>
      <c r="O87" s="14" t="n">
        <v>2</v>
      </c>
      <c r="P87" s="14" t="n">
        <v>3</v>
      </c>
      <c r="Q87" s="14" t="n">
        <v>4</v>
      </c>
      <c r="R87" s="15" t="str">
        <f aca="false">IF(OR($H87="対象外",$K87="",$L87="",$M87="",$N87="",$O87="",$P87="",$Q87=""),"",($K87*$L87*$M87*$N87*$O87*$P87)/$Q87)</f>
        <v/>
      </c>
      <c r="S87" s="12" t="str">
        <f aca="false">IF($H87="対象外","",IF(OR($I87="",$J87=""),"",IF(OR($J87-$I87&gt;0,AND($R87&lt;&gt;"",$R87&gt;=00_はじめに!$B$19)),"○","")))</f>
        <v/>
      </c>
      <c r="T87" s="10" t="str">
        <f aca="false">IFERROR(VLOOKUP($A87,03_質問施策マッピング!$A:$B,2,0),"")</f>
        <v>AIMF-PR-DAT-001</v>
      </c>
      <c r="U87" s="10" t="str">
        <f aca="false">IF($T87="","",IFERROR(VLOOKUP($T87,02_施策マスター!$A:$B,2,0),""))</f>
        <v>プロンプト・出力へのDLP統制</v>
      </c>
      <c r="V87" s="10" t="str">
        <f aca="false">IF($R87="","",$R87+(1000-ROW())/1000000)</f>
        <v/>
      </c>
      <c r="W87" s="10" t="str">
        <f aca="false">IF($V87="","",COUNTIF($V$2:$V$208,"&gt;"&amp;$V87)+1)</f>
        <v/>
      </c>
      <c r="X87" s="10" t="s">
        <v>116</v>
      </c>
    </row>
    <row r="88" customFormat="false" ht="26.85" hidden="false" customHeight="false" outlineLevel="0" collapsed="false">
      <c r="A88" s="10" t="s">
        <v>379</v>
      </c>
      <c r="B88" s="10" t="s">
        <v>312</v>
      </c>
      <c r="C88" s="10" t="s">
        <v>376</v>
      </c>
      <c r="D88" s="11" t="s">
        <v>380</v>
      </c>
      <c r="E88" s="11" t="s">
        <v>381</v>
      </c>
      <c r="F88" s="10" t="s">
        <v>133</v>
      </c>
      <c r="G88" s="10" t="s">
        <v>285</v>
      </c>
      <c r="H88" s="12" t="str">
        <f aca="false">IF(OR($G88="all",AND(00_はじめに!$B$24="Y",ISNUMBER(SEARCH("traditional",$G88))),AND(00_はじめに!$B$25="Y",ISNUMBER(SEARCH("generative",$G88))),AND(00_はじめに!$B$26="Y",ISNUMBER(SEARCH("ai-agent",$G88))),AND(00_はじめに!$B$27="Y",ISNUMBER(SEARCH("multi-agent",$G88)))),"○","対象外")</f>
        <v>○</v>
      </c>
      <c r="I88" s="13"/>
      <c r="J88" s="14" t="n">
        <v>3</v>
      </c>
      <c r="K88" s="12" t="str">
        <f aca="false">IF(OR($H88="対象外",$I88="",$J88=""),"",$J88-$I88)</f>
        <v/>
      </c>
      <c r="L88" s="14" t="n">
        <v>5</v>
      </c>
      <c r="M88" s="14" t="n">
        <v>3</v>
      </c>
      <c r="N88" s="14" t="n">
        <v>5</v>
      </c>
      <c r="O88" s="14" t="n">
        <v>2</v>
      </c>
      <c r="P88" s="14" t="n">
        <v>3</v>
      </c>
      <c r="Q88" s="14" t="n">
        <v>4</v>
      </c>
      <c r="R88" s="15" t="str">
        <f aca="false">IF(OR($H88="対象外",$K88="",$L88="",$M88="",$N88="",$O88="",$P88="",$Q88=""),"",($K88*$L88*$M88*$N88*$O88*$P88)/$Q88)</f>
        <v/>
      </c>
      <c r="S88" s="12" t="str">
        <f aca="false">IF($H88="対象外","",IF(OR($I88="",$J88=""),"",IF(OR($J88-$I88&gt;0,AND($R88&lt;&gt;"",$R88&gt;=00_はじめに!$B$19)),"○","")))</f>
        <v/>
      </c>
      <c r="T88" s="10" t="str">
        <f aca="false">IFERROR(VLOOKUP($A88,03_質問施策マッピング!$A:$B,2,0),"")</f>
        <v>AIMF-PR-DAT-002</v>
      </c>
      <c r="U88" s="10" t="str">
        <f aca="false">IF($T88="","",IFERROR(VLOOKUP($T88,02_施策マスター!$A:$B,2,0),""))</f>
        <v>学習・RAG投入前の仮名化・匿名化</v>
      </c>
      <c r="V88" s="10" t="str">
        <f aca="false">IF($R88="","",$R88+(1000-ROW())/1000000)</f>
        <v/>
      </c>
      <c r="W88" s="10" t="str">
        <f aca="false">IF($V88="","",COUNTIF($V$2:$V$208,"&gt;"&amp;$V88)+1)</f>
        <v/>
      </c>
      <c r="X88" s="10" t="s">
        <v>116</v>
      </c>
    </row>
    <row r="89" customFormat="false" ht="26.85" hidden="false" customHeight="false" outlineLevel="0" collapsed="false">
      <c r="A89" s="10" t="s">
        <v>382</v>
      </c>
      <c r="B89" s="10" t="s">
        <v>312</v>
      </c>
      <c r="C89" s="10" t="s">
        <v>376</v>
      </c>
      <c r="D89" s="11" t="s">
        <v>383</v>
      </c>
      <c r="E89" s="11" t="s">
        <v>384</v>
      </c>
      <c r="F89" s="10" t="s">
        <v>133</v>
      </c>
      <c r="G89" s="10" t="s">
        <v>203</v>
      </c>
      <c r="H89" s="12" t="str">
        <f aca="false">IF(OR($G89="all",AND(00_はじめに!$B$24="Y",ISNUMBER(SEARCH("traditional",$G89))),AND(00_はじめに!$B$25="Y",ISNUMBER(SEARCH("generative",$G89))),AND(00_はじめに!$B$26="Y",ISNUMBER(SEARCH("ai-agent",$G89))),AND(00_はじめに!$B$27="Y",ISNUMBER(SEARCH("multi-agent",$G89)))),"○","対象外")</f>
        <v>○</v>
      </c>
      <c r="I89" s="13"/>
      <c r="J89" s="14" t="n">
        <v>3</v>
      </c>
      <c r="K89" s="12" t="str">
        <f aca="false">IF(OR($H89="対象外",$I89="",$J89=""),"",$J89-$I89)</f>
        <v/>
      </c>
      <c r="L89" s="14" t="n">
        <v>5</v>
      </c>
      <c r="M89" s="14" t="n">
        <v>3</v>
      </c>
      <c r="N89" s="14" t="n">
        <v>4</v>
      </c>
      <c r="O89" s="14" t="n">
        <v>2</v>
      </c>
      <c r="P89" s="14" t="n">
        <v>3</v>
      </c>
      <c r="Q89" s="14" t="n">
        <v>4</v>
      </c>
      <c r="R89" s="15" t="str">
        <f aca="false">IF(OR($H89="対象外",$K89="",$L89="",$M89="",$N89="",$O89="",$P89="",$Q89=""),"",($K89*$L89*$M89*$N89*$O89*$P89)/$Q89)</f>
        <v/>
      </c>
      <c r="S89" s="12" t="str">
        <f aca="false">IF($H89="対象外","",IF(OR($I89="",$J89=""),"",IF(OR($J89-$I89&gt;0,AND($R89&lt;&gt;"",$R89&gt;=00_はじめに!$B$19)),"○","")))</f>
        <v/>
      </c>
      <c r="T89" s="10" t="str">
        <f aca="false">IFERROR(VLOOKUP($A89,03_質問施策マッピング!$A:$B,2,0),"")</f>
        <v>AIMF-PR-DAT-003</v>
      </c>
      <c r="U89" s="10" t="str">
        <f aca="false">IF($T89="","",IFERROR(VLOOKUP($T89,02_施策マスター!$A:$B,2,0),""))</f>
        <v>出力データへの機密区分の継承</v>
      </c>
      <c r="V89" s="10" t="str">
        <f aca="false">IF($R89="","",$R89+(1000-ROW())/1000000)</f>
        <v/>
      </c>
      <c r="W89" s="10" t="str">
        <f aca="false">IF($V89="","",COUNTIF($V$2:$V$208,"&gt;"&amp;$V89)+1)</f>
        <v/>
      </c>
      <c r="X89" s="10" t="s">
        <v>116</v>
      </c>
    </row>
    <row r="90" customFormat="false" ht="39.55" hidden="false" customHeight="false" outlineLevel="0" collapsed="false">
      <c r="A90" s="10" t="s">
        <v>385</v>
      </c>
      <c r="B90" s="10" t="s">
        <v>312</v>
      </c>
      <c r="C90" s="10" t="s">
        <v>376</v>
      </c>
      <c r="D90" s="11" t="s">
        <v>386</v>
      </c>
      <c r="E90" s="11" t="s">
        <v>387</v>
      </c>
      <c r="F90" s="10" t="s">
        <v>133</v>
      </c>
      <c r="G90" s="10" t="s">
        <v>99</v>
      </c>
      <c r="H90" s="12" t="str">
        <f aca="false">IF(OR($G90="all",AND(00_はじめに!$B$24="Y",ISNUMBER(SEARCH("traditional",$G90))),AND(00_はじめに!$B$25="Y",ISNUMBER(SEARCH("generative",$G90))),AND(00_はじめに!$B$26="Y",ISNUMBER(SEARCH("ai-agent",$G90))),AND(00_はじめに!$B$27="Y",ISNUMBER(SEARCH("multi-agent",$G90)))),"○","対象外")</f>
        <v>○</v>
      </c>
      <c r="I90" s="13"/>
      <c r="J90" s="14" t="n">
        <v>3</v>
      </c>
      <c r="K90" s="12" t="str">
        <f aca="false">IF(OR($H90="対象外",$I90="",$J90=""),"",$J90-$I90)</f>
        <v/>
      </c>
      <c r="L90" s="14" t="n">
        <v>5</v>
      </c>
      <c r="M90" s="14" t="n">
        <v>3</v>
      </c>
      <c r="N90" s="14" t="n">
        <v>4</v>
      </c>
      <c r="O90" s="14" t="n">
        <v>2</v>
      </c>
      <c r="P90" s="14" t="n">
        <v>3</v>
      </c>
      <c r="Q90" s="14" t="n">
        <v>4</v>
      </c>
      <c r="R90" s="15" t="str">
        <f aca="false">IF(OR($H90="対象外",$K90="",$L90="",$M90="",$N90="",$O90="",$P90="",$Q90=""),"",($K90*$L90*$M90*$N90*$O90*$P90)/$Q90)</f>
        <v/>
      </c>
      <c r="S90" s="12" t="str">
        <f aca="false">IF($H90="対象外","",IF(OR($I90="",$J90=""),"",IF(OR($J90-$I90&gt;0,AND($R90&lt;&gt;"",$R90&gt;=00_はじめに!$B$19)),"○","")))</f>
        <v/>
      </c>
      <c r="T90" s="10" t="str">
        <f aca="false">IFERROR(VLOOKUP($A90,03_質問施策マッピング!$A:$B,2,0),"")</f>
        <v>AIMF-PR-DAT-004</v>
      </c>
      <c r="U90" s="10" t="str">
        <f aca="false">IF($T90="","",IFERROR(VLOOKUP($T90,02_施策マスター!$A:$B,2,0),""))</f>
        <v>モデル重み・チェックポイントの厳格アクセス管理</v>
      </c>
      <c r="V90" s="10" t="str">
        <f aca="false">IF($R90="","",$R90+(1000-ROW())/1000000)</f>
        <v/>
      </c>
      <c r="W90" s="10" t="str">
        <f aca="false">IF($V90="","",COUNTIF($V$2:$V$208,"&gt;"&amp;$V90)+1)</f>
        <v/>
      </c>
      <c r="X90" s="10" t="s">
        <v>116</v>
      </c>
    </row>
    <row r="91" customFormat="false" ht="39.55" hidden="false" customHeight="false" outlineLevel="0" collapsed="false">
      <c r="A91" s="10" t="s">
        <v>388</v>
      </c>
      <c r="B91" s="10" t="s">
        <v>312</v>
      </c>
      <c r="C91" s="10" t="s">
        <v>376</v>
      </c>
      <c r="D91" s="11" t="s">
        <v>389</v>
      </c>
      <c r="E91" s="11" t="s">
        <v>390</v>
      </c>
      <c r="F91" s="10" t="s">
        <v>133</v>
      </c>
      <c r="G91" s="10" t="s">
        <v>99</v>
      </c>
      <c r="H91" s="12" t="str">
        <f aca="false">IF(OR($G91="all",AND(00_はじめに!$B$24="Y",ISNUMBER(SEARCH("traditional",$G91))),AND(00_はじめに!$B$25="Y",ISNUMBER(SEARCH("generative",$G91))),AND(00_はじめに!$B$26="Y",ISNUMBER(SEARCH("ai-agent",$G91))),AND(00_はじめに!$B$27="Y",ISNUMBER(SEARCH("multi-agent",$G91)))),"○","対象外")</f>
        <v>○</v>
      </c>
      <c r="I91" s="13"/>
      <c r="J91" s="14" t="n">
        <v>3</v>
      </c>
      <c r="K91" s="12" t="str">
        <f aca="false">IF(OR($H91="対象外",$I91="",$J91=""),"",$J91-$I91)</f>
        <v/>
      </c>
      <c r="L91" s="14" t="n">
        <v>5</v>
      </c>
      <c r="M91" s="14" t="n">
        <v>3</v>
      </c>
      <c r="N91" s="14" t="n">
        <v>4</v>
      </c>
      <c r="O91" s="14" t="n">
        <v>2</v>
      </c>
      <c r="P91" s="14" t="n">
        <v>3</v>
      </c>
      <c r="Q91" s="14" t="n">
        <v>4</v>
      </c>
      <c r="R91" s="15" t="str">
        <f aca="false">IF(OR($H91="対象外",$K91="",$L91="",$M91="",$N91="",$O91="",$P91="",$Q91=""),"",($K91*$L91*$M91*$N91*$O91*$P91)/$Q91)</f>
        <v/>
      </c>
      <c r="S91" s="12" t="str">
        <f aca="false">IF($H91="対象外","",IF(OR($I91="",$J91=""),"",IF(OR($J91-$I91&gt;0,AND($R91&lt;&gt;"",$R91&gt;=00_はじめに!$B$19)),"○","")))</f>
        <v/>
      </c>
      <c r="T91" s="10" t="str">
        <f aca="false">IFERROR(VLOOKUP($A91,03_質問施策マッピング!$A:$B,2,0),"")</f>
        <v>AIMF-PR-DAT-005</v>
      </c>
      <c r="U91" s="10" t="str">
        <f aca="false">IF($T91="","",IFERROR(VLOOKUP($T91,02_施策マスター!$A:$B,2,0),""))</f>
        <v>機密コンピューティングによる推論保護</v>
      </c>
      <c r="V91" s="10" t="str">
        <f aca="false">IF($R91="","",$R91+(1000-ROW())/1000000)</f>
        <v/>
      </c>
      <c r="W91" s="10" t="str">
        <f aca="false">IF($V91="","",COUNTIF($V$2:$V$208,"&gt;"&amp;$V91)+1)</f>
        <v/>
      </c>
      <c r="X91" s="10" t="s">
        <v>116</v>
      </c>
    </row>
    <row r="92" customFormat="false" ht="39.55" hidden="false" customHeight="false" outlineLevel="0" collapsed="false">
      <c r="A92" s="10" t="s">
        <v>391</v>
      </c>
      <c r="B92" s="10" t="s">
        <v>312</v>
      </c>
      <c r="C92" s="10" t="s">
        <v>392</v>
      </c>
      <c r="D92" s="11" t="s">
        <v>393</v>
      </c>
      <c r="E92" s="11" t="s">
        <v>394</v>
      </c>
      <c r="F92" s="10" t="s">
        <v>133</v>
      </c>
      <c r="G92" s="10" t="s">
        <v>99</v>
      </c>
      <c r="H92" s="12" t="str">
        <f aca="false">IF(OR($G92="all",AND(00_はじめに!$B$24="Y",ISNUMBER(SEARCH("traditional",$G92))),AND(00_はじめに!$B$25="Y",ISNUMBER(SEARCH("generative",$G92))),AND(00_はじめに!$B$26="Y",ISNUMBER(SEARCH("ai-agent",$G92))),AND(00_はじめに!$B$27="Y",ISNUMBER(SEARCH("multi-agent",$G92)))),"○","対象外")</f>
        <v>○</v>
      </c>
      <c r="I92" s="13"/>
      <c r="J92" s="14" t="n">
        <v>4</v>
      </c>
      <c r="K92" s="12" t="str">
        <f aca="false">IF(OR($H92="対象外",$I92="",$J92=""),"",$J92-$I92)</f>
        <v/>
      </c>
      <c r="L92" s="14" t="n">
        <v>4</v>
      </c>
      <c r="M92" s="14" t="n">
        <v>3</v>
      </c>
      <c r="N92" s="14" t="n">
        <v>5</v>
      </c>
      <c r="O92" s="14" t="n">
        <v>2</v>
      </c>
      <c r="P92" s="14" t="n">
        <v>4</v>
      </c>
      <c r="Q92" s="14" t="n">
        <v>4</v>
      </c>
      <c r="R92" s="15" t="str">
        <f aca="false">IF(OR($H92="対象外",$K92="",$L92="",$M92="",$N92="",$O92="",$P92="",$Q92=""),"",($K92*$L92*$M92*$N92*$O92*$P92)/$Q92)</f>
        <v/>
      </c>
      <c r="S92" s="12" t="str">
        <f aca="false">IF($H92="対象外","",IF(OR($I92="",$J92=""),"",IF(OR($J92-$I92&gt;0,AND($R92&lt;&gt;"",$R92&gt;=00_はじめに!$B$19)),"○","")))</f>
        <v/>
      </c>
      <c r="T92" s="10" t="str">
        <f aca="false">IFERROR(VLOOKUP($A92,03_質問施策マッピング!$A:$B,2,0),"")</f>
        <v>AIMF-PR-MDL-001</v>
      </c>
      <c r="U92" s="10" t="str">
        <f aca="false">IF($T92="","",IFERROR(VLOOKUP($T92,02_施策マスター!$A:$B,2,0),""))</f>
        <v>モデルライフサイクル管理・リリース前評価</v>
      </c>
      <c r="V92" s="10" t="str">
        <f aca="false">IF($R92="","",$R92+(1000-ROW())/1000000)</f>
        <v/>
      </c>
      <c r="W92" s="10" t="str">
        <f aca="false">IF($V92="","",COUNTIF($V$2:$V$208,"&gt;"&amp;$V92)+1)</f>
        <v/>
      </c>
      <c r="X92" s="10" t="s">
        <v>100</v>
      </c>
    </row>
    <row r="93" customFormat="false" ht="39.55" hidden="false" customHeight="false" outlineLevel="0" collapsed="false">
      <c r="A93" s="10" t="s">
        <v>395</v>
      </c>
      <c r="B93" s="10" t="s">
        <v>312</v>
      </c>
      <c r="C93" s="10" t="s">
        <v>392</v>
      </c>
      <c r="D93" s="11" t="s">
        <v>396</v>
      </c>
      <c r="E93" s="11" t="s">
        <v>397</v>
      </c>
      <c r="F93" s="10" t="s">
        <v>133</v>
      </c>
      <c r="G93" s="10" t="s">
        <v>99</v>
      </c>
      <c r="H93" s="12" t="str">
        <f aca="false">IF(OR($G93="all",AND(00_はじめに!$B$24="Y",ISNUMBER(SEARCH("traditional",$G93))),AND(00_はじめに!$B$25="Y",ISNUMBER(SEARCH("generative",$G93))),AND(00_はじめに!$B$26="Y",ISNUMBER(SEARCH("ai-agent",$G93))),AND(00_はじめに!$B$27="Y",ISNUMBER(SEARCH("multi-agent",$G93)))),"○","対象外")</f>
        <v>○</v>
      </c>
      <c r="I93" s="13"/>
      <c r="J93" s="14" t="n">
        <v>4</v>
      </c>
      <c r="K93" s="12" t="str">
        <f aca="false">IF(OR($H93="対象外",$I93="",$J93=""),"",$J93-$I93)</f>
        <v/>
      </c>
      <c r="L93" s="14" t="n">
        <v>4</v>
      </c>
      <c r="M93" s="14" t="n">
        <v>3</v>
      </c>
      <c r="N93" s="14" t="n">
        <v>4</v>
      </c>
      <c r="O93" s="14" t="n">
        <v>2</v>
      </c>
      <c r="P93" s="14" t="n">
        <v>4</v>
      </c>
      <c r="Q93" s="14" t="n">
        <v>4</v>
      </c>
      <c r="R93" s="15" t="str">
        <f aca="false">IF(OR($H93="対象外",$K93="",$L93="",$M93="",$N93="",$O93="",$P93="",$Q93=""),"",($K93*$L93*$M93*$N93*$O93*$P93)/$Q93)</f>
        <v/>
      </c>
      <c r="S93" s="12" t="str">
        <f aca="false">IF($H93="対象外","",IF(OR($I93="",$J93=""),"",IF(OR($J93-$I93&gt;0,AND($R93&lt;&gt;"",$R93&gt;=00_はじめに!$B$19)),"○","")))</f>
        <v/>
      </c>
      <c r="T93" s="10" t="str">
        <f aca="false">IFERROR(VLOOKUP($A93,03_質問施策マッピング!$A:$B,2,0),"")</f>
        <v>AIMF-PR-MDL-002</v>
      </c>
      <c r="U93" s="10" t="str">
        <f aca="false">IF($T93="","",IFERROR(VLOOKUP($T93,02_施策マスター!$A:$B,2,0),""))</f>
        <v>モデル成果物の完全性保護</v>
      </c>
      <c r="V93" s="10" t="str">
        <f aca="false">IF($R93="","",$R93+(1000-ROW())/1000000)</f>
        <v/>
      </c>
      <c r="W93" s="10" t="str">
        <f aca="false">IF($V93="","",COUNTIF($V$2:$V$208,"&gt;"&amp;$V93)+1)</f>
        <v/>
      </c>
      <c r="X93" s="10" t="s">
        <v>100</v>
      </c>
    </row>
    <row r="94" customFormat="false" ht="26.85" hidden="false" customHeight="false" outlineLevel="0" collapsed="false">
      <c r="A94" s="10" t="s">
        <v>398</v>
      </c>
      <c r="B94" s="10" t="s">
        <v>312</v>
      </c>
      <c r="C94" s="10" t="s">
        <v>392</v>
      </c>
      <c r="D94" s="11" t="s">
        <v>399</v>
      </c>
      <c r="E94" s="11" t="s">
        <v>400</v>
      </c>
      <c r="F94" s="10" t="s">
        <v>133</v>
      </c>
      <c r="G94" s="10" t="s">
        <v>285</v>
      </c>
      <c r="H94" s="12" t="str">
        <f aca="false">IF(OR($G94="all",AND(00_はじめに!$B$24="Y",ISNUMBER(SEARCH("traditional",$G94))),AND(00_はじめに!$B$25="Y",ISNUMBER(SEARCH("generative",$G94))),AND(00_はじめに!$B$26="Y",ISNUMBER(SEARCH("ai-agent",$G94))),AND(00_はじめに!$B$27="Y",ISNUMBER(SEARCH("multi-agent",$G94)))),"○","対象外")</f>
        <v>○</v>
      </c>
      <c r="I94" s="13"/>
      <c r="J94" s="14" t="n">
        <v>3</v>
      </c>
      <c r="K94" s="12" t="str">
        <f aca="false">IF(OR($H94="対象外",$I94="",$J94=""),"",$J94-$I94)</f>
        <v/>
      </c>
      <c r="L94" s="14" t="n">
        <v>4</v>
      </c>
      <c r="M94" s="14" t="n">
        <v>3</v>
      </c>
      <c r="N94" s="14" t="n">
        <v>4</v>
      </c>
      <c r="O94" s="14" t="n">
        <v>2</v>
      </c>
      <c r="P94" s="14" t="n">
        <v>4</v>
      </c>
      <c r="Q94" s="14" t="n">
        <v>4</v>
      </c>
      <c r="R94" s="15" t="str">
        <f aca="false">IF(OR($H94="対象外",$K94="",$L94="",$M94="",$N94="",$O94="",$P94="",$Q94=""),"",($K94*$L94*$M94*$N94*$O94*$P94)/$Q94)</f>
        <v/>
      </c>
      <c r="S94" s="12" t="str">
        <f aca="false">IF($H94="対象外","",IF(OR($I94="",$J94=""),"",IF(OR($J94-$I94&gt;0,AND($R94&lt;&gt;"",$R94&gt;=00_はじめに!$B$19)),"○","")))</f>
        <v/>
      </c>
      <c r="T94" s="10" t="str">
        <f aca="false">IFERROR(VLOOKUP($A94,03_質問施策マッピング!$A:$B,2,0),"")</f>
        <v>AIMF-PR-MDL-003</v>
      </c>
      <c r="U94" s="10" t="str">
        <f aca="false">IF($T94="","",IFERROR(VLOOKUP($T94,02_施策マスター!$A:$B,2,0),""))</f>
        <v>セキュア学習パイプラインの統制</v>
      </c>
      <c r="V94" s="10" t="str">
        <f aca="false">IF($R94="","",$R94+(1000-ROW())/1000000)</f>
        <v/>
      </c>
      <c r="W94" s="10" t="str">
        <f aca="false">IF($V94="","",COUNTIF($V$2:$V$208,"&gt;"&amp;$V94)+1)</f>
        <v/>
      </c>
      <c r="X94" s="10" t="s">
        <v>116</v>
      </c>
    </row>
    <row r="95" customFormat="false" ht="39.55" hidden="false" customHeight="false" outlineLevel="0" collapsed="false">
      <c r="A95" s="10" t="s">
        <v>401</v>
      </c>
      <c r="B95" s="10" t="s">
        <v>312</v>
      </c>
      <c r="C95" s="10" t="s">
        <v>392</v>
      </c>
      <c r="D95" s="11" t="s">
        <v>402</v>
      </c>
      <c r="E95" s="11" t="s">
        <v>403</v>
      </c>
      <c r="F95" s="10" t="s">
        <v>133</v>
      </c>
      <c r="G95" s="10" t="s">
        <v>99</v>
      </c>
      <c r="H95" s="12" t="str">
        <f aca="false">IF(OR($G95="all",AND(00_はじめに!$B$24="Y",ISNUMBER(SEARCH("traditional",$G95))),AND(00_はじめに!$B$25="Y",ISNUMBER(SEARCH("generative",$G95))),AND(00_はじめに!$B$26="Y",ISNUMBER(SEARCH("ai-agent",$G95))),AND(00_はじめに!$B$27="Y",ISNUMBER(SEARCH("multi-agent",$G95)))),"○","対象外")</f>
        <v>○</v>
      </c>
      <c r="I95" s="13"/>
      <c r="J95" s="14" t="n">
        <v>3</v>
      </c>
      <c r="K95" s="12" t="str">
        <f aca="false">IF(OR($H95="対象外",$I95="",$J95=""),"",$J95-$I95)</f>
        <v/>
      </c>
      <c r="L95" s="14" t="n">
        <v>4</v>
      </c>
      <c r="M95" s="14" t="n">
        <v>3</v>
      </c>
      <c r="N95" s="14" t="n">
        <v>4</v>
      </c>
      <c r="O95" s="14" t="n">
        <v>2</v>
      </c>
      <c r="P95" s="14" t="n">
        <v>4</v>
      </c>
      <c r="Q95" s="14" t="n">
        <v>4</v>
      </c>
      <c r="R95" s="15" t="str">
        <f aca="false">IF(OR($H95="対象外",$K95="",$L95="",$M95="",$N95="",$O95="",$P95="",$Q95=""),"",($K95*$L95*$M95*$N95*$O95*$P95)/$Q95)</f>
        <v/>
      </c>
      <c r="S95" s="12" t="str">
        <f aca="false">IF($H95="対象外","",IF(OR($I95="",$J95=""),"",IF(OR($J95-$I95&gt;0,AND($R95&lt;&gt;"",$R95&gt;=00_はじめに!$B$19)),"○","")))</f>
        <v/>
      </c>
      <c r="T95" s="10" t="str">
        <f aca="false">IFERROR(VLOOKUP($A95,03_質問施策マッピング!$A:$B,2,0),"")</f>
        <v>AIMF-PR-MDL-004</v>
      </c>
      <c r="U95" s="10" t="str">
        <f aca="false">IF($T95="","",IFERROR(VLOOKUP($T95,02_施策マスター!$A:$B,2,0),""))</f>
        <v>モデルレジストリ統制（承認済みモデルのみデプロイ）</v>
      </c>
      <c r="V95" s="10" t="str">
        <f aca="false">IF($R95="","",$R95+(1000-ROW())/1000000)</f>
        <v/>
      </c>
      <c r="W95" s="10" t="str">
        <f aca="false">IF($V95="","",COUNTIF($V$2:$V$208,"&gt;"&amp;$V95)+1)</f>
        <v/>
      </c>
      <c r="X95" s="10" t="s">
        <v>116</v>
      </c>
    </row>
    <row r="96" customFormat="false" ht="39.55" hidden="false" customHeight="false" outlineLevel="0" collapsed="false">
      <c r="A96" s="10" t="s">
        <v>404</v>
      </c>
      <c r="B96" s="10" t="s">
        <v>312</v>
      </c>
      <c r="C96" s="10" t="s">
        <v>392</v>
      </c>
      <c r="D96" s="11" t="s">
        <v>405</v>
      </c>
      <c r="E96" s="11" t="s">
        <v>406</v>
      </c>
      <c r="F96" s="10" t="s">
        <v>133</v>
      </c>
      <c r="G96" s="10" t="s">
        <v>134</v>
      </c>
      <c r="H96" s="12" t="str">
        <f aca="false">IF(OR($G96="all",AND(00_はじめに!$B$24="Y",ISNUMBER(SEARCH("traditional",$G96))),AND(00_はじめに!$B$25="Y",ISNUMBER(SEARCH("generative",$G96))),AND(00_はじめに!$B$26="Y",ISNUMBER(SEARCH("ai-agent",$G96))),AND(00_はじめに!$B$27="Y",ISNUMBER(SEARCH("multi-agent",$G96)))),"○","対象外")</f>
        <v>○</v>
      </c>
      <c r="I96" s="13"/>
      <c r="J96" s="14" t="n">
        <v>3</v>
      </c>
      <c r="K96" s="12" t="str">
        <f aca="false">IF(OR($H96="対象外",$I96="",$J96=""),"",$J96-$I96)</f>
        <v/>
      </c>
      <c r="L96" s="14" t="n">
        <v>4</v>
      </c>
      <c r="M96" s="14" t="n">
        <v>3</v>
      </c>
      <c r="N96" s="14" t="n">
        <v>5</v>
      </c>
      <c r="O96" s="14" t="n">
        <v>2</v>
      </c>
      <c r="P96" s="14" t="n">
        <v>4</v>
      </c>
      <c r="Q96" s="14" t="n">
        <v>4</v>
      </c>
      <c r="R96" s="15" t="str">
        <f aca="false">IF(OR($H96="対象外",$K96="",$L96="",$M96="",$N96="",$O96="",$P96="",$Q96=""),"",($K96*$L96*$M96*$N96*$O96*$P96)/$Q96)</f>
        <v/>
      </c>
      <c r="S96" s="12" t="str">
        <f aca="false">IF($H96="対象外","",IF(OR($I96="",$J96=""),"",IF(OR($J96-$I96&gt;0,AND($R96&lt;&gt;"",$R96&gt;=00_はじめに!$B$19)),"○","")))</f>
        <v/>
      </c>
      <c r="T96" s="10" t="str">
        <f aca="false">IFERROR(VLOOKUP($A96,03_質問施策マッピング!$A:$B,2,0),"")</f>
        <v>AIMF-PR-MDL-005</v>
      </c>
      <c r="U96" s="10" t="str">
        <f aca="false">IF($T96="","",IFERROR(VLOOKUP($T96,02_施策マスター!$A:$B,2,0),""))</f>
        <v>ファインチューニング・継続学習の変更管理</v>
      </c>
      <c r="V96" s="10" t="str">
        <f aca="false">IF($R96="","",$R96+(1000-ROW())/1000000)</f>
        <v/>
      </c>
      <c r="W96" s="10" t="str">
        <f aca="false">IF($V96="","",COUNTIF($V$2:$V$208,"&gt;"&amp;$V96)+1)</f>
        <v/>
      </c>
      <c r="X96" s="10" t="s">
        <v>116</v>
      </c>
    </row>
    <row r="97" customFormat="false" ht="26.85" hidden="false" customHeight="false" outlineLevel="0" collapsed="false">
      <c r="A97" s="10" t="s">
        <v>407</v>
      </c>
      <c r="B97" s="10" t="s">
        <v>312</v>
      </c>
      <c r="C97" s="10" t="s">
        <v>392</v>
      </c>
      <c r="D97" s="11" t="s">
        <v>408</v>
      </c>
      <c r="E97" s="11" t="s">
        <v>409</v>
      </c>
      <c r="F97" s="10" t="s">
        <v>133</v>
      </c>
      <c r="G97" s="10" t="s">
        <v>99</v>
      </c>
      <c r="H97" s="12" t="str">
        <f aca="false">IF(OR($G97="all",AND(00_はじめに!$B$24="Y",ISNUMBER(SEARCH("traditional",$G97))),AND(00_はじめに!$B$25="Y",ISNUMBER(SEARCH("generative",$G97))),AND(00_はじめに!$B$26="Y",ISNUMBER(SEARCH("ai-agent",$G97))),AND(00_はじめに!$B$27="Y",ISNUMBER(SEARCH("multi-agent",$G97)))),"○","対象外")</f>
        <v>○</v>
      </c>
      <c r="I97" s="13"/>
      <c r="J97" s="14" t="n">
        <v>3</v>
      </c>
      <c r="K97" s="12" t="str">
        <f aca="false">IF(OR($H97="対象外",$I97="",$J97=""),"",$J97-$I97)</f>
        <v/>
      </c>
      <c r="L97" s="14" t="n">
        <v>4</v>
      </c>
      <c r="M97" s="14" t="n">
        <v>3</v>
      </c>
      <c r="N97" s="14" t="n">
        <v>4</v>
      </c>
      <c r="O97" s="14" t="n">
        <v>2</v>
      </c>
      <c r="P97" s="14" t="n">
        <v>4</v>
      </c>
      <c r="Q97" s="14" t="n">
        <v>4</v>
      </c>
      <c r="R97" s="15" t="str">
        <f aca="false">IF(OR($H97="対象外",$K97="",$L97="",$M97="",$N97="",$O97="",$P97="",$Q97=""),"",($K97*$L97*$M97*$N97*$O97*$P97)/$Q97)</f>
        <v/>
      </c>
      <c r="S97" s="12" t="str">
        <f aca="false">IF($H97="対象外","",IF(OR($I97="",$J97=""),"",IF(OR($J97-$I97&gt;0,AND($R97&lt;&gt;"",$R97&gt;=00_はじめに!$B$19)),"○","")))</f>
        <v/>
      </c>
      <c r="T97" s="10" t="str">
        <f aca="false">IFERROR(VLOOKUP($A97,03_質問施策マッピング!$A:$B,2,0),"")</f>
        <v>AIMF-PR-MDL-006</v>
      </c>
      <c r="U97" s="10" t="str">
        <f aca="false">IF($T97="","",IFERROR(VLOOKUP($T97,02_施策マスター!$A:$B,2,0),""))</f>
        <v>量子化・蒸留・最適化後の安全性再評価</v>
      </c>
      <c r="V97" s="10" t="str">
        <f aca="false">IF($R97="","",$R97+(1000-ROW())/1000000)</f>
        <v/>
      </c>
      <c r="W97" s="10" t="str">
        <f aca="false">IF($V97="","",COUNTIF($V$2:$V$208,"&gt;"&amp;$V97)+1)</f>
        <v/>
      </c>
      <c r="X97" s="10" t="s">
        <v>116</v>
      </c>
    </row>
    <row r="98" customFormat="false" ht="39.55" hidden="false" customHeight="false" outlineLevel="0" collapsed="false">
      <c r="A98" s="10" t="s">
        <v>410</v>
      </c>
      <c r="B98" s="10" t="s">
        <v>312</v>
      </c>
      <c r="C98" s="10" t="s">
        <v>392</v>
      </c>
      <c r="D98" s="11" t="s">
        <v>411</v>
      </c>
      <c r="E98" s="11" t="s">
        <v>412</v>
      </c>
      <c r="F98" s="10" t="s">
        <v>133</v>
      </c>
      <c r="G98" s="10" t="s">
        <v>203</v>
      </c>
      <c r="H98" s="12" t="str">
        <f aca="false">IF(OR($G98="all",AND(00_はじめに!$B$24="Y",ISNUMBER(SEARCH("traditional",$G98))),AND(00_はじめに!$B$25="Y",ISNUMBER(SEARCH("generative",$G98))),AND(00_はじめに!$B$26="Y",ISNUMBER(SEARCH("ai-agent",$G98))),AND(00_はじめに!$B$27="Y",ISNUMBER(SEARCH("multi-agent",$G98)))),"○","対象外")</f>
        <v>○</v>
      </c>
      <c r="I98" s="13"/>
      <c r="J98" s="14" t="n">
        <v>3</v>
      </c>
      <c r="K98" s="12" t="str">
        <f aca="false">IF(OR($H98="対象外",$I98="",$J98=""),"",$J98-$I98)</f>
        <v/>
      </c>
      <c r="L98" s="14" t="n">
        <v>4</v>
      </c>
      <c r="M98" s="14" t="n">
        <v>3</v>
      </c>
      <c r="N98" s="14" t="n">
        <v>4</v>
      </c>
      <c r="O98" s="14" t="n">
        <v>2</v>
      </c>
      <c r="P98" s="14" t="n">
        <v>4</v>
      </c>
      <c r="Q98" s="14" t="n">
        <v>4</v>
      </c>
      <c r="R98" s="15" t="str">
        <f aca="false">IF(OR($H98="対象外",$K98="",$L98="",$M98="",$N98="",$O98="",$P98="",$Q98=""),"",($K98*$L98*$M98*$N98*$O98*$P98)/$Q98)</f>
        <v/>
      </c>
      <c r="S98" s="12" t="str">
        <f aca="false">IF($H98="対象外","",IF(OR($I98="",$J98=""),"",IF(OR($J98-$I98&gt;0,AND($R98&lt;&gt;"",$R98&gt;=00_はじめに!$B$19)),"○","")))</f>
        <v/>
      </c>
      <c r="T98" s="10" t="str">
        <f aca="false">IFERROR(VLOOKUP($A98,03_質問施策マッピング!$A:$B,2,0),"")</f>
        <v>AIMF-PR-MDL-007</v>
      </c>
      <c r="U98" s="10" t="str">
        <f aca="false">IF($T98="","",IFERROR(VLOOKUP($T98,02_施策マスター!$A:$B,2,0),""))</f>
        <v>システムプロンプトの版管理と保護</v>
      </c>
      <c r="V98" s="10" t="str">
        <f aca="false">IF($R98="","",$R98+(1000-ROW())/1000000)</f>
        <v/>
      </c>
      <c r="W98" s="10" t="str">
        <f aca="false">IF($V98="","",COUNTIF($V$2:$V$208,"&gt;"&amp;$V98)+1)</f>
        <v/>
      </c>
      <c r="X98" s="10" t="s">
        <v>116</v>
      </c>
    </row>
    <row r="99" customFormat="false" ht="39.55" hidden="false" customHeight="false" outlineLevel="0" collapsed="false">
      <c r="A99" s="10" t="s">
        <v>413</v>
      </c>
      <c r="B99" s="10" t="s">
        <v>312</v>
      </c>
      <c r="C99" s="10" t="s">
        <v>414</v>
      </c>
      <c r="D99" s="10" t="s">
        <v>415</v>
      </c>
      <c r="E99" s="11" t="s">
        <v>416</v>
      </c>
      <c r="F99" s="10" t="s">
        <v>133</v>
      </c>
      <c r="G99" s="10" t="s">
        <v>233</v>
      </c>
      <c r="H99" s="12" t="str">
        <f aca="false">IF(OR($G99="all",AND(00_はじめに!$B$24="Y",ISNUMBER(SEARCH("traditional",$G99))),AND(00_はじめに!$B$25="Y",ISNUMBER(SEARCH("generative",$G99))),AND(00_はじめに!$B$26="Y",ISNUMBER(SEARCH("ai-agent",$G99))),AND(00_はじめに!$B$27="Y",ISNUMBER(SEARCH("multi-agent",$G99)))),"○","対象外")</f>
        <v>○</v>
      </c>
      <c r="I99" s="13"/>
      <c r="J99" s="14" t="n">
        <v>4</v>
      </c>
      <c r="K99" s="12" t="str">
        <f aca="false">IF(OR($H99="対象外",$I99="",$J99=""),"",$J99-$I99)</f>
        <v/>
      </c>
      <c r="L99" s="14" t="n">
        <v>4</v>
      </c>
      <c r="M99" s="14" t="n">
        <v>3</v>
      </c>
      <c r="N99" s="14" t="n">
        <v>5</v>
      </c>
      <c r="O99" s="14" t="n">
        <v>2</v>
      </c>
      <c r="P99" s="14" t="n">
        <v>3</v>
      </c>
      <c r="Q99" s="14" t="n">
        <v>4</v>
      </c>
      <c r="R99" s="15" t="str">
        <f aca="false">IF(OR($H99="対象外",$K99="",$L99="",$M99="",$N99="",$O99="",$P99="",$Q99=""),"",($K99*$L99*$M99*$N99*$O99*$P99)/$Q99)</f>
        <v/>
      </c>
      <c r="S99" s="12" t="str">
        <f aca="false">IF($H99="対象外","",IF(OR($I99="",$J99=""),"",IF(OR($J99-$I99&gt;0,AND($R99&lt;&gt;"",$R99&gt;=00_はじめに!$B$19)),"○","")))</f>
        <v/>
      </c>
      <c r="T99" s="10" t="str">
        <f aca="false">IFERROR(VLOOKUP($A99,03_質問施策マッピング!$A:$B,2,0),"")</f>
        <v>AIMF-PR-RED-001</v>
      </c>
      <c r="U99" s="10" t="str">
        <f aca="false">IF($T99="","",IFERROR(VLOOKUP($T99,02_施策マスター!$A:$B,2,0),""))</f>
        <v>AIレッドチーミングの定期的実施</v>
      </c>
      <c r="V99" s="10" t="str">
        <f aca="false">IF($R99="","",$R99+(1000-ROW())/1000000)</f>
        <v/>
      </c>
      <c r="W99" s="10" t="str">
        <f aca="false">IF($V99="","",COUNTIF($V$2:$V$208,"&gt;"&amp;$V99)+1)</f>
        <v/>
      </c>
      <c r="X99" s="10" t="s">
        <v>100</v>
      </c>
    </row>
    <row r="100" customFormat="false" ht="39.55" hidden="false" customHeight="false" outlineLevel="0" collapsed="false">
      <c r="A100" s="10" t="s">
        <v>417</v>
      </c>
      <c r="B100" s="10" t="s">
        <v>312</v>
      </c>
      <c r="C100" s="10" t="s">
        <v>414</v>
      </c>
      <c r="D100" s="11" t="s">
        <v>418</v>
      </c>
      <c r="E100" s="11" t="s">
        <v>419</v>
      </c>
      <c r="F100" s="10" t="s">
        <v>133</v>
      </c>
      <c r="G100" s="10" t="s">
        <v>203</v>
      </c>
      <c r="H100" s="12" t="str">
        <f aca="false">IF(OR($G100="all",AND(00_はじめに!$B$24="Y",ISNUMBER(SEARCH("traditional",$G100))),AND(00_はじめに!$B$25="Y",ISNUMBER(SEARCH("generative",$G100))),AND(00_はじめに!$B$26="Y",ISNUMBER(SEARCH("ai-agent",$G100))),AND(00_はじめに!$B$27="Y",ISNUMBER(SEARCH("multi-agent",$G100)))),"○","対象外")</f>
        <v>○</v>
      </c>
      <c r="I100" s="13"/>
      <c r="J100" s="14" t="n">
        <v>4</v>
      </c>
      <c r="K100" s="12" t="str">
        <f aca="false">IF(OR($H100="対象外",$I100="",$J100=""),"",$J100-$I100)</f>
        <v/>
      </c>
      <c r="L100" s="14" t="n">
        <v>4</v>
      </c>
      <c r="M100" s="14" t="n">
        <v>3</v>
      </c>
      <c r="N100" s="14" t="n">
        <v>4</v>
      </c>
      <c r="O100" s="14" t="n">
        <v>2</v>
      </c>
      <c r="P100" s="14" t="n">
        <v>3</v>
      </c>
      <c r="Q100" s="14" t="n">
        <v>4</v>
      </c>
      <c r="R100" s="15" t="str">
        <f aca="false">IF(OR($H100="対象外",$K100="",$L100="",$M100="",$N100="",$O100="",$P100="",$Q100=""),"",($K100*$L100*$M100*$N100*$O100*$P100)/$Q100)</f>
        <v/>
      </c>
      <c r="S100" s="12" t="str">
        <f aca="false">IF($H100="対象外","",IF(OR($I100="",$J100=""),"",IF(OR($J100-$I100&gt;0,AND($R100&lt;&gt;"",$R100&gt;=00_はじめに!$B$19)),"○","")))</f>
        <v/>
      </c>
      <c r="T100" s="10" t="str">
        <f aca="false">IFERROR(VLOOKUP($A100,03_質問施策マッピング!$A:$B,2,0),"")</f>
        <v>AIMF-PR-RED-002</v>
      </c>
      <c r="U100" s="10" t="str">
        <f aca="false">IF($T100="","",IFERROR(VLOOKUP($T100,02_施策マスター!$A:$B,2,0),""))</f>
        <v>自動化されたAI脆弱性スキャン（LLM-assisted Red Teaming）</v>
      </c>
      <c r="V100" s="10" t="str">
        <f aca="false">IF($R100="","",$R100+(1000-ROW())/1000000)</f>
        <v/>
      </c>
      <c r="W100" s="10" t="str">
        <f aca="false">IF($V100="","",COUNTIF($V$2:$V$208,"&gt;"&amp;$V100)+1)</f>
        <v/>
      </c>
      <c r="X100" s="10" t="s">
        <v>100</v>
      </c>
    </row>
    <row r="101" customFormat="false" ht="39.55" hidden="false" customHeight="false" outlineLevel="0" collapsed="false">
      <c r="A101" s="10" t="s">
        <v>420</v>
      </c>
      <c r="B101" s="10" t="s">
        <v>312</v>
      </c>
      <c r="C101" s="10" t="s">
        <v>414</v>
      </c>
      <c r="D101" s="10" t="s">
        <v>421</v>
      </c>
      <c r="E101" s="11" t="s">
        <v>422</v>
      </c>
      <c r="F101" s="10" t="s">
        <v>133</v>
      </c>
      <c r="G101" s="10" t="s">
        <v>134</v>
      </c>
      <c r="H101" s="12" t="str">
        <f aca="false">IF(OR($G101="all",AND(00_はじめに!$B$24="Y",ISNUMBER(SEARCH("traditional",$G101))),AND(00_はじめに!$B$25="Y",ISNUMBER(SEARCH("generative",$G101))),AND(00_はじめに!$B$26="Y",ISNUMBER(SEARCH("ai-agent",$G101))),AND(00_はじめに!$B$27="Y",ISNUMBER(SEARCH("multi-agent",$G101)))),"○","対象外")</f>
        <v>○</v>
      </c>
      <c r="I101" s="13"/>
      <c r="J101" s="14" t="n">
        <v>4</v>
      </c>
      <c r="K101" s="12" t="str">
        <f aca="false">IF(OR($H101="対象外",$I101="",$J101=""),"",$J101-$I101)</f>
        <v/>
      </c>
      <c r="L101" s="14" t="n">
        <v>4</v>
      </c>
      <c r="M101" s="14" t="n">
        <v>3</v>
      </c>
      <c r="N101" s="14" t="n">
        <v>4</v>
      </c>
      <c r="O101" s="14" t="n">
        <v>2</v>
      </c>
      <c r="P101" s="14" t="n">
        <v>3</v>
      </c>
      <c r="Q101" s="14" t="n">
        <v>4</v>
      </c>
      <c r="R101" s="15" t="str">
        <f aca="false">IF(OR($H101="対象外",$K101="",$L101="",$M101="",$N101="",$O101="",$P101="",$Q101=""),"",($K101*$L101*$M101*$N101*$O101*$P101)/$Q101)</f>
        <v/>
      </c>
      <c r="S101" s="12" t="str">
        <f aca="false">IF($H101="対象外","",IF(OR($I101="",$J101=""),"",IF(OR($J101-$I101&gt;0,AND($R101&lt;&gt;"",$R101&gt;=00_はじめに!$B$19)),"○","")))</f>
        <v/>
      </c>
      <c r="T101" s="10" t="str">
        <f aca="false">IFERROR(VLOOKUP($A101,03_質問施策マッピング!$A:$B,2,0),"")</f>
        <v>AIMF-PR-RED-003</v>
      </c>
      <c r="U101" s="10" t="str">
        <f aca="false">IF($T101="","",IFERROR(VLOOKUP($T101,02_施策マスター!$A:$B,2,0),""))</f>
        <v>RAG知識ベースの動的スキャン</v>
      </c>
      <c r="V101" s="10" t="str">
        <f aca="false">IF($R101="","",$R101+(1000-ROW())/1000000)</f>
        <v/>
      </c>
      <c r="W101" s="10" t="str">
        <f aca="false">IF($V101="","",COUNTIF($V$2:$V$208,"&gt;"&amp;$V101)+1)</f>
        <v/>
      </c>
      <c r="X101" s="10" t="s">
        <v>100</v>
      </c>
    </row>
    <row r="102" customFormat="false" ht="39.55" hidden="false" customHeight="false" outlineLevel="0" collapsed="false">
      <c r="A102" s="10" t="s">
        <v>423</v>
      </c>
      <c r="B102" s="10" t="s">
        <v>312</v>
      </c>
      <c r="C102" s="10" t="s">
        <v>414</v>
      </c>
      <c r="D102" s="11" t="s">
        <v>424</v>
      </c>
      <c r="E102" s="11" t="s">
        <v>425</v>
      </c>
      <c r="F102" s="10" t="s">
        <v>133</v>
      </c>
      <c r="G102" s="10" t="s">
        <v>99</v>
      </c>
      <c r="H102" s="12" t="str">
        <f aca="false">IF(OR($G102="all",AND(00_はじめに!$B$24="Y",ISNUMBER(SEARCH("traditional",$G102))),AND(00_はじめに!$B$25="Y",ISNUMBER(SEARCH("generative",$G102))),AND(00_はじめに!$B$26="Y",ISNUMBER(SEARCH("ai-agent",$G102))),AND(00_はじめに!$B$27="Y",ISNUMBER(SEARCH("multi-agent",$G102)))),"○","対象外")</f>
        <v>○</v>
      </c>
      <c r="I102" s="13"/>
      <c r="J102" s="14" t="n">
        <v>3</v>
      </c>
      <c r="K102" s="12" t="str">
        <f aca="false">IF(OR($H102="対象外",$I102="",$J102=""),"",$J102-$I102)</f>
        <v/>
      </c>
      <c r="L102" s="14" t="n">
        <v>4</v>
      </c>
      <c r="M102" s="14" t="n">
        <v>3</v>
      </c>
      <c r="N102" s="14" t="n">
        <v>5</v>
      </c>
      <c r="O102" s="14" t="n">
        <v>2</v>
      </c>
      <c r="P102" s="14" t="n">
        <v>3</v>
      </c>
      <c r="Q102" s="14" t="n">
        <v>4</v>
      </c>
      <c r="R102" s="15" t="str">
        <f aca="false">IF(OR($H102="対象外",$K102="",$L102="",$M102="",$N102="",$O102="",$P102="",$Q102=""),"",($K102*$L102*$M102*$N102*$O102*$P102)/$Q102)</f>
        <v/>
      </c>
      <c r="S102" s="12" t="str">
        <f aca="false">IF($H102="対象外","",IF(OR($I102="",$J102=""),"",IF(OR($J102-$I102&gt;0,AND($R102&lt;&gt;"",$R102&gt;=00_はじめに!$B$19)),"○","")))</f>
        <v/>
      </c>
      <c r="T102" s="10" t="str">
        <f aca="false">IFERROR(VLOOKUP($A102,03_質問施策マッピング!$A:$B,2,0),"")</f>
        <v>AIMF-PR-RED-004</v>
      </c>
      <c r="U102" s="10" t="str">
        <f aca="false">IF($T102="","",IFERROR(VLOOKUP($T102,02_施策マスター!$A:$B,2,0),""))</f>
        <v>リリース前の安全性・セキュリティ評価スイート</v>
      </c>
      <c r="V102" s="10" t="str">
        <f aca="false">IF($R102="","",$R102+(1000-ROW())/1000000)</f>
        <v/>
      </c>
      <c r="W102" s="10" t="str">
        <f aca="false">IF($V102="","",COUNTIF($V$2:$V$208,"&gt;"&amp;$V102)+1)</f>
        <v/>
      </c>
      <c r="X102" s="10" t="s">
        <v>116</v>
      </c>
    </row>
    <row r="103" customFormat="false" ht="39.55" hidden="false" customHeight="false" outlineLevel="0" collapsed="false">
      <c r="A103" s="10" t="s">
        <v>426</v>
      </c>
      <c r="B103" s="10" t="s">
        <v>312</v>
      </c>
      <c r="C103" s="10" t="s">
        <v>414</v>
      </c>
      <c r="D103" s="10" t="s">
        <v>427</v>
      </c>
      <c r="E103" s="11" t="s">
        <v>428</v>
      </c>
      <c r="F103" s="10" t="s">
        <v>133</v>
      </c>
      <c r="G103" s="10" t="s">
        <v>203</v>
      </c>
      <c r="H103" s="12" t="str">
        <f aca="false">IF(OR($G103="all",AND(00_はじめに!$B$24="Y",ISNUMBER(SEARCH("traditional",$G103))),AND(00_はじめに!$B$25="Y",ISNUMBER(SEARCH("generative",$G103))),AND(00_はじめに!$B$26="Y",ISNUMBER(SEARCH("ai-agent",$G103))),AND(00_はじめに!$B$27="Y",ISNUMBER(SEARCH("multi-agent",$G103)))),"○","対象外")</f>
        <v>○</v>
      </c>
      <c r="I103" s="13"/>
      <c r="J103" s="14" t="n">
        <v>3</v>
      </c>
      <c r="K103" s="12" t="str">
        <f aca="false">IF(OR($H103="対象外",$I103="",$J103=""),"",$J103-$I103)</f>
        <v/>
      </c>
      <c r="L103" s="14" t="n">
        <v>4</v>
      </c>
      <c r="M103" s="14" t="n">
        <v>3</v>
      </c>
      <c r="N103" s="14" t="n">
        <v>4</v>
      </c>
      <c r="O103" s="14" t="n">
        <v>2</v>
      </c>
      <c r="P103" s="14" t="n">
        <v>3</v>
      </c>
      <c r="Q103" s="14" t="n">
        <v>4</v>
      </c>
      <c r="R103" s="15" t="str">
        <f aca="false">IF(OR($H103="対象外",$K103="",$L103="",$M103="",$N103="",$O103="",$P103="",$Q103=""),"",($K103*$L103*$M103*$N103*$O103*$P103)/$Q103)</f>
        <v/>
      </c>
      <c r="S103" s="12" t="str">
        <f aca="false">IF($H103="対象外","",IF(OR($I103="",$J103=""),"",IF(OR($J103-$I103&gt;0,AND($R103&lt;&gt;"",$R103&gt;=00_はじめに!$B$19)),"○","")))</f>
        <v/>
      </c>
      <c r="T103" s="10" t="str">
        <f aca="false">IFERROR(VLOOKUP($A103,03_質問施策マッピング!$A:$B,2,0),"")</f>
        <v>AIMF-PR-RED-005</v>
      </c>
      <c r="U103" s="10" t="str">
        <f aca="false">IF($T103="","",IFERROR(VLOOKUP($T103,02_施策マスター!$A:$B,2,0),""))</f>
        <v>CI/CDへの継続的評価（eval）の組み込み</v>
      </c>
      <c r="V103" s="10" t="str">
        <f aca="false">IF($R103="","",$R103+(1000-ROW())/1000000)</f>
        <v/>
      </c>
      <c r="W103" s="10" t="str">
        <f aca="false">IF($V103="","",COUNTIF($V$2:$V$208,"&gt;"&amp;$V103)+1)</f>
        <v/>
      </c>
      <c r="X103" s="10" t="s">
        <v>116</v>
      </c>
    </row>
    <row r="104" customFormat="false" ht="26.85" hidden="false" customHeight="false" outlineLevel="0" collapsed="false">
      <c r="A104" s="10" t="s">
        <v>429</v>
      </c>
      <c r="B104" s="10" t="s">
        <v>312</v>
      </c>
      <c r="C104" s="10" t="s">
        <v>414</v>
      </c>
      <c r="D104" s="10" t="s">
        <v>430</v>
      </c>
      <c r="E104" s="10" t="s">
        <v>431</v>
      </c>
      <c r="F104" s="10" t="s">
        <v>133</v>
      </c>
      <c r="G104" s="10" t="s">
        <v>99</v>
      </c>
      <c r="H104" s="12" t="str">
        <f aca="false">IF(OR($G104="all",AND(00_はじめに!$B$24="Y",ISNUMBER(SEARCH("traditional",$G104))),AND(00_はじめに!$B$25="Y",ISNUMBER(SEARCH("generative",$G104))),AND(00_はじめに!$B$26="Y",ISNUMBER(SEARCH("ai-agent",$G104))),AND(00_はじめに!$B$27="Y",ISNUMBER(SEARCH("multi-agent",$G104)))),"○","対象外")</f>
        <v>○</v>
      </c>
      <c r="I104" s="13"/>
      <c r="J104" s="14" t="n">
        <v>3</v>
      </c>
      <c r="K104" s="12" t="str">
        <f aca="false">IF(OR($H104="対象外",$I104="",$J104=""),"",$J104-$I104)</f>
        <v/>
      </c>
      <c r="L104" s="14" t="n">
        <v>4</v>
      </c>
      <c r="M104" s="14" t="n">
        <v>3</v>
      </c>
      <c r="N104" s="14" t="n">
        <v>4</v>
      </c>
      <c r="O104" s="14" t="n">
        <v>2</v>
      </c>
      <c r="P104" s="14" t="n">
        <v>3</v>
      </c>
      <c r="Q104" s="14" t="n">
        <v>4</v>
      </c>
      <c r="R104" s="15" t="str">
        <f aca="false">IF(OR($H104="対象外",$K104="",$L104="",$M104="",$N104="",$O104="",$P104="",$Q104=""),"",($K104*$L104*$M104*$N104*$O104*$P104)/$Q104)</f>
        <v/>
      </c>
      <c r="S104" s="12" t="str">
        <f aca="false">IF($H104="対象外","",IF(OR($I104="",$J104=""),"",IF(OR($J104-$I104&gt;0,AND($R104&lt;&gt;"",$R104&gt;=00_はじめに!$B$19)),"○","")))</f>
        <v/>
      </c>
      <c r="T104" s="10" t="str">
        <f aca="false">IFERROR(VLOOKUP($A104,03_質問施策マッピング!$A:$B,2,0),"")</f>
        <v>AIMF-PR-RED-006</v>
      </c>
      <c r="U104" s="10" t="str">
        <f aca="false">IF($T104="","",IFERROR(VLOOKUP($T104,02_施策マスター!$A:$B,2,0),""))</f>
        <v>ATLASベースの敵対的演習</v>
      </c>
      <c r="V104" s="10" t="str">
        <f aca="false">IF($R104="","",$R104+(1000-ROW())/1000000)</f>
        <v/>
      </c>
      <c r="W104" s="10" t="str">
        <f aca="false">IF($V104="","",COUNTIF($V$2:$V$208,"&gt;"&amp;$V104)+1)</f>
        <v/>
      </c>
      <c r="X104" s="10" t="s">
        <v>116</v>
      </c>
    </row>
    <row r="105" customFormat="false" ht="39.55" hidden="false" customHeight="false" outlineLevel="0" collapsed="false">
      <c r="A105" s="10" t="s">
        <v>432</v>
      </c>
      <c r="B105" s="10" t="s">
        <v>312</v>
      </c>
      <c r="C105" s="10" t="s">
        <v>433</v>
      </c>
      <c r="D105" s="11" t="s">
        <v>434</v>
      </c>
      <c r="E105" s="11" t="s">
        <v>435</v>
      </c>
      <c r="F105" s="10" t="s">
        <v>133</v>
      </c>
      <c r="G105" s="10" t="s">
        <v>203</v>
      </c>
      <c r="H105" s="12" t="str">
        <f aca="false">IF(OR($G105="all",AND(00_はじめに!$B$24="Y",ISNUMBER(SEARCH("traditional",$G105))),AND(00_はじめに!$B$25="Y",ISNUMBER(SEARCH("generative",$G105))),AND(00_はじめに!$B$26="Y",ISNUMBER(SEARCH("ai-agent",$G105))),AND(00_はじめに!$B$27="Y",ISNUMBER(SEARCH("multi-agent",$G105)))),"○","対象外")</f>
        <v>○</v>
      </c>
      <c r="I105" s="13"/>
      <c r="J105" s="14" t="n">
        <v>4</v>
      </c>
      <c r="K105" s="12" t="str">
        <f aca="false">IF(OR($H105="対象外",$I105="",$J105=""),"",$J105-$I105)</f>
        <v/>
      </c>
      <c r="L105" s="14" t="n">
        <v>5</v>
      </c>
      <c r="M105" s="14" t="n">
        <v>4</v>
      </c>
      <c r="N105" s="14" t="n">
        <v>5</v>
      </c>
      <c r="O105" s="14" t="n">
        <v>2</v>
      </c>
      <c r="P105" s="14" t="n">
        <v>3</v>
      </c>
      <c r="Q105" s="14" t="n">
        <v>4</v>
      </c>
      <c r="R105" s="15" t="str">
        <f aca="false">IF(OR($H105="対象外",$K105="",$L105="",$M105="",$N105="",$O105="",$P105="",$Q105=""),"",($K105*$L105*$M105*$N105*$O105*$P105)/$Q105)</f>
        <v/>
      </c>
      <c r="S105" s="12" t="str">
        <f aca="false">IF($H105="対象外","",IF(OR($I105="",$J105=""),"",IF(OR($J105-$I105&gt;0,AND($R105&lt;&gt;"",$R105&gt;=00_はじめに!$B$19)),"○","")))</f>
        <v/>
      </c>
      <c r="T105" s="10" t="str">
        <f aca="false">IFERROR(VLOOKUP($A105,03_質問施策マッピング!$A:$B,2,0),"")</f>
        <v>AIMF-PR-GRD-001</v>
      </c>
      <c r="U105" s="10" t="str">
        <f aca="false">IF($T105="","",IFERROR(VLOOKUP($T105,02_施策マスター!$A:$B,2,0),""))</f>
        <v>多層インライン・ガードレール（入出力フィルタ）の実装</v>
      </c>
      <c r="V105" s="10" t="str">
        <f aca="false">IF($R105="","",$R105+(1000-ROW())/1000000)</f>
        <v/>
      </c>
      <c r="W105" s="10" t="str">
        <f aca="false">IF($V105="","",COUNTIF($V$2:$V$208,"&gt;"&amp;$V105)+1)</f>
        <v/>
      </c>
      <c r="X105" s="10" t="s">
        <v>100</v>
      </c>
    </row>
    <row r="106" customFormat="false" ht="32.8" hidden="false" customHeight="false" outlineLevel="0" collapsed="false">
      <c r="A106" s="10" t="s">
        <v>436</v>
      </c>
      <c r="B106" s="10" t="s">
        <v>312</v>
      </c>
      <c r="C106" s="10" t="s">
        <v>433</v>
      </c>
      <c r="D106" s="10" t="s">
        <v>437</v>
      </c>
      <c r="E106" s="11" t="s">
        <v>438</v>
      </c>
      <c r="F106" s="10" t="s">
        <v>98</v>
      </c>
      <c r="G106" s="10" t="s">
        <v>166</v>
      </c>
      <c r="H106" s="12" t="str">
        <f aca="false">IF(OR($G106="all",AND(00_はじめに!$B$24="Y",ISNUMBER(SEARCH("traditional",$G106))),AND(00_はじめに!$B$25="Y",ISNUMBER(SEARCH("generative",$G106))),AND(00_はじめに!$B$26="Y",ISNUMBER(SEARCH("ai-agent",$G106))),AND(00_はじめに!$B$27="Y",ISNUMBER(SEARCH("multi-agent",$G106)))),"○","対象外")</f>
        <v>○</v>
      </c>
      <c r="I106" s="13"/>
      <c r="J106" s="14" t="n">
        <v>4</v>
      </c>
      <c r="K106" s="12" t="str">
        <f aca="false">IF(OR($H106="対象外",$I106="",$J106=""),"",$J106-$I106)</f>
        <v/>
      </c>
      <c r="L106" s="14" t="n">
        <v>5</v>
      </c>
      <c r="M106" s="14" t="n">
        <v>4</v>
      </c>
      <c r="N106" s="14" t="n">
        <v>4</v>
      </c>
      <c r="O106" s="14" t="n">
        <v>4</v>
      </c>
      <c r="P106" s="14" t="n">
        <v>3</v>
      </c>
      <c r="Q106" s="14" t="n">
        <v>2</v>
      </c>
      <c r="R106" s="15" t="str">
        <f aca="false">IF(OR($H106="対象外",$K106="",$L106="",$M106="",$N106="",$O106="",$P106="",$Q106=""),"",($K106*$L106*$M106*$N106*$O106*$P106)/$Q106)</f>
        <v/>
      </c>
      <c r="S106" s="12" t="str">
        <f aca="false">IF($H106="対象外","",IF(OR($I106="",$J106=""),"",IF(OR($J106-$I106&gt;0,AND($R106&lt;&gt;"",$R106&gt;=00_はじめに!$B$19)),"○","")))</f>
        <v/>
      </c>
      <c r="T106" s="10" t="str">
        <f aca="false">IFERROR(VLOOKUP($A106,03_質問施策マッピング!$A:$B,2,0),"")</f>
        <v>AIMF-PR-GRD-002</v>
      </c>
      <c r="U106" s="10" t="str">
        <f aca="false">IF($T106="","",IFERROR(VLOOKUP($T106,02_施策マスター!$A:$B,2,0),""))</f>
        <v>AIエージェント実行環境の隔離（サンドボックス化）</v>
      </c>
      <c r="V106" s="10" t="str">
        <f aca="false">IF($R106="","",$R106+(1000-ROW())/1000000)</f>
        <v/>
      </c>
      <c r="W106" s="10" t="str">
        <f aca="false">IF($V106="","",COUNTIF($V$2:$V$208,"&gt;"&amp;$V106)+1)</f>
        <v/>
      </c>
      <c r="X106" s="10" t="s">
        <v>100</v>
      </c>
    </row>
    <row r="107" customFormat="false" ht="26.85" hidden="false" customHeight="false" outlineLevel="0" collapsed="false">
      <c r="A107" s="10" t="s">
        <v>439</v>
      </c>
      <c r="B107" s="10" t="s">
        <v>312</v>
      </c>
      <c r="C107" s="10" t="s">
        <v>433</v>
      </c>
      <c r="D107" s="10" t="s">
        <v>440</v>
      </c>
      <c r="E107" s="11" t="s">
        <v>441</v>
      </c>
      <c r="F107" s="10" t="s">
        <v>133</v>
      </c>
      <c r="G107" s="10" t="s">
        <v>166</v>
      </c>
      <c r="H107" s="12" t="str">
        <f aca="false">IF(OR($G107="all",AND(00_はじめに!$B$24="Y",ISNUMBER(SEARCH("traditional",$G107))),AND(00_はじめに!$B$25="Y",ISNUMBER(SEARCH("generative",$G107))),AND(00_はじめに!$B$26="Y",ISNUMBER(SEARCH("ai-agent",$G107))),AND(00_はじめに!$B$27="Y",ISNUMBER(SEARCH("multi-agent",$G107)))),"○","対象外")</f>
        <v>○</v>
      </c>
      <c r="I107" s="13"/>
      <c r="J107" s="14" t="n">
        <v>4</v>
      </c>
      <c r="K107" s="12" t="str">
        <f aca="false">IF(OR($H107="対象外",$I107="",$J107=""),"",$J107-$I107)</f>
        <v/>
      </c>
      <c r="L107" s="14" t="n">
        <v>5</v>
      </c>
      <c r="M107" s="14" t="n">
        <v>4</v>
      </c>
      <c r="N107" s="14" t="n">
        <v>5</v>
      </c>
      <c r="O107" s="14" t="n">
        <v>2</v>
      </c>
      <c r="P107" s="14" t="n">
        <v>3</v>
      </c>
      <c r="Q107" s="14" t="n">
        <v>4</v>
      </c>
      <c r="R107" s="15" t="str">
        <f aca="false">IF(OR($H107="対象外",$K107="",$L107="",$M107="",$N107="",$O107="",$P107="",$Q107=""),"",($K107*$L107*$M107*$N107*$O107*$P107)/$Q107)</f>
        <v/>
      </c>
      <c r="S107" s="12" t="str">
        <f aca="false">IF($H107="対象外","",IF(OR($I107="",$J107=""),"",IF(OR($J107-$I107&gt;0,AND($R107&lt;&gt;"",$R107&gt;=00_はじめに!$B$19)),"○","")))</f>
        <v/>
      </c>
      <c r="T107" s="10" t="str">
        <f aca="false">IFERROR(VLOOKUP($A107,03_質問施策マッピング!$A:$B,2,0),"")</f>
        <v>AIMF-PR-GRD-003</v>
      </c>
      <c r="U107" s="10" t="str">
        <f aca="false">IF($T107="","",IFERROR(VLOOKUP($T107,02_施策マスター!$A:$B,2,0),""))</f>
        <v>Human-in-the-Loopのシステム強制</v>
      </c>
      <c r="V107" s="10" t="str">
        <f aca="false">IF($R107="","",$R107+(1000-ROW())/1000000)</f>
        <v/>
      </c>
      <c r="W107" s="10" t="str">
        <f aca="false">IF($V107="","",COUNTIF($V$2:$V$208,"&gt;"&amp;$V107)+1)</f>
        <v/>
      </c>
      <c r="X107" s="10" t="s">
        <v>100</v>
      </c>
    </row>
    <row r="108" customFormat="false" ht="39.55" hidden="false" customHeight="false" outlineLevel="0" collapsed="false">
      <c r="A108" s="10" t="s">
        <v>442</v>
      </c>
      <c r="B108" s="10" t="s">
        <v>312</v>
      </c>
      <c r="C108" s="10" t="s">
        <v>433</v>
      </c>
      <c r="D108" s="11" t="s">
        <v>443</v>
      </c>
      <c r="E108" s="11" t="s">
        <v>444</v>
      </c>
      <c r="F108" s="10" t="s">
        <v>133</v>
      </c>
      <c r="G108" s="10" t="s">
        <v>203</v>
      </c>
      <c r="H108" s="12" t="str">
        <f aca="false">IF(OR($G108="all",AND(00_はじめに!$B$24="Y",ISNUMBER(SEARCH("traditional",$G108))),AND(00_はじめに!$B$25="Y",ISNUMBER(SEARCH("generative",$G108))),AND(00_はじめに!$B$26="Y",ISNUMBER(SEARCH("ai-agent",$G108))),AND(00_はじめに!$B$27="Y",ISNUMBER(SEARCH("multi-agent",$G108)))),"○","対象外")</f>
        <v>○</v>
      </c>
      <c r="I108" s="13"/>
      <c r="J108" s="14" t="n">
        <v>3</v>
      </c>
      <c r="K108" s="12" t="str">
        <f aca="false">IF(OR($H108="対象外",$I108="",$J108=""),"",$J108-$I108)</f>
        <v/>
      </c>
      <c r="L108" s="14" t="n">
        <v>5</v>
      </c>
      <c r="M108" s="14" t="n">
        <v>4</v>
      </c>
      <c r="N108" s="14" t="n">
        <v>4</v>
      </c>
      <c r="O108" s="14" t="n">
        <v>2</v>
      </c>
      <c r="P108" s="14" t="n">
        <v>3</v>
      </c>
      <c r="Q108" s="14" t="n">
        <v>4</v>
      </c>
      <c r="R108" s="15" t="str">
        <f aca="false">IF(OR($H108="対象外",$K108="",$L108="",$M108="",$N108="",$O108="",$P108="",$Q108=""),"",($K108*$L108*$M108*$N108*$O108*$P108)/$Q108)</f>
        <v/>
      </c>
      <c r="S108" s="12" t="str">
        <f aca="false">IF($H108="対象外","",IF(OR($I108="",$J108=""),"",IF(OR($J108-$I108&gt;0,AND($R108&lt;&gt;"",$R108&gt;=00_はじめに!$B$19)),"○","")))</f>
        <v/>
      </c>
      <c r="T108" s="10" t="str">
        <f aca="false">IFERROR(VLOOKUP($A108,03_質問施策マッピング!$A:$B,2,0),"")</f>
        <v>AIMF-PR-GRD-004</v>
      </c>
      <c r="U108" s="10" t="str">
        <f aca="false">IF($T108="","",IFERROR(VLOOKUP($T108,02_施策マスター!$A:$B,2,0),""))</f>
        <v>出力の安全な取扱い（Improper Output Handling対策）</v>
      </c>
      <c r="V108" s="10" t="str">
        <f aca="false">IF($R108="","",$R108+(1000-ROW())/1000000)</f>
        <v/>
      </c>
      <c r="W108" s="10" t="str">
        <f aca="false">IF($V108="","",COUNTIF($V$2:$V$208,"&gt;"&amp;$V108)+1)</f>
        <v/>
      </c>
      <c r="X108" s="10" t="s">
        <v>116</v>
      </c>
    </row>
    <row r="109" customFormat="false" ht="26.85" hidden="false" customHeight="false" outlineLevel="0" collapsed="false">
      <c r="A109" s="10" t="s">
        <v>445</v>
      </c>
      <c r="B109" s="10" t="s">
        <v>312</v>
      </c>
      <c r="C109" s="10" t="s">
        <v>433</v>
      </c>
      <c r="D109" s="11" t="s">
        <v>446</v>
      </c>
      <c r="E109" s="11" t="s">
        <v>447</v>
      </c>
      <c r="F109" s="10" t="s">
        <v>133</v>
      </c>
      <c r="G109" s="10" t="s">
        <v>233</v>
      </c>
      <c r="H109" s="12" t="str">
        <f aca="false">IF(OR($G109="all",AND(00_はじめに!$B$24="Y",ISNUMBER(SEARCH("traditional",$G109))),AND(00_はじめに!$B$25="Y",ISNUMBER(SEARCH("generative",$G109))),AND(00_はじめに!$B$26="Y",ISNUMBER(SEARCH("ai-agent",$G109))),AND(00_はじめに!$B$27="Y",ISNUMBER(SEARCH("multi-agent",$G109)))),"○","対象外")</f>
        <v>○</v>
      </c>
      <c r="I109" s="13"/>
      <c r="J109" s="14" t="n">
        <v>3</v>
      </c>
      <c r="K109" s="12" t="str">
        <f aca="false">IF(OR($H109="対象外",$I109="",$J109=""),"",$J109-$I109)</f>
        <v/>
      </c>
      <c r="L109" s="14" t="n">
        <v>5</v>
      </c>
      <c r="M109" s="14" t="n">
        <v>4</v>
      </c>
      <c r="N109" s="14" t="n">
        <v>4</v>
      </c>
      <c r="O109" s="14" t="n">
        <v>2</v>
      </c>
      <c r="P109" s="14" t="n">
        <v>3</v>
      </c>
      <c r="Q109" s="14" t="n">
        <v>4</v>
      </c>
      <c r="R109" s="15" t="str">
        <f aca="false">IF(OR($H109="対象外",$K109="",$L109="",$M109="",$N109="",$O109="",$P109="",$Q109=""),"",($K109*$L109*$M109*$N109*$O109*$P109)/$Q109)</f>
        <v/>
      </c>
      <c r="S109" s="12" t="str">
        <f aca="false">IF($H109="対象外","",IF(OR($I109="",$J109=""),"",IF(OR($J109-$I109&gt;0,AND($R109&lt;&gt;"",$R109&gt;=00_はじめに!$B$19)),"○","")))</f>
        <v/>
      </c>
      <c r="T109" s="10" t="str">
        <f aca="false">IFERROR(VLOOKUP($A109,03_質問施策マッピング!$A:$B,2,0),"")</f>
        <v>AIMF-PR-GRD-005</v>
      </c>
      <c r="U109" s="10" t="str">
        <f aca="false">IF($T109="","",IFERROR(VLOOKUP($T109,02_施策マスター!$A:$B,2,0),""))</f>
        <v>構造化出力・スキーマ検証の強制</v>
      </c>
      <c r="V109" s="10" t="str">
        <f aca="false">IF($R109="","",$R109+(1000-ROW())/1000000)</f>
        <v/>
      </c>
      <c r="W109" s="10" t="str">
        <f aca="false">IF($V109="","",COUNTIF($V$2:$V$208,"&gt;"&amp;$V109)+1)</f>
        <v/>
      </c>
      <c r="X109" s="10" t="s">
        <v>116</v>
      </c>
    </row>
    <row r="110" customFormat="false" ht="26.85" hidden="false" customHeight="false" outlineLevel="0" collapsed="false">
      <c r="A110" s="10" t="s">
        <v>448</v>
      </c>
      <c r="B110" s="10" t="s">
        <v>312</v>
      </c>
      <c r="C110" s="10" t="s">
        <v>433</v>
      </c>
      <c r="D110" s="11" t="s">
        <v>449</v>
      </c>
      <c r="E110" s="11" t="s">
        <v>450</v>
      </c>
      <c r="F110" s="10" t="s">
        <v>133</v>
      </c>
      <c r="G110" s="10" t="s">
        <v>233</v>
      </c>
      <c r="H110" s="12" t="str">
        <f aca="false">IF(OR($G110="all",AND(00_はじめに!$B$24="Y",ISNUMBER(SEARCH("traditional",$G110))),AND(00_はじめに!$B$25="Y",ISNUMBER(SEARCH("generative",$G110))),AND(00_はじめに!$B$26="Y",ISNUMBER(SEARCH("ai-agent",$G110))),AND(00_はじめに!$B$27="Y",ISNUMBER(SEARCH("multi-agent",$G110)))),"○","対象外")</f>
        <v>○</v>
      </c>
      <c r="I110" s="13"/>
      <c r="J110" s="14" t="n">
        <v>3</v>
      </c>
      <c r="K110" s="12" t="str">
        <f aca="false">IF(OR($H110="対象外",$I110="",$J110=""),"",$J110-$I110)</f>
        <v/>
      </c>
      <c r="L110" s="14" t="n">
        <v>5</v>
      </c>
      <c r="M110" s="14" t="n">
        <v>4</v>
      </c>
      <c r="N110" s="14" t="n">
        <v>4</v>
      </c>
      <c r="O110" s="14" t="n">
        <v>2</v>
      </c>
      <c r="P110" s="14" t="n">
        <v>3</v>
      </c>
      <c r="Q110" s="14" t="n">
        <v>4</v>
      </c>
      <c r="R110" s="15" t="str">
        <f aca="false">IF(OR($H110="対象外",$K110="",$L110="",$M110="",$N110="",$O110="",$P110="",$Q110=""),"",($K110*$L110*$M110*$N110*$O110*$P110)/$Q110)</f>
        <v/>
      </c>
      <c r="S110" s="12" t="str">
        <f aca="false">IF($H110="対象外","",IF(OR($I110="",$J110=""),"",IF(OR($J110-$I110&gt;0,AND($R110&lt;&gt;"",$R110&gt;=00_はじめに!$B$19)),"○","")))</f>
        <v/>
      </c>
      <c r="T110" s="10" t="str">
        <f aca="false">IFERROR(VLOOKUP($A110,03_質問施策マッピング!$A:$B,2,0),"")</f>
        <v>AIMF-PR-GRD-006</v>
      </c>
      <c r="U110" s="10" t="str">
        <f aca="false">IF($T110="","",IFERROR(VLOOKUP($T110,02_施策マスター!$A:$B,2,0),""))</f>
        <v>過剰な自律性（Excessive Agency）の制限</v>
      </c>
      <c r="V110" s="10" t="str">
        <f aca="false">IF($R110="","",$R110+(1000-ROW())/1000000)</f>
        <v/>
      </c>
      <c r="W110" s="10" t="str">
        <f aca="false">IF($V110="","",COUNTIF($V$2:$V$208,"&gt;"&amp;$V110)+1)</f>
        <v/>
      </c>
      <c r="X110" s="10" t="s">
        <v>116</v>
      </c>
    </row>
    <row r="111" customFormat="false" ht="26.85" hidden="false" customHeight="false" outlineLevel="0" collapsed="false">
      <c r="A111" s="10" t="s">
        <v>451</v>
      </c>
      <c r="B111" s="10" t="s">
        <v>312</v>
      </c>
      <c r="C111" s="10" t="s">
        <v>433</v>
      </c>
      <c r="D111" s="10" t="s">
        <v>452</v>
      </c>
      <c r="E111" s="10" t="s">
        <v>453</v>
      </c>
      <c r="F111" s="10" t="s">
        <v>133</v>
      </c>
      <c r="G111" s="10" t="s">
        <v>134</v>
      </c>
      <c r="H111" s="12" t="str">
        <f aca="false">IF(OR($G111="all",AND(00_はじめに!$B$24="Y",ISNUMBER(SEARCH("traditional",$G111))),AND(00_はじめに!$B$25="Y",ISNUMBER(SEARCH("generative",$G111))),AND(00_はじめに!$B$26="Y",ISNUMBER(SEARCH("ai-agent",$G111))),AND(00_はじめに!$B$27="Y",ISNUMBER(SEARCH("multi-agent",$G111)))),"○","対象外")</f>
        <v>○</v>
      </c>
      <c r="I111" s="13"/>
      <c r="J111" s="14" t="n">
        <v>3</v>
      </c>
      <c r="K111" s="12" t="str">
        <f aca="false">IF(OR($H111="対象外",$I111="",$J111=""),"",$J111-$I111)</f>
        <v/>
      </c>
      <c r="L111" s="14" t="n">
        <v>5</v>
      </c>
      <c r="M111" s="14" t="n">
        <v>4</v>
      </c>
      <c r="N111" s="14" t="n">
        <v>4</v>
      </c>
      <c r="O111" s="14" t="n">
        <v>2</v>
      </c>
      <c r="P111" s="14" t="n">
        <v>3</v>
      </c>
      <c r="Q111" s="14" t="n">
        <v>4</v>
      </c>
      <c r="R111" s="15" t="str">
        <f aca="false">IF(OR($H111="対象外",$K111="",$L111="",$M111="",$N111="",$O111="",$P111="",$Q111=""),"",($K111*$L111*$M111*$N111*$O111*$P111)/$Q111)</f>
        <v/>
      </c>
      <c r="S111" s="12" t="str">
        <f aca="false">IF($H111="対象外","",IF(OR($I111="",$J111=""),"",IF(OR($J111-$I111&gt;0,AND($R111&lt;&gt;"",$R111&gt;=00_はじめに!$B$19)),"○","")))</f>
        <v/>
      </c>
      <c r="T111" s="10" t="str">
        <f aca="false">IFERROR(VLOOKUP($A111,03_質問施策マッピング!$A:$B,2,0),"")</f>
        <v>AIMF-PR-GRD-007</v>
      </c>
      <c r="U111" s="10" t="str">
        <f aca="false">IF($T111="","",IFERROR(VLOOKUP($T111,02_施策マスター!$A:$B,2,0),""))</f>
        <v>RAGコンテキストの検証と出典の強制</v>
      </c>
      <c r="V111" s="10" t="str">
        <f aca="false">IF($R111="","",$R111+(1000-ROW())/1000000)</f>
        <v/>
      </c>
      <c r="W111" s="10" t="str">
        <f aca="false">IF($V111="","",COUNTIF($V$2:$V$208,"&gt;"&amp;$V111)+1)</f>
        <v/>
      </c>
      <c r="X111" s="10" t="s">
        <v>116</v>
      </c>
    </row>
    <row r="112" customFormat="false" ht="39.55" hidden="false" customHeight="false" outlineLevel="0" collapsed="false">
      <c r="A112" s="10" t="s">
        <v>454</v>
      </c>
      <c r="B112" s="10" t="s">
        <v>312</v>
      </c>
      <c r="C112" s="10" t="s">
        <v>433</v>
      </c>
      <c r="D112" s="11" t="s">
        <v>455</v>
      </c>
      <c r="E112" s="11" t="s">
        <v>456</v>
      </c>
      <c r="F112" s="10" t="s">
        <v>133</v>
      </c>
      <c r="G112" s="10" t="s">
        <v>233</v>
      </c>
      <c r="H112" s="12" t="str">
        <f aca="false">IF(OR($G112="all",AND(00_はじめに!$B$24="Y",ISNUMBER(SEARCH("traditional",$G112))),AND(00_はじめに!$B$25="Y",ISNUMBER(SEARCH("generative",$G112))),AND(00_はじめに!$B$26="Y",ISNUMBER(SEARCH("ai-agent",$G112))),AND(00_はじめに!$B$27="Y",ISNUMBER(SEARCH("multi-agent",$G112)))),"○","対象外")</f>
        <v>○</v>
      </c>
      <c r="I112" s="13"/>
      <c r="J112" s="14" t="n">
        <v>3</v>
      </c>
      <c r="K112" s="12" t="str">
        <f aca="false">IF(OR($H112="対象外",$I112="",$J112=""),"",$J112-$I112)</f>
        <v/>
      </c>
      <c r="L112" s="14" t="n">
        <v>5</v>
      </c>
      <c r="M112" s="14" t="n">
        <v>4</v>
      </c>
      <c r="N112" s="14" t="n">
        <v>4</v>
      </c>
      <c r="O112" s="14" t="n">
        <v>2</v>
      </c>
      <c r="P112" s="14" t="n">
        <v>3</v>
      </c>
      <c r="Q112" s="14" t="n">
        <v>4</v>
      </c>
      <c r="R112" s="15" t="str">
        <f aca="false">IF(OR($H112="対象外",$K112="",$L112="",$M112="",$N112="",$O112="",$P112="",$Q112=""),"",($K112*$L112*$M112*$N112*$O112*$P112)/$Q112)</f>
        <v/>
      </c>
      <c r="S112" s="12" t="str">
        <f aca="false">IF($H112="対象外","",IF(OR($I112="",$J112=""),"",IF(OR($J112-$I112&gt;0,AND($R112&lt;&gt;"",$R112&gt;=00_はじめに!$B$19)),"○","")))</f>
        <v/>
      </c>
      <c r="T112" s="10" t="str">
        <f aca="false">IFERROR(VLOOKUP($A112,03_質問施策マッピング!$A:$B,2,0),"")</f>
        <v>AIMF-PR-GRD-008</v>
      </c>
      <c r="U112" s="10" t="str">
        <f aca="false">IF($T112="","",IFERROR(VLOOKUP($T112,02_施策マスター!$A:$B,2,0),""))</f>
        <v>リソース消費上限の強制（Unbounded Consumption対策）</v>
      </c>
      <c r="V112" s="10" t="str">
        <f aca="false">IF($R112="","",$R112+(1000-ROW())/1000000)</f>
        <v/>
      </c>
      <c r="W112" s="10" t="str">
        <f aca="false">IF($V112="","",COUNTIF($V$2:$V$208,"&gt;"&amp;$V112)+1)</f>
        <v/>
      </c>
      <c r="X112" s="10" t="s">
        <v>116</v>
      </c>
    </row>
    <row r="113" customFormat="false" ht="39.55" hidden="false" customHeight="false" outlineLevel="0" collapsed="false">
      <c r="A113" s="10" t="s">
        <v>457</v>
      </c>
      <c r="B113" s="10" t="s">
        <v>312</v>
      </c>
      <c r="C113" s="10" t="s">
        <v>458</v>
      </c>
      <c r="D113" s="11" t="s">
        <v>459</v>
      </c>
      <c r="E113" s="11" t="s">
        <v>460</v>
      </c>
      <c r="F113" s="10" t="s">
        <v>133</v>
      </c>
      <c r="G113" s="10" t="s">
        <v>166</v>
      </c>
      <c r="H113" s="12" t="str">
        <f aca="false">IF(OR($G113="all",AND(00_はじめに!$B$24="Y",ISNUMBER(SEARCH("traditional",$G113))),AND(00_はじめに!$B$25="Y",ISNUMBER(SEARCH("generative",$G113))),AND(00_はじめに!$B$26="Y",ISNUMBER(SEARCH("ai-agent",$G113))),AND(00_はじめに!$B$27="Y",ISNUMBER(SEARCH("multi-agent",$G113)))),"○","対象外")</f>
        <v>○</v>
      </c>
      <c r="I113" s="13"/>
      <c r="J113" s="14" t="n">
        <v>4</v>
      </c>
      <c r="K113" s="12" t="str">
        <f aca="false">IF(OR($H113="対象外",$I113="",$J113=""),"",$J113-$I113)</f>
        <v/>
      </c>
      <c r="L113" s="14" t="n">
        <v>5</v>
      </c>
      <c r="M113" s="14" t="n">
        <v>4</v>
      </c>
      <c r="N113" s="14" t="n">
        <v>4</v>
      </c>
      <c r="O113" s="14" t="n">
        <v>2</v>
      </c>
      <c r="P113" s="14" t="n">
        <v>3</v>
      </c>
      <c r="Q113" s="14" t="n">
        <v>4</v>
      </c>
      <c r="R113" s="15" t="str">
        <f aca="false">IF(OR($H113="対象外",$K113="",$L113="",$M113="",$N113="",$O113="",$P113="",$Q113=""),"",($K113*$L113*$M113*$N113*$O113*$P113)/$Q113)</f>
        <v/>
      </c>
      <c r="S113" s="12" t="str">
        <f aca="false">IF($H113="対象外","",IF(OR($I113="",$J113=""),"",IF(OR($J113-$I113&gt;0,AND($R113&lt;&gt;"",$R113&gt;=00_はじめに!$B$19)),"○","")))</f>
        <v/>
      </c>
      <c r="T113" s="10" t="str">
        <f aca="false">IFERROR(VLOOKUP($A113,03_質問施策マッピング!$A:$B,2,0),"")</f>
        <v>AIMF-PR-AGT-001</v>
      </c>
      <c r="U113" s="10" t="str">
        <f aca="false">IF($T113="","",IFERROR(VLOOKUP($T113,02_施策マスター!$A:$B,2,0),""))</f>
        <v>エージェントID管理・相互認証</v>
      </c>
      <c r="V113" s="10" t="str">
        <f aca="false">IF($R113="","",$R113+(1000-ROW())/1000000)</f>
        <v/>
      </c>
      <c r="W113" s="10" t="str">
        <f aca="false">IF($V113="","",COUNTIF($V$2:$V$208,"&gt;"&amp;$V113)+1)</f>
        <v/>
      </c>
      <c r="X113" s="10" t="s">
        <v>100</v>
      </c>
    </row>
    <row r="114" customFormat="false" ht="52.2" hidden="false" customHeight="false" outlineLevel="0" collapsed="false">
      <c r="A114" s="10" t="s">
        <v>461</v>
      </c>
      <c r="B114" s="10" t="s">
        <v>312</v>
      </c>
      <c r="C114" s="10" t="s">
        <v>458</v>
      </c>
      <c r="D114" s="10" t="s">
        <v>462</v>
      </c>
      <c r="E114" s="10" t="s">
        <v>463</v>
      </c>
      <c r="F114" s="10" t="s">
        <v>133</v>
      </c>
      <c r="G114" s="10" t="s">
        <v>166</v>
      </c>
      <c r="H114" s="12" t="str">
        <f aca="false">IF(OR($G114="all",AND(00_はじめに!$B$24="Y",ISNUMBER(SEARCH("traditional",$G114))),AND(00_はじめに!$B$25="Y",ISNUMBER(SEARCH("generative",$G114))),AND(00_はじめに!$B$26="Y",ISNUMBER(SEARCH("ai-agent",$G114))),AND(00_はじめに!$B$27="Y",ISNUMBER(SEARCH("multi-agent",$G114)))),"○","対象外")</f>
        <v>○</v>
      </c>
      <c r="I114" s="13"/>
      <c r="J114" s="14" t="n">
        <v>4</v>
      </c>
      <c r="K114" s="12" t="str">
        <f aca="false">IF(OR($H114="対象外",$I114="",$J114=""),"",$J114-$I114)</f>
        <v/>
      </c>
      <c r="L114" s="14" t="n">
        <v>5</v>
      </c>
      <c r="M114" s="14" t="n">
        <v>4</v>
      </c>
      <c r="N114" s="14" t="n">
        <v>4</v>
      </c>
      <c r="O114" s="14" t="n">
        <v>2</v>
      </c>
      <c r="P114" s="14" t="n">
        <v>3</v>
      </c>
      <c r="Q114" s="14" t="n">
        <v>4</v>
      </c>
      <c r="R114" s="15" t="str">
        <f aca="false">IF(OR($H114="対象外",$K114="",$L114="",$M114="",$N114="",$O114="",$P114="",$Q114=""),"",($K114*$L114*$M114*$N114*$O114*$P114)/$Q114)</f>
        <v/>
      </c>
      <c r="S114" s="12" t="str">
        <f aca="false">IF($H114="対象外","",IF(OR($I114="",$J114=""),"",IF(OR($J114-$I114&gt;0,AND($R114&lt;&gt;"",$R114&gt;=00_はじめに!$B$19)),"○","")))</f>
        <v/>
      </c>
      <c r="T114" s="10" t="str">
        <f aca="false">IFERROR(VLOOKUP($A114,03_質問施策マッピング!$A:$B,2,0),"")</f>
        <v>AIMF-PR-AGT-002</v>
      </c>
      <c r="U114" s="10" t="str">
        <f aca="false">IF($T114="","",IFERROR(VLOOKUP($T114,02_施策マスター!$A:$B,2,0),""))</f>
        <v>MCP等ツール接続プロトコルのセキュリティ</v>
      </c>
      <c r="V114" s="10" t="str">
        <f aca="false">IF($R114="","",$R114+(1000-ROW())/1000000)</f>
        <v/>
      </c>
      <c r="W114" s="10" t="str">
        <f aca="false">IF($V114="","",COUNTIF($V$2:$V$208,"&gt;"&amp;$V114)+1)</f>
        <v/>
      </c>
      <c r="X114" s="10" t="s">
        <v>100</v>
      </c>
    </row>
    <row r="115" customFormat="false" ht="39.55" hidden="false" customHeight="false" outlineLevel="0" collapsed="false">
      <c r="A115" s="10" t="s">
        <v>464</v>
      </c>
      <c r="B115" s="10" t="s">
        <v>312</v>
      </c>
      <c r="C115" s="10" t="s">
        <v>458</v>
      </c>
      <c r="D115" s="11" t="s">
        <v>465</v>
      </c>
      <c r="E115" s="11" t="s">
        <v>466</v>
      </c>
      <c r="F115" s="10" t="s">
        <v>133</v>
      </c>
      <c r="G115" s="10" t="s">
        <v>166</v>
      </c>
      <c r="H115" s="12" t="str">
        <f aca="false">IF(OR($G115="all",AND(00_はじめに!$B$24="Y",ISNUMBER(SEARCH("traditional",$G115))),AND(00_はじめに!$B$25="Y",ISNUMBER(SEARCH("generative",$G115))),AND(00_はじめに!$B$26="Y",ISNUMBER(SEARCH("ai-agent",$G115))),AND(00_はじめに!$B$27="Y",ISNUMBER(SEARCH("multi-agent",$G115)))),"○","対象外")</f>
        <v>○</v>
      </c>
      <c r="I115" s="13"/>
      <c r="J115" s="14" t="n">
        <v>4</v>
      </c>
      <c r="K115" s="12" t="str">
        <f aca="false">IF(OR($H115="対象外",$I115="",$J115=""),"",$J115-$I115)</f>
        <v/>
      </c>
      <c r="L115" s="14" t="n">
        <v>5</v>
      </c>
      <c r="M115" s="14" t="n">
        <v>4</v>
      </c>
      <c r="N115" s="14" t="n">
        <v>4</v>
      </c>
      <c r="O115" s="14" t="n">
        <v>2</v>
      </c>
      <c r="P115" s="14" t="n">
        <v>3</v>
      </c>
      <c r="Q115" s="14" t="n">
        <v>4</v>
      </c>
      <c r="R115" s="15" t="str">
        <f aca="false">IF(OR($H115="対象外",$K115="",$L115="",$M115="",$N115="",$O115="",$P115="",$Q115=""),"",($K115*$L115*$M115*$N115*$O115*$P115)/$Q115)</f>
        <v/>
      </c>
      <c r="S115" s="12" t="str">
        <f aca="false">IF($H115="対象外","",IF(OR($I115="",$J115=""),"",IF(OR($J115-$I115&gt;0,AND($R115&lt;&gt;"",$R115&gt;=00_はじめに!$B$19)),"○","")))</f>
        <v/>
      </c>
      <c r="T115" s="10" t="str">
        <f aca="false">IFERROR(VLOOKUP($A115,03_質問施策マッピング!$A:$B,2,0),"")</f>
        <v>AIMF-PR-AGT-003</v>
      </c>
      <c r="U115" s="10" t="str">
        <f aca="false">IF($T115="","",IFERROR(VLOOKUP($T115,02_施策マスター!$A:$B,2,0),""))</f>
        <v>エージェントメモリ（長期記憶）の保護と汚染対策</v>
      </c>
      <c r="V115" s="10" t="str">
        <f aca="false">IF($R115="","",$R115+(1000-ROW())/1000000)</f>
        <v/>
      </c>
      <c r="W115" s="10" t="str">
        <f aca="false">IF($V115="","",COUNTIF($V$2:$V$208,"&gt;"&amp;$V115)+1)</f>
        <v/>
      </c>
      <c r="X115" s="10" t="s">
        <v>100</v>
      </c>
    </row>
    <row r="116" customFormat="false" ht="39.55" hidden="false" customHeight="false" outlineLevel="0" collapsed="false">
      <c r="A116" s="10" t="s">
        <v>467</v>
      </c>
      <c r="B116" s="10" t="s">
        <v>312</v>
      </c>
      <c r="C116" s="10" t="s">
        <v>458</v>
      </c>
      <c r="D116" s="11" t="s">
        <v>468</v>
      </c>
      <c r="E116" s="11" t="s">
        <v>469</v>
      </c>
      <c r="F116" s="10" t="s">
        <v>133</v>
      </c>
      <c r="G116" s="10" t="s">
        <v>166</v>
      </c>
      <c r="H116" s="12" t="str">
        <f aca="false">IF(OR($G116="all",AND(00_はじめに!$B$24="Y",ISNUMBER(SEARCH("traditional",$G116))),AND(00_はじめに!$B$25="Y",ISNUMBER(SEARCH("generative",$G116))),AND(00_はじめに!$B$26="Y",ISNUMBER(SEARCH("ai-agent",$G116))),AND(00_はじめに!$B$27="Y",ISNUMBER(SEARCH("multi-agent",$G116)))),"○","対象外")</f>
        <v>○</v>
      </c>
      <c r="I116" s="13"/>
      <c r="J116" s="14" t="n">
        <v>3</v>
      </c>
      <c r="K116" s="12" t="str">
        <f aca="false">IF(OR($H116="対象外",$I116="",$J116=""),"",$J116-$I116)</f>
        <v/>
      </c>
      <c r="L116" s="14" t="n">
        <v>5</v>
      </c>
      <c r="M116" s="14" t="n">
        <v>4</v>
      </c>
      <c r="N116" s="14" t="n">
        <v>4</v>
      </c>
      <c r="O116" s="14" t="n">
        <v>2</v>
      </c>
      <c r="P116" s="14" t="n">
        <v>3</v>
      </c>
      <c r="Q116" s="14" t="n">
        <v>4</v>
      </c>
      <c r="R116" s="15" t="str">
        <f aca="false">IF(OR($H116="対象外",$K116="",$L116="",$M116="",$N116="",$O116="",$P116="",$Q116=""),"",($K116*$L116*$M116*$N116*$O116*$P116)/$Q116)</f>
        <v/>
      </c>
      <c r="S116" s="12" t="str">
        <f aca="false">IF($H116="対象外","",IF(OR($I116="",$J116=""),"",IF(OR($J116-$I116&gt;0,AND($R116&lt;&gt;"",$R116&gt;=00_はじめに!$B$19)),"○","")))</f>
        <v/>
      </c>
      <c r="T116" s="10" t="str">
        <f aca="false">IFERROR(VLOOKUP($A116,03_質問施策マッピング!$A:$B,2,0),"")</f>
        <v>AIMF-PR-AGT-004</v>
      </c>
      <c r="U116" s="10" t="str">
        <f aca="false">IF($T116="","",IFERROR(VLOOKUP($T116,02_施策マスター!$A:$B,2,0),""))</f>
        <v>最小エージェンシー原則（行動範囲・目標境界の定義）</v>
      </c>
      <c r="V116" s="10" t="str">
        <f aca="false">IF($R116="","",$R116+(1000-ROW())/1000000)</f>
        <v/>
      </c>
      <c r="W116" s="10" t="str">
        <f aca="false">IF($V116="","",COUNTIF($V$2:$V$208,"&gt;"&amp;$V116)+1)</f>
        <v/>
      </c>
      <c r="X116" s="10" t="s">
        <v>116</v>
      </c>
    </row>
    <row r="117" customFormat="false" ht="39.55" hidden="false" customHeight="false" outlineLevel="0" collapsed="false">
      <c r="A117" s="10" t="s">
        <v>470</v>
      </c>
      <c r="B117" s="10" t="s">
        <v>312</v>
      </c>
      <c r="C117" s="10" t="s">
        <v>458</v>
      </c>
      <c r="D117" s="11" t="s">
        <v>471</v>
      </c>
      <c r="E117" s="11" t="s">
        <v>472</v>
      </c>
      <c r="F117" s="10" t="s">
        <v>133</v>
      </c>
      <c r="G117" s="10" t="s">
        <v>166</v>
      </c>
      <c r="H117" s="12" t="str">
        <f aca="false">IF(OR($G117="all",AND(00_はじめに!$B$24="Y",ISNUMBER(SEARCH("traditional",$G117))),AND(00_はじめに!$B$25="Y",ISNUMBER(SEARCH("generative",$G117))),AND(00_はじめに!$B$26="Y",ISNUMBER(SEARCH("ai-agent",$G117))),AND(00_はじめに!$B$27="Y",ISNUMBER(SEARCH("multi-agent",$G117)))),"○","対象外")</f>
        <v>○</v>
      </c>
      <c r="I117" s="13"/>
      <c r="J117" s="14" t="n">
        <v>3</v>
      </c>
      <c r="K117" s="12" t="str">
        <f aca="false">IF(OR($H117="対象外",$I117="",$J117=""),"",$J117-$I117)</f>
        <v/>
      </c>
      <c r="L117" s="14" t="n">
        <v>5</v>
      </c>
      <c r="M117" s="14" t="n">
        <v>4</v>
      </c>
      <c r="N117" s="14" t="n">
        <v>4</v>
      </c>
      <c r="O117" s="14" t="n">
        <v>2</v>
      </c>
      <c r="P117" s="14" t="n">
        <v>3</v>
      </c>
      <c r="Q117" s="14" t="n">
        <v>4</v>
      </c>
      <c r="R117" s="15" t="str">
        <f aca="false">IF(OR($H117="対象外",$K117="",$L117="",$M117="",$N117="",$O117="",$P117="",$Q117=""),"",($K117*$L117*$M117*$N117*$O117*$P117)/$Q117)</f>
        <v/>
      </c>
      <c r="S117" s="12" t="str">
        <f aca="false">IF($H117="対象外","",IF(OR($I117="",$J117=""),"",IF(OR($J117-$I117&gt;0,AND($R117&lt;&gt;"",$R117&gt;=00_はじめに!$B$19)),"○","")))</f>
        <v/>
      </c>
      <c r="T117" s="10" t="str">
        <f aca="false">IFERROR(VLOOKUP($A117,03_質問施策マッピング!$A:$B,2,0),"")</f>
        <v>AIMF-PR-AGT-005</v>
      </c>
      <c r="U117" s="10" t="str">
        <f aca="false">IF($T117="","",IFERROR(VLOOKUP($T117,02_施策マスター!$A:$B,2,0),""))</f>
        <v>ツールACLマトリクスによる呼出可否管理</v>
      </c>
      <c r="V117" s="10" t="str">
        <f aca="false">IF($R117="","",$R117+(1000-ROW())/1000000)</f>
        <v/>
      </c>
      <c r="W117" s="10" t="str">
        <f aca="false">IF($V117="","",COUNTIF($V$2:$V$208,"&gt;"&amp;$V117)+1)</f>
        <v/>
      </c>
      <c r="X117" s="10" t="s">
        <v>116</v>
      </c>
    </row>
    <row r="118" customFormat="false" ht="26.85" hidden="false" customHeight="false" outlineLevel="0" collapsed="false">
      <c r="A118" s="10" t="s">
        <v>473</v>
      </c>
      <c r="B118" s="10" t="s">
        <v>312</v>
      </c>
      <c r="C118" s="10" t="s">
        <v>458</v>
      </c>
      <c r="D118" s="11" t="s">
        <v>474</v>
      </c>
      <c r="E118" s="11" t="s">
        <v>475</v>
      </c>
      <c r="F118" s="10" t="s">
        <v>133</v>
      </c>
      <c r="G118" s="10" t="s">
        <v>166</v>
      </c>
      <c r="H118" s="12" t="str">
        <f aca="false">IF(OR($G118="all",AND(00_はじめに!$B$24="Y",ISNUMBER(SEARCH("traditional",$G118))),AND(00_はじめに!$B$25="Y",ISNUMBER(SEARCH("generative",$G118))),AND(00_はじめに!$B$26="Y",ISNUMBER(SEARCH("ai-agent",$G118))),AND(00_はじめに!$B$27="Y",ISNUMBER(SEARCH("multi-agent",$G118)))),"○","対象外")</f>
        <v>○</v>
      </c>
      <c r="I118" s="13"/>
      <c r="J118" s="14" t="n">
        <v>3</v>
      </c>
      <c r="K118" s="12" t="str">
        <f aca="false">IF(OR($H118="対象外",$I118="",$J118=""),"",$J118-$I118)</f>
        <v/>
      </c>
      <c r="L118" s="14" t="n">
        <v>5</v>
      </c>
      <c r="M118" s="14" t="n">
        <v>4</v>
      </c>
      <c r="N118" s="14" t="n">
        <v>4</v>
      </c>
      <c r="O118" s="14" t="n">
        <v>2</v>
      </c>
      <c r="P118" s="14" t="n">
        <v>3</v>
      </c>
      <c r="Q118" s="14" t="n">
        <v>4</v>
      </c>
      <c r="R118" s="15" t="str">
        <f aca="false">IF(OR($H118="対象外",$K118="",$L118="",$M118="",$N118="",$O118="",$P118="",$Q118=""),"",($K118*$L118*$M118*$N118*$O118*$P118)/$Q118)</f>
        <v/>
      </c>
      <c r="S118" s="12" t="str">
        <f aca="false">IF($H118="対象外","",IF(OR($I118="",$J118=""),"",IF(OR($J118-$I118&gt;0,AND($R118&lt;&gt;"",$R118&gt;=00_はじめに!$B$19)),"○","")))</f>
        <v/>
      </c>
      <c r="T118" s="10" t="str">
        <f aca="false">IFERROR(VLOOKUP($A118,03_質問施策マッピング!$A:$B,2,0),"")</f>
        <v>AIMF-PR-AGT-006</v>
      </c>
      <c r="U118" s="10" t="str">
        <f aca="false">IF($T118="","",IFERROR(VLOOKUP($T118,02_施策マスター!$A:$B,2,0),""))</f>
        <v>タスク計画の事前検証と逸脱制御</v>
      </c>
      <c r="V118" s="10" t="str">
        <f aca="false">IF($R118="","",$R118+(1000-ROW())/1000000)</f>
        <v/>
      </c>
      <c r="W118" s="10" t="str">
        <f aca="false">IF($V118="","",COUNTIF($V$2:$V$208,"&gt;"&amp;$V118)+1)</f>
        <v/>
      </c>
      <c r="X118" s="10" t="s">
        <v>116</v>
      </c>
    </row>
    <row r="119" customFormat="false" ht="39.55" hidden="false" customHeight="false" outlineLevel="0" collapsed="false">
      <c r="A119" s="10" t="s">
        <v>476</v>
      </c>
      <c r="B119" s="10" t="s">
        <v>312</v>
      </c>
      <c r="C119" s="10" t="s">
        <v>458</v>
      </c>
      <c r="D119" s="11" t="s">
        <v>477</v>
      </c>
      <c r="E119" s="11" t="s">
        <v>478</v>
      </c>
      <c r="F119" s="10" t="s">
        <v>133</v>
      </c>
      <c r="G119" s="10" t="s">
        <v>166</v>
      </c>
      <c r="H119" s="12" t="str">
        <f aca="false">IF(OR($G119="all",AND(00_はじめに!$B$24="Y",ISNUMBER(SEARCH("traditional",$G119))),AND(00_はじめに!$B$25="Y",ISNUMBER(SEARCH("generative",$G119))),AND(00_はじめに!$B$26="Y",ISNUMBER(SEARCH("ai-agent",$G119))),AND(00_はじめに!$B$27="Y",ISNUMBER(SEARCH("multi-agent",$G119)))),"○","対象外")</f>
        <v>○</v>
      </c>
      <c r="I119" s="13"/>
      <c r="J119" s="14" t="n">
        <v>3</v>
      </c>
      <c r="K119" s="12" t="str">
        <f aca="false">IF(OR($H119="対象外",$I119="",$J119=""),"",$J119-$I119)</f>
        <v/>
      </c>
      <c r="L119" s="14" t="n">
        <v>5</v>
      </c>
      <c r="M119" s="14" t="n">
        <v>4</v>
      </c>
      <c r="N119" s="14" t="n">
        <v>4</v>
      </c>
      <c r="O119" s="14" t="n">
        <v>2</v>
      </c>
      <c r="P119" s="14" t="n">
        <v>3</v>
      </c>
      <c r="Q119" s="14" t="n">
        <v>4</v>
      </c>
      <c r="R119" s="15" t="str">
        <f aca="false">IF(OR($H119="対象外",$K119="",$L119="",$M119="",$N119="",$O119="",$P119="",$Q119=""),"",($K119*$L119*$M119*$N119*$O119*$P119)/$Q119)</f>
        <v/>
      </c>
      <c r="S119" s="12" t="str">
        <f aca="false">IF($H119="対象外","",IF(OR($I119="",$J119=""),"",IF(OR($J119-$I119&gt;0,AND($R119&lt;&gt;"",$R119&gt;=00_はじめに!$B$19)),"○","")))</f>
        <v/>
      </c>
      <c r="T119" s="10" t="str">
        <f aca="false">IFERROR(VLOOKUP($A119,03_質問施策マッピング!$A:$B,2,0),"")</f>
        <v>AIMF-PR-AGT-007</v>
      </c>
      <c r="U119" s="10" t="str">
        <f aca="false">IF($T119="","",IFERROR(VLOOKUP($T119,02_施策マスター!$A:$B,2,0),""))</f>
        <v>エージェント生成コードの実行統制</v>
      </c>
      <c r="V119" s="10" t="str">
        <f aca="false">IF($R119="","",$R119+(1000-ROW())/1000000)</f>
        <v/>
      </c>
      <c r="W119" s="10" t="str">
        <f aca="false">IF($V119="","",COUNTIF($V$2:$V$208,"&gt;"&amp;$V119)+1)</f>
        <v/>
      </c>
      <c r="X119" s="10" t="s">
        <v>116</v>
      </c>
    </row>
    <row r="120" customFormat="false" ht="39.55" hidden="false" customHeight="false" outlineLevel="0" collapsed="false">
      <c r="A120" s="10" t="s">
        <v>479</v>
      </c>
      <c r="B120" s="10" t="s">
        <v>312</v>
      </c>
      <c r="C120" s="10" t="s">
        <v>458</v>
      </c>
      <c r="D120" s="11" t="s">
        <v>480</v>
      </c>
      <c r="E120" s="11" t="s">
        <v>481</v>
      </c>
      <c r="F120" s="10" t="s">
        <v>133</v>
      </c>
      <c r="G120" s="10" t="s">
        <v>482</v>
      </c>
      <c r="H120" s="12" t="str">
        <f aca="false">IF(OR($G120="all",AND(00_はじめに!$B$24="Y",ISNUMBER(SEARCH("traditional",$G120))),AND(00_はじめに!$B$25="Y",ISNUMBER(SEARCH("generative",$G120))),AND(00_はじめに!$B$26="Y",ISNUMBER(SEARCH("ai-agent",$G120))),AND(00_はじめに!$B$27="Y",ISNUMBER(SEARCH("multi-agent",$G120)))),"○","対象外")</f>
        <v>○</v>
      </c>
      <c r="I120" s="13"/>
      <c r="J120" s="14" t="n">
        <v>3</v>
      </c>
      <c r="K120" s="12" t="str">
        <f aca="false">IF(OR($H120="対象外",$I120="",$J120=""),"",$J120-$I120)</f>
        <v/>
      </c>
      <c r="L120" s="14" t="n">
        <v>5</v>
      </c>
      <c r="M120" s="14" t="n">
        <v>4</v>
      </c>
      <c r="N120" s="14" t="n">
        <v>4</v>
      </c>
      <c r="O120" s="14" t="n">
        <v>2</v>
      </c>
      <c r="P120" s="14" t="n">
        <v>3</v>
      </c>
      <c r="Q120" s="14" t="n">
        <v>4</v>
      </c>
      <c r="R120" s="15" t="str">
        <f aca="false">IF(OR($H120="対象外",$K120="",$L120="",$M120="",$N120="",$O120="",$P120="",$Q120=""),"",($K120*$L120*$M120*$N120*$O120*$P120)/$Q120)</f>
        <v/>
      </c>
      <c r="S120" s="12" t="str">
        <f aca="false">IF($H120="対象外","",IF(OR($I120="",$J120=""),"",IF(OR($J120-$I120&gt;0,AND($R120&lt;&gt;"",$R120&gt;=00_はじめに!$B$19)),"○","")))</f>
        <v/>
      </c>
      <c r="T120" s="10" t="str">
        <f aca="false">IFERROR(VLOOKUP($A120,03_質問施策マッピング!$A:$B,2,0),"")</f>
        <v>AIMF-PR-AGT-008</v>
      </c>
      <c r="U120" s="10" t="str">
        <f aca="false">IF($T120="","",IFERROR(VLOOKUP($T120,02_施策マスター!$A:$B,2,0),""))</f>
        <v>委任チェーン・エージェント間信頼境界の設計</v>
      </c>
      <c r="V120" s="10" t="str">
        <f aca="false">IF($R120="","",$R120+(1000-ROW())/1000000)</f>
        <v/>
      </c>
      <c r="W120" s="10" t="str">
        <f aca="false">IF($V120="","",COUNTIF($V$2:$V$208,"&gt;"&amp;$V120)+1)</f>
        <v/>
      </c>
      <c r="X120" s="10" t="s">
        <v>116</v>
      </c>
    </row>
    <row r="121" customFormat="false" ht="39.55" hidden="false" customHeight="false" outlineLevel="0" collapsed="false">
      <c r="A121" s="10" t="s">
        <v>483</v>
      </c>
      <c r="B121" s="10" t="s">
        <v>312</v>
      </c>
      <c r="C121" s="10" t="s">
        <v>458</v>
      </c>
      <c r="D121" s="11" t="s">
        <v>484</v>
      </c>
      <c r="E121" s="11" t="s">
        <v>485</v>
      </c>
      <c r="F121" s="10" t="s">
        <v>133</v>
      </c>
      <c r="G121" s="10" t="s">
        <v>166</v>
      </c>
      <c r="H121" s="12" t="str">
        <f aca="false">IF(OR($G121="all",AND(00_はじめに!$B$24="Y",ISNUMBER(SEARCH("traditional",$G121))),AND(00_はじめに!$B$25="Y",ISNUMBER(SEARCH("generative",$G121))),AND(00_はじめに!$B$26="Y",ISNUMBER(SEARCH("ai-agent",$G121))),AND(00_はじめに!$B$27="Y",ISNUMBER(SEARCH("multi-agent",$G121)))),"○","対象外")</f>
        <v>○</v>
      </c>
      <c r="I121" s="13"/>
      <c r="J121" s="14" t="n">
        <v>3</v>
      </c>
      <c r="K121" s="12" t="str">
        <f aca="false">IF(OR($H121="対象外",$I121="",$J121=""),"",$J121-$I121)</f>
        <v/>
      </c>
      <c r="L121" s="14" t="n">
        <v>5</v>
      </c>
      <c r="M121" s="14" t="n">
        <v>4</v>
      </c>
      <c r="N121" s="14" t="n">
        <v>4</v>
      </c>
      <c r="O121" s="14" t="n">
        <v>2</v>
      </c>
      <c r="P121" s="14" t="n">
        <v>3</v>
      </c>
      <c r="Q121" s="14" t="n">
        <v>4</v>
      </c>
      <c r="R121" s="15" t="str">
        <f aca="false">IF(OR($H121="対象外",$K121="",$L121="",$M121="",$N121="",$O121="",$P121="",$Q121=""),"",($K121*$L121*$M121*$N121*$O121*$P121)/$Q121)</f>
        <v/>
      </c>
      <c r="S121" s="12" t="str">
        <f aca="false">IF($H121="対象外","",IF(OR($I121="",$J121=""),"",IF(OR($J121-$I121&gt;0,AND($R121&lt;&gt;"",$R121&gt;=00_はじめに!$B$19)),"○","")))</f>
        <v/>
      </c>
      <c r="T121" s="10" t="str">
        <f aca="false">IFERROR(VLOOKUP($A121,03_質問施策マッピング!$A:$B,2,0),"")</f>
        <v>AIMF-PR-AGT-009</v>
      </c>
      <c r="U121" s="10" t="str">
        <f aca="false">IF($T121="","",IFERROR(VLOOKUP($T121,02_施策マスター!$A:$B,2,0),""))</f>
        <v>エージェント設定のセキュアベースライン</v>
      </c>
      <c r="V121" s="10" t="str">
        <f aca="false">IF($R121="","",$R121+(1000-ROW())/1000000)</f>
        <v/>
      </c>
      <c r="W121" s="10" t="str">
        <f aca="false">IF($V121="","",COUNTIF($V$2:$V$208,"&gt;"&amp;$V121)+1)</f>
        <v/>
      </c>
      <c r="X121" s="10" t="s">
        <v>116</v>
      </c>
    </row>
    <row r="122" customFormat="false" ht="39.55" hidden="false" customHeight="false" outlineLevel="0" collapsed="false">
      <c r="A122" s="10" t="s">
        <v>486</v>
      </c>
      <c r="B122" s="10" t="s">
        <v>312</v>
      </c>
      <c r="C122" s="10" t="s">
        <v>458</v>
      </c>
      <c r="D122" s="11" t="s">
        <v>487</v>
      </c>
      <c r="E122" s="11" t="s">
        <v>488</v>
      </c>
      <c r="F122" s="10" t="s">
        <v>133</v>
      </c>
      <c r="G122" s="10" t="s">
        <v>482</v>
      </c>
      <c r="H122" s="12" t="str">
        <f aca="false">IF(OR($G122="all",AND(00_はじめに!$B$24="Y",ISNUMBER(SEARCH("traditional",$G122))),AND(00_はじめに!$B$25="Y",ISNUMBER(SEARCH("generative",$G122))),AND(00_はじめに!$B$26="Y",ISNUMBER(SEARCH("ai-agent",$G122))),AND(00_はじめに!$B$27="Y",ISNUMBER(SEARCH("multi-agent",$G122)))),"○","対象外")</f>
        <v>○</v>
      </c>
      <c r="I122" s="13"/>
      <c r="J122" s="14" t="n">
        <v>3</v>
      </c>
      <c r="K122" s="12" t="str">
        <f aca="false">IF(OR($H122="対象外",$I122="",$J122=""),"",$J122-$I122)</f>
        <v/>
      </c>
      <c r="L122" s="14" t="n">
        <v>5</v>
      </c>
      <c r="M122" s="14" t="n">
        <v>4</v>
      </c>
      <c r="N122" s="14" t="n">
        <v>4</v>
      </c>
      <c r="O122" s="14" t="n">
        <v>2</v>
      </c>
      <c r="P122" s="14" t="n">
        <v>3</v>
      </c>
      <c r="Q122" s="14" t="n">
        <v>4</v>
      </c>
      <c r="R122" s="15" t="str">
        <f aca="false">IF(OR($H122="対象外",$K122="",$L122="",$M122="",$N122="",$O122="",$P122="",$Q122=""),"",($K122*$L122*$M122*$N122*$O122*$P122)/$Q122)</f>
        <v/>
      </c>
      <c r="S122" s="12" t="str">
        <f aca="false">IF($H122="対象外","",IF(OR($I122="",$J122=""),"",IF(OR($J122-$I122&gt;0,AND($R122&lt;&gt;"",$R122&gt;=00_はじめに!$B$19)),"○","")))</f>
        <v/>
      </c>
      <c r="T122" s="10" t="str">
        <f aca="false">IFERROR(VLOOKUP($A122,03_質問施策マッピング!$A:$B,2,0),"")</f>
        <v>AIMF-PR-AGT-010</v>
      </c>
      <c r="U122" s="10" t="str">
        <f aca="false">IF($T122="","",IFERROR(VLOOKUP($T122,02_施策マスター!$A:$B,2,0),""))</f>
        <v>オーケストレーターの単一障害点・乗っ取り対策</v>
      </c>
      <c r="V122" s="10" t="str">
        <f aca="false">IF($R122="","",$R122+(1000-ROW())/1000000)</f>
        <v/>
      </c>
      <c r="W122" s="10" t="str">
        <f aca="false">IF($V122="","",COUNTIF($V$2:$V$208,"&gt;"&amp;$V122)+1)</f>
        <v/>
      </c>
      <c r="X122" s="10" t="s">
        <v>116</v>
      </c>
    </row>
    <row r="123" customFormat="false" ht="39.55" hidden="false" customHeight="false" outlineLevel="0" collapsed="false">
      <c r="A123" s="10" t="s">
        <v>489</v>
      </c>
      <c r="B123" s="10" t="s">
        <v>312</v>
      </c>
      <c r="C123" s="10" t="s">
        <v>490</v>
      </c>
      <c r="D123" s="11" t="s">
        <v>491</v>
      </c>
      <c r="E123" s="11" t="s">
        <v>492</v>
      </c>
      <c r="F123" s="10" t="s">
        <v>133</v>
      </c>
      <c r="G123" s="10" t="s">
        <v>99</v>
      </c>
      <c r="H123" s="12" t="str">
        <f aca="false">IF(OR($G123="all",AND(00_はじめに!$B$24="Y",ISNUMBER(SEARCH("traditional",$G123))),AND(00_はじめに!$B$25="Y",ISNUMBER(SEARCH("generative",$G123))),AND(00_はじめに!$B$26="Y",ISNUMBER(SEARCH("ai-agent",$G123))),AND(00_はじめに!$B$27="Y",ISNUMBER(SEARCH("multi-agent",$G123)))),"○","対象外")</f>
        <v>○</v>
      </c>
      <c r="I123" s="13"/>
      <c r="J123" s="14" t="n">
        <v>4</v>
      </c>
      <c r="K123" s="12" t="str">
        <f aca="false">IF(OR($H123="対象外",$I123="",$J123=""),"",$J123-$I123)</f>
        <v/>
      </c>
      <c r="L123" s="14" t="n">
        <v>4</v>
      </c>
      <c r="M123" s="14" t="n">
        <v>3</v>
      </c>
      <c r="N123" s="14" t="n">
        <v>5</v>
      </c>
      <c r="O123" s="14" t="n">
        <v>2</v>
      </c>
      <c r="P123" s="14" t="n">
        <v>3</v>
      </c>
      <c r="Q123" s="14" t="n">
        <v>4</v>
      </c>
      <c r="R123" s="15" t="str">
        <f aca="false">IF(OR($H123="対象外",$K123="",$L123="",$M123="",$N123="",$O123="",$P123="",$Q123=""),"",($K123*$L123*$M123*$N123*$O123*$P123)/$Q123)</f>
        <v/>
      </c>
      <c r="S123" s="12" t="str">
        <f aca="false">IF($H123="対象外","",IF(OR($I123="",$J123=""),"",IF(OR($J123-$I123&gt;0,AND($R123&lt;&gt;"",$R123&gt;=00_はじめに!$B$19)),"○","")))</f>
        <v/>
      </c>
      <c r="T123" s="10" t="str">
        <f aca="false">IFERROR(VLOOKUP($A123,03_質問施策マッピング!$A:$B,2,0),"")</f>
        <v>AIMF-PR-HOV-001</v>
      </c>
      <c r="U123" s="10" t="str">
        <f aca="false">IF($T123="","",IFERROR(VLOOKUP($T123,02_施策マスター!$A:$B,2,0),""))</f>
        <v>人間による監督（Human Oversight）の全体設計</v>
      </c>
      <c r="V123" s="10" t="str">
        <f aca="false">IF($R123="","",$R123+(1000-ROW())/1000000)</f>
        <v/>
      </c>
      <c r="W123" s="10" t="str">
        <f aca="false">IF($V123="","",COUNTIF($V$2:$V$208,"&gt;"&amp;$V123)+1)</f>
        <v/>
      </c>
      <c r="X123" s="10" t="s">
        <v>100</v>
      </c>
    </row>
    <row r="124" customFormat="false" ht="26.85" hidden="false" customHeight="false" outlineLevel="0" collapsed="false">
      <c r="A124" s="10" t="s">
        <v>493</v>
      </c>
      <c r="B124" s="10" t="s">
        <v>312</v>
      </c>
      <c r="C124" s="10" t="s">
        <v>490</v>
      </c>
      <c r="D124" s="11" t="s">
        <v>494</v>
      </c>
      <c r="E124" s="10" t="s">
        <v>495</v>
      </c>
      <c r="F124" s="10" t="s">
        <v>133</v>
      </c>
      <c r="G124" s="10" t="s">
        <v>99</v>
      </c>
      <c r="H124" s="12" t="str">
        <f aca="false">IF(OR($G124="all",AND(00_はじめに!$B$24="Y",ISNUMBER(SEARCH("traditional",$G124))),AND(00_はじめに!$B$25="Y",ISNUMBER(SEARCH("generative",$G124))),AND(00_はじめに!$B$26="Y",ISNUMBER(SEARCH("ai-agent",$G124))),AND(00_はじめに!$B$27="Y",ISNUMBER(SEARCH("multi-agent",$G124)))),"○","対象外")</f>
        <v>○</v>
      </c>
      <c r="I124" s="13"/>
      <c r="J124" s="14" t="n">
        <v>3</v>
      </c>
      <c r="K124" s="12" t="str">
        <f aca="false">IF(OR($H124="対象外",$I124="",$J124=""),"",$J124-$I124)</f>
        <v/>
      </c>
      <c r="L124" s="14" t="n">
        <v>4</v>
      </c>
      <c r="M124" s="14" t="n">
        <v>3</v>
      </c>
      <c r="N124" s="14" t="n">
        <v>5</v>
      </c>
      <c r="O124" s="14" t="n">
        <v>2</v>
      </c>
      <c r="P124" s="14" t="n">
        <v>3</v>
      </c>
      <c r="Q124" s="14" t="n">
        <v>4</v>
      </c>
      <c r="R124" s="15" t="str">
        <f aca="false">IF(OR($H124="対象外",$K124="",$L124="",$M124="",$N124="",$O124="",$P124="",$Q124=""),"",($K124*$L124*$M124*$N124*$O124*$P124)/$Q124)</f>
        <v/>
      </c>
      <c r="S124" s="12" t="str">
        <f aca="false">IF($H124="対象外","",IF(OR($I124="",$J124=""),"",IF(OR($J124-$I124&gt;0,AND($R124&lt;&gt;"",$R124&gt;=00_はじめに!$B$19)),"○","")))</f>
        <v/>
      </c>
      <c r="T124" s="10" t="str">
        <f aca="false">IFERROR(VLOOKUP($A124,03_質問施策マッピング!$A:$B,2,0),"")</f>
        <v>AIMF-PR-HOV-002</v>
      </c>
      <c r="U124" s="10" t="str">
        <f aca="false">IF($T124="","",IFERROR(VLOOKUP($T124,02_施策マスター!$A:$B,2,0),""))</f>
        <v>監督者の力量要件と自動化バイアス対策</v>
      </c>
      <c r="V124" s="10" t="str">
        <f aca="false">IF($R124="","",$R124+(1000-ROW())/1000000)</f>
        <v/>
      </c>
      <c r="W124" s="10" t="str">
        <f aca="false">IF($V124="","",COUNTIF($V$2:$V$208,"&gt;"&amp;$V124)+1)</f>
        <v/>
      </c>
      <c r="X124" s="10" t="s">
        <v>116</v>
      </c>
    </row>
    <row r="125" customFormat="false" ht="39.55" hidden="false" customHeight="false" outlineLevel="0" collapsed="false">
      <c r="A125" s="10" t="s">
        <v>496</v>
      </c>
      <c r="B125" s="10" t="s">
        <v>312</v>
      </c>
      <c r="C125" s="10" t="s">
        <v>490</v>
      </c>
      <c r="D125" s="11" t="s">
        <v>497</v>
      </c>
      <c r="E125" s="11" t="s">
        <v>498</v>
      </c>
      <c r="F125" s="10" t="s">
        <v>133</v>
      </c>
      <c r="G125" s="10" t="s">
        <v>166</v>
      </c>
      <c r="H125" s="12" t="str">
        <f aca="false">IF(OR($G125="all",AND(00_はじめに!$B$24="Y",ISNUMBER(SEARCH("traditional",$G125))),AND(00_はじめに!$B$25="Y",ISNUMBER(SEARCH("generative",$G125))),AND(00_はじめに!$B$26="Y",ISNUMBER(SEARCH("ai-agent",$G125))),AND(00_はじめに!$B$27="Y",ISNUMBER(SEARCH("multi-agent",$G125)))),"○","対象外")</f>
        <v>○</v>
      </c>
      <c r="I125" s="13"/>
      <c r="J125" s="14" t="n">
        <v>3</v>
      </c>
      <c r="K125" s="12" t="str">
        <f aca="false">IF(OR($H125="対象外",$I125="",$J125=""),"",$J125-$I125)</f>
        <v/>
      </c>
      <c r="L125" s="14" t="n">
        <v>4</v>
      </c>
      <c r="M125" s="14" t="n">
        <v>3</v>
      </c>
      <c r="N125" s="14" t="n">
        <v>4</v>
      </c>
      <c r="O125" s="14" t="n">
        <v>2</v>
      </c>
      <c r="P125" s="14" t="n">
        <v>3</v>
      </c>
      <c r="Q125" s="14" t="n">
        <v>4</v>
      </c>
      <c r="R125" s="15" t="str">
        <f aca="false">IF(OR($H125="対象外",$K125="",$L125="",$M125="",$N125="",$O125="",$P125="",$Q125=""),"",($K125*$L125*$M125*$N125*$O125*$P125)/$Q125)</f>
        <v/>
      </c>
      <c r="S125" s="12" t="str">
        <f aca="false">IF($H125="対象外","",IF(OR($I125="",$J125=""),"",IF(OR($J125-$I125&gt;0,AND($R125&lt;&gt;"",$R125&gt;=00_はじめに!$B$19)),"○","")))</f>
        <v/>
      </c>
      <c r="T125" s="10" t="str">
        <f aca="false">IFERROR(VLOOKUP($A125,03_質問施策マッピング!$A:$B,2,0),"")</f>
        <v>AIMF-PR-HOV-003</v>
      </c>
      <c r="U125" s="10" t="str">
        <f aca="false">IF($T125="","",IFERROR(VLOOKUP($T125,02_施策マスター!$A:$B,2,0),""))</f>
        <v>人間・エージェント間の信頼悪用対策</v>
      </c>
      <c r="V125" s="10" t="str">
        <f aca="false">IF($R125="","",$R125+(1000-ROW())/1000000)</f>
        <v/>
      </c>
      <c r="W125" s="10" t="str">
        <f aca="false">IF($V125="","",COUNTIF($V$2:$V$208,"&gt;"&amp;$V125)+1)</f>
        <v/>
      </c>
      <c r="X125" s="10" t="s">
        <v>116</v>
      </c>
    </row>
    <row r="126" customFormat="false" ht="52.2" hidden="false" customHeight="false" outlineLevel="0" collapsed="false">
      <c r="A126" s="10" t="s">
        <v>499</v>
      </c>
      <c r="B126" s="10" t="s">
        <v>312</v>
      </c>
      <c r="C126" s="10" t="s">
        <v>500</v>
      </c>
      <c r="D126" s="11" t="s">
        <v>501</v>
      </c>
      <c r="E126" s="11" t="s">
        <v>502</v>
      </c>
      <c r="F126" s="10" t="s">
        <v>133</v>
      </c>
      <c r="G126" s="10" t="s">
        <v>503</v>
      </c>
      <c r="H126" s="12" t="str">
        <f aca="false">IF(OR($G126="all",AND(00_はじめに!$B$24="Y",ISNUMBER(SEARCH("traditional",$G126))),AND(00_はじめに!$B$25="Y",ISNUMBER(SEARCH("generative",$G126))),AND(00_はじめに!$B$26="Y",ISNUMBER(SEARCH("ai-agent",$G126))),AND(00_はじめに!$B$27="Y",ISNUMBER(SEARCH("multi-agent",$G126)))),"○","対象外")</f>
        <v>○</v>
      </c>
      <c r="I126" s="13"/>
      <c r="J126" s="14" t="n">
        <v>4</v>
      </c>
      <c r="K126" s="12" t="str">
        <f aca="false">IF(OR($H126="対象外",$I126="",$J126=""),"",$J126-$I126)</f>
        <v/>
      </c>
      <c r="L126" s="14" t="n">
        <v>4</v>
      </c>
      <c r="M126" s="14" t="n">
        <v>4</v>
      </c>
      <c r="N126" s="14" t="n">
        <v>5</v>
      </c>
      <c r="O126" s="14" t="n">
        <v>2</v>
      </c>
      <c r="P126" s="14" t="n">
        <v>3</v>
      </c>
      <c r="Q126" s="14" t="n">
        <v>4</v>
      </c>
      <c r="R126" s="15" t="str">
        <f aca="false">IF(OR($H126="対象外",$K126="",$L126="",$M126="",$N126="",$O126="",$P126="",$Q126=""),"",($K126*$L126*$M126*$N126*$O126*$P126)/$Q126)</f>
        <v/>
      </c>
      <c r="S126" s="12" t="str">
        <f aca="false">IF($H126="対象外","",IF(OR($I126="",$J126=""),"",IF(OR($J126-$I126&gt;0,AND($R126&lt;&gt;"",$R126&gt;=00_はじめに!$B$19)),"○","")))</f>
        <v/>
      </c>
      <c r="T126" s="10" t="str">
        <f aca="false">IFERROR(VLOOKUP($A126,03_質問施策マッピング!$A:$B,2,0),"")</f>
        <v>AIMF-PR-ADV-001</v>
      </c>
      <c r="U126" s="10" t="str">
        <f aca="false">IF($T126="","",IFERROR(VLOOKUP($T126,02_施策マスター!$A:$B,2,0),""))</f>
        <v>従来型ML特有の敵対的攻撃対策</v>
      </c>
      <c r="V126" s="10" t="str">
        <f aca="false">IF($R126="","",$R126+(1000-ROW())/1000000)</f>
        <v/>
      </c>
      <c r="W126" s="10" t="str">
        <f aca="false">IF($V126="","",COUNTIF($V$2:$V$208,"&gt;"&amp;$V126)+1)</f>
        <v/>
      </c>
      <c r="X126" s="10" t="s">
        <v>100</v>
      </c>
    </row>
    <row r="127" customFormat="false" ht="26.85" hidden="false" customHeight="false" outlineLevel="0" collapsed="false">
      <c r="A127" s="10" t="s">
        <v>504</v>
      </c>
      <c r="B127" s="10" t="s">
        <v>312</v>
      </c>
      <c r="C127" s="10" t="s">
        <v>500</v>
      </c>
      <c r="D127" s="11" t="s">
        <v>505</v>
      </c>
      <c r="E127" s="11" t="s">
        <v>506</v>
      </c>
      <c r="F127" s="10" t="s">
        <v>133</v>
      </c>
      <c r="G127" s="10" t="s">
        <v>285</v>
      </c>
      <c r="H127" s="12" t="str">
        <f aca="false">IF(OR($G127="all",AND(00_はじめに!$B$24="Y",ISNUMBER(SEARCH("traditional",$G127))),AND(00_はじめに!$B$25="Y",ISNUMBER(SEARCH("generative",$G127))),AND(00_はじめに!$B$26="Y",ISNUMBER(SEARCH("ai-agent",$G127))),AND(00_はじめに!$B$27="Y",ISNUMBER(SEARCH("multi-agent",$G127)))),"○","対象外")</f>
        <v>○</v>
      </c>
      <c r="I127" s="13"/>
      <c r="J127" s="14" t="n">
        <v>3</v>
      </c>
      <c r="K127" s="12" t="str">
        <f aca="false">IF(OR($H127="対象外",$I127="",$J127=""),"",$J127-$I127)</f>
        <v/>
      </c>
      <c r="L127" s="14" t="n">
        <v>4</v>
      </c>
      <c r="M127" s="14" t="n">
        <v>4</v>
      </c>
      <c r="N127" s="14" t="n">
        <v>4</v>
      </c>
      <c r="O127" s="14" t="n">
        <v>2</v>
      </c>
      <c r="P127" s="14" t="n">
        <v>3</v>
      </c>
      <c r="Q127" s="14" t="n">
        <v>4</v>
      </c>
      <c r="R127" s="15" t="str">
        <f aca="false">IF(OR($H127="対象外",$K127="",$L127="",$M127="",$N127="",$O127="",$P127="",$Q127=""),"",($K127*$L127*$M127*$N127*$O127*$P127)/$Q127)</f>
        <v/>
      </c>
      <c r="S127" s="12" t="str">
        <f aca="false">IF($H127="対象外","",IF(OR($I127="",$J127=""),"",IF(OR($J127-$I127&gt;0,AND($R127&lt;&gt;"",$R127&gt;=00_はじめに!$B$19)),"○","")))</f>
        <v/>
      </c>
      <c r="T127" s="10" t="str">
        <f aca="false">IFERROR(VLOOKUP($A127,03_質問施策マッピング!$A:$B,2,0),"")</f>
        <v>AIMF-PR-ADV-002</v>
      </c>
      <c r="U127" s="10" t="str">
        <f aca="false">IF($T127="","",IFERROR(VLOOKUP($T127,02_施策マスター!$A:$B,2,0),""))</f>
        <v>モデル抽出・スティーリング対策</v>
      </c>
      <c r="V127" s="10" t="str">
        <f aca="false">IF($R127="","",$R127+(1000-ROW())/1000000)</f>
        <v/>
      </c>
      <c r="W127" s="10" t="str">
        <f aca="false">IF($V127="","",COUNTIF($V$2:$V$208,"&gt;"&amp;$V127)+1)</f>
        <v/>
      </c>
      <c r="X127" s="10" t="s">
        <v>116</v>
      </c>
    </row>
    <row r="128" customFormat="false" ht="26.85" hidden="false" customHeight="false" outlineLevel="0" collapsed="false">
      <c r="A128" s="10" t="s">
        <v>507</v>
      </c>
      <c r="B128" s="10" t="s">
        <v>312</v>
      </c>
      <c r="C128" s="10" t="s">
        <v>500</v>
      </c>
      <c r="D128" s="11" t="s">
        <v>508</v>
      </c>
      <c r="E128" s="11" t="s">
        <v>509</v>
      </c>
      <c r="F128" s="10" t="s">
        <v>133</v>
      </c>
      <c r="G128" s="10" t="s">
        <v>503</v>
      </c>
      <c r="H128" s="12" t="str">
        <f aca="false">IF(OR($G128="all",AND(00_はじめに!$B$24="Y",ISNUMBER(SEARCH("traditional",$G128))),AND(00_はじめに!$B$25="Y",ISNUMBER(SEARCH("generative",$G128))),AND(00_はじめに!$B$26="Y",ISNUMBER(SEARCH("ai-agent",$G128))),AND(00_はじめに!$B$27="Y",ISNUMBER(SEARCH("multi-agent",$G128)))),"○","対象外")</f>
        <v>○</v>
      </c>
      <c r="I128" s="13"/>
      <c r="J128" s="14" t="n">
        <v>3</v>
      </c>
      <c r="K128" s="12" t="str">
        <f aca="false">IF(OR($H128="対象外",$I128="",$J128=""),"",$J128-$I128)</f>
        <v/>
      </c>
      <c r="L128" s="14" t="n">
        <v>4</v>
      </c>
      <c r="M128" s="14" t="n">
        <v>4</v>
      </c>
      <c r="N128" s="14" t="n">
        <v>5</v>
      </c>
      <c r="O128" s="14" t="n">
        <v>2</v>
      </c>
      <c r="P128" s="14" t="n">
        <v>3</v>
      </c>
      <c r="Q128" s="14" t="n">
        <v>4</v>
      </c>
      <c r="R128" s="15" t="str">
        <f aca="false">IF(OR($H128="対象外",$K128="",$L128="",$M128="",$N128="",$O128="",$P128="",$Q128=""),"",($K128*$L128*$M128*$N128*$O128*$P128)/$Q128)</f>
        <v/>
      </c>
      <c r="S128" s="12" t="str">
        <f aca="false">IF($H128="対象外","",IF(OR($I128="",$J128=""),"",IF(OR($J128-$I128&gt;0,AND($R128&lt;&gt;"",$R128&gt;=00_はじめに!$B$19)),"○","")))</f>
        <v/>
      </c>
      <c r="T128" s="10" t="str">
        <f aca="false">IFERROR(VLOOKUP($A128,03_質問施策マッピング!$A:$B,2,0),"")</f>
        <v>AIMF-PR-ADV-003</v>
      </c>
      <c r="U128" s="10" t="str">
        <f aca="false">IF($T128="","",IFERROR(VLOOKUP($T128,02_施策マスター!$A:$B,2,0),""))</f>
        <v>メンバーシップ推論・モデル反転対策</v>
      </c>
      <c r="V128" s="10" t="str">
        <f aca="false">IF($R128="","",$R128+(1000-ROW())/1000000)</f>
        <v/>
      </c>
      <c r="W128" s="10" t="str">
        <f aca="false">IF($V128="","",COUNTIF($V$2:$V$208,"&gt;"&amp;$V128)+1)</f>
        <v/>
      </c>
      <c r="X128" s="10" t="s">
        <v>116</v>
      </c>
    </row>
    <row r="129" customFormat="false" ht="26.85" hidden="false" customHeight="false" outlineLevel="0" collapsed="false">
      <c r="A129" s="10" t="s">
        <v>510</v>
      </c>
      <c r="B129" s="10" t="s">
        <v>312</v>
      </c>
      <c r="C129" s="10" t="s">
        <v>500</v>
      </c>
      <c r="D129" s="11" t="s">
        <v>511</v>
      </c>
      <c r="E129" s="11" t="s">
        <v>512</v>
      </c>
      <c r="F129" s="10" t="s">
        <v>133</v>
      </c>
      <c r="G129" s="10" t="s">
        <v>503</v>
      </c>
      <c r="H129" s="12" t="str">
        <f aca="false">IF(OR($G129="all",AND(00_はじめに!$B$24="Y",ISNUMBER(SEARCH("traditional",$G129))),AND(00_はじめに!$B$25="Y",ISNUMBER(SEARCH("generative",$G129))),AND(00_はじめに!$B$26="Y",ISNUMBER(SEARCH("ai-agent",$G129))),AND(00_はじめに!$B$27="Y",ISNUMBER(SEARCH("multi-agent",$G129)))),"○","対象外")</f>
        <v>○</v>
      </c>
      <c r="I129" s="13"/>
      <c r="J129" s="14" t="n">
        <v>3</v>
      </c>
      <c r="K129" s="12" t="str">
        <f aca="false">IF(OR($H129="対象外",$I129="",$J129=""),"",$J129-$I129)</f>
        <v/>
      </c>
      <c r="L129" s="14" t="n">
        <v>4</v>
      </c>
      <c r="M129" s="14" t="n">
        <v>4</v>
      </c>
      <c r="N129" s="14" t="n">
        <v>4</v>
      </c>
      <c r="O129" s="14" t="n">
        <v>2</v>
      </c>
      <c r="P129" s="14" t="n">
        <v>3</v>
      </c>
      <c r="Q129" s="14" t="n">
        <v>4</v>
      </c>
      <c r="R129" s="15" t="str">
        <f aca="false">IF(OR($H129="対象外",$K129="",$L129="",$M129="",$N129="",$O129="",$P129="",$Q129=""),"",($K129*$L129*$M129*$N129*$O129*$P129)/$Q129)</f>
        <v/>
      </c>
      <c r="S129" s="12" t="str">
        <f aca="false">IF($H129="対象外","",IF(OR($I129="",$J129=""),"",IF(OR($J129-$I129&gt;0,AND($R129&lt;&gt;"",$R129&gt;=00_はじめに!$B$19)),"○","")))</f>
        <v/>
      </c>
      <c r="T129" s="10" t="str">
        <f aca="false">IFERROR(VLOOKUP($A129,03_質問施策マッピング!$A:$B,2,0),"")</f>
        <v>AIMF-PR-ADV-004</v>
      </c>
      <c r="U129" s="10" t="str">
        <f aca="false">IF($T129="","",IFERROR(VLOOKUP($T129,02_施策マスター!$A:$B,2,0),""))</f>
        <v>回避攻撃（敵対的サンプル）対策</v>
      </c>
      <c r="V129" s="10" t="str">
        <f aca="false">IF($R129="","",$R129+(1000-ROW())/1000000)</f>
        <v/>
      </c>
      <c r="W129" s="10" t="str">
        <f aca="false">IF($V129="","",COUNTIF($V$2:$V$208,"&gt;"&amp;$V129)+1)</f>
        <v/>
      </c>
      <c r="X129" s="10" t="s">
        <v>116</v>
      </c>
    </row>
    <row r="130" customFormat="false" ht="39.55" hidden="false" customHeight="false" outlineLevel="0" collapsed="false">
      <c r="A130" s="10" t="s">
        <v>513</v>
      </c>
      <c r="B130" s="10" t="s">
        <v>312</v>
      </c>
      <c r="C130" s="10" t="s">
        <v>514</v>
      </c>
      <c r="D130" s="11" t="s">
        <v>515</v>
      </c>
      <c r="E130" s="10" t="s">
        <v>516</v>
      </c>
      <c r="F130" s="10" t="s">
        <v>98</v>
      </c>
      <c r="G130" s="10" t="s">
        <v>99</v>
      </c>
      <c r="H130" s="12" t="str">
        <f aca="false">IF(OR($G130="all",AND(00_はじめに!$B$24="Y",ISNUMBER(SEARCH("traditional",$G130))),AND(00_はじめに!$B$25="Y",ISNUMBER(SEARCH("generative",$G130))),AND(00_はじめに!$B$26="Y",ISNUMBER(SEARCH("ai-agent",$G130))),AND(00_はじめに!$B$27="Y",ISNUMBER(SEARCH("multi-agent",$G130)))),"○","対象外")</f>
        <v>○</v>
      </c>
      <c r="I130" s="13"/>
      <c r="J130" s="14" t="n">
        <v>4</v>
      </c>
      <c r="K130" s="12" t="str">
        <f aca="false">IF(OR($H130="対象外",$I130="",$J130=""),"",$J130-$I130)</f>
        <v/>
      </c>
      <c r="L130" s="14" t="n">
        <v>4</v>
      </c>
      <c r="M130" s="14" t="n">
        <v>4</v>
      </c>
      <c r="N130" s="14" t="n">
        <v>4</v>
      </c>
      <c r="O130" s="14" t="n">
        <v>4</v>
      </c>
      <c r="P130" s="14" t="n">
        <v>3</v>
      </c>
      <c r="Q130" s="14" t="n">
        <v>3</v>
      </c>
      <c r="R130" s="15" t="str">
        <f aca="false">IF(OR($H130="対象外",$K130="",$L130="",$M130="",$N130="",$O130="",$P130="",$Q130=""),"",($K130*$L130*$M130*$N130*$O130*$P130)/$Q130)</f>
        <v/>
      </c>
      <c r="S130" s="12" t="str">
        <f aca="false">IF($H130="対象外","",IF(OR($I130="",$J130=""),"",IF(OR($J130-$I130&gt;0,AND($R130&lt;&gt;"",$R130&gt;=00_はじめに!$B$19)),"○","")))</f>
        <v/>
      </c>
      <c r="T130" s="10" t="str">
        <f aca="false">IFERROR(VLOOKUP($A130,03_質問施策マッピング!$A:$B,2,0),"")</f>
        <v>AIMF-PR-CAI-001</v>
      </c>
      <c r="U130" s="10" t="str">
        <f aca="false">IF($T130="","",IFERROR(VLOOKUP($T130,02_施策マスター!$A:$B,2,0),""))</f>
        <v>フィッシング・標的型攻撃対策の高度化（対AI攻撃）</v>
      </c>
      <c r="V130" s="10" t="str">
        <f aca="false">IF($R130="","",$R130+(1000-ROW())/1000000)</f>
        <v/>
      </c>
      <c r="W130" s="10" t="str">
        <f aca="false">IF($V130="","",COUNTIF($V$2:$V$208,"&gt;"&amp;$V130)+1)</f>
        <v/>
      </c>
      <c r="X130" s="10" t="s">
        <v>100</v>
      </c>
    </row>
    <row r="131" customFormat="false" ht="39.55" hidden="false" customHeight="false" outlineLevel="0" collapsed="false">
      <c r="A131" s="10" t="s">
        <v>517</v>
      </c>
      <c r="B131" s="10" t="s">
        <v>312</v>
      </c>
      <c r="C131" s="10" t="s">
        <v>514</v>
      </c>
      <c r="D131" s="10" t="s">
        <v>518</v>
      </c>
      <c r="E131" s="11" t="s">
        <v>519</v>
      </c>
      <c r="F131" s="10" t="s">
        <v>98</v>
      </c>
      <c r="G131" s="10" t="s">
        <v>99</v>
      </c>
      <c r="H131" s="12" t="str">
        <f aca="false">IF(OR($G131="all",AND(00_はじめに!$B$24="Y",ISNUMBER(SEARCH("traditional",$G131))),AND(00_はじめに!$B$25="Y",ISNUMBER(SEARCH("generative",$G131))),AND(00_はじめに!$B$26="Y",ISNUMBER(SEARCH("ai-agent",$G131))),AND(00_はじめに!$B$27="Y",ISNUMBER(SEARCH("multi-agent",$G131)))),"○","対象外")</f>
        <v>○</v>
      </c>
      <c r="I131" s="13"/>
      <c r="J131" s="14" t="n">
        <v>4</v>
      </c>
      <c r="K131" s="12" t="str">
        <f aca="false">IF(OR($H131="対象外",$I131="",$J131=""),"",$J131-$I131)</f>
        <v/>
      </c>
      <c r="L131" s="14" t="n">
        <v>4</v>
      </c>
      <c r="M131" s="14" t="n">
        <v>4</v>
      </c>
      <c r="N131" s="14" t="n">
        <v>4</v>
      </c>
      <c r="O131" s="14" t="n">
        <v>4</v>
      </c>
      <c r="P131" s="14" t="n">
        <v>3</v>
      </c>
      <c r="Q131" s="14" t="n">
        <v>3</v>
      </c>
      <c r="R131" s="15" t="str">
        <f aca="false">IF(OR($H131="対象外",$K131="",$L131="",$M131="",$N131="",$O131="",$P131="",$Q131=""),"",($K131*$L131*$M131*$N131*$O131*$P131)/$Q131)</f>
        <v/>
      </c>
      <c r="S131" s="12" t="str">
        <f aca="false">IF($H131="対象外","",IF(OR($I131="",$J131=""),"",IF(OR($J131-$I131&gt;0,AND($R131&lt;&gt;"",$R131&gt;=00_はじめに!$B$19)),"○","")))</f>
        <v/>
      </c>
      <c r="T131" s="10" t="str">
        <f aca="false">IFERROR(VLOOKUP($A131,03_質問施策マッピング!$A:$B,2,0),"")</f>
        <v>AIMF-PR-CAI-002</v>
      </c>
      <c r="U131" s="10" t="str">
        <f aca="false">IF($T131="","",IFERROR(VLOOKUP($T131,02_施策マスター!$A:$B,2,0),""))</f>
        <v>MFAにおける生体・音声認証の見直し（対ディープフェイク）</v>
      </c>
      <c r="V131" s="10" t="str">
        <f aca="false">IF($R131="","",$R131+(1000-ROW())/1000000)</f>
        <v/>
      </c>
      <c r="W131" s="10" t="str">
        <f aca="false">IF($V131="","",COUNTIF($V$2:$V$208,"&gt;"&amp;$V131)+1)</f>
        <v/>
      </c>
      <c r="X131" s="10" t="s">
        <v>100</v>
      </c>
    </row>
    <row r="132" customFormat="false" ht="39.55" hidden="false" customHeight="false" outlineLevel="0" collapsed="false">
      <c r="A132" s="10" t="s">
        <v>520</v>
      </c>
      <c r="B132" s="10" t="s">
        <v>312</v>
      </c>
      <c r="C132" s="10" t="s">
        <v>514</v>
      </c>
      <c r="D132" s="10" t="s">
        <v>521</v>
      </c>
      <c r="E132" s="10" t="s">
        <v>522</v>
      </c>
      <c r="F132" s="10" t="s">
        <v>98</v>
      </c>
      <c r="G132" s="10" t="s">
        <v>99</v>
      </c>
      <c r="H132" s="12" t="str">
        <f aca="false">IF(OR($G132="all",AND(00_はじめに!$B$24="Y",ISNUMBER(SEARCH("traditional",$G132))),AND(00_はじめに!$B$25="Y",ISNUMBER(SEARCH("generative",$G132))),AND(00_はじめに!$B$26="Y",ISNUMBER(SEARCH("ai-agent",$G132))),AND(00_はじめに!$B$27="Y",ISNUMBER(SEARCH("multi-agent",$G132)))),"○","対象外")</f>
        <v>○</v>
      </c>
      <c r="I132" s="13"/>
      <c r="J132" s="14" t="n">
        <v>4</v>
      </c>
      <c r="K132" s="12" t="str">
        <f aca="false">IF(OR($H132="対象外",$I132="",$J132=""),"",$J132-$I132)</f>
        <v/>
      </c>
      <c r="L132" s="14" t="n">
        <v>4</v>
      </c>
      <c r="M132" s="14" t="n">
        <v>4</v>
      </c>
      <c r="N132" s="14" t="n">
        <v>4</v>
      </c>
      <c r="O132" s="14" t="n">
        <v>4</v>
      </c>
      <c r="P132" s="14" t="n">
        <v>3</v>
      </c>
      <c r="Q132" s="14" t="n">
        <v>3</v>
      </c>
      <c r="R132" s="15" t="str">
        <f aca="false">IF(OR($H132="対象外",$K132="",$L132="",$M132="",$N132="",$O132="",$P132="",$Q132=""),"",($K132*$L132*$M132*$N132*$O132*$P132)/$Q132)</f>
        <v/>
      </c>
      <c r="S132" s="12" t="str">
        <f aca="false">IF($H132="対象外","",IF(OR($I132="",$J132=""),"",IF(OR($J132-$I132&gt;0,AND($R132&lt;&gt;"",$R132&gt;=00_はじめに!$B$19)),"○","")))</f>
        <v/>
      </c>
      <c r="T132" s="10" t="str">
        <f aca="false">IFERROR(VLOOKUP($A132,03_質問施策マッピング!$A:$B,2,0),"")</f>
        <v>AIMF-PR-CAI-003</v>
      </c>
      <c r="U132" s="10" t="str">
        <f aca="false">IF($T132="","",IFERROR(VLOOKUP($T132,02_施策マスター!$A:$B,2,0),""))</f>
        <v>AI前提のパスワードレス認証・セキュアコーディング</v>
      </c>
      <c r="V132" s="10" t="str">
        <f aca="false">IF($R132="","",$R132+(1000-ROW())/1000000)</f>
        <v/>
      </c>
      <c r="W132" s="10" t="str">
        <f aca="false">IF($V132="","",COUNTIF($V$2:$V$208,"&gt;"&amp;$V132)+1)</f>
        <v/>
      </c>
      <c r="X132" s="10" t="s">
        <v>100</v>
      </c>
    </row>
    <row r="133" customFormat="false" ht="39.55" hidden="false" customHeight="false" outlineLevel="0" collapsed="false">
      <c r="A133" s="10" t="s">
        <v>523</v>
      </c>
      <c r="B133" s="10" t="s">
        <v>312</v>
      </c>
      <c r="C133" s="10" t="s">
        <v>514</v>
      </c>
      <c r="D133" s="11" t="s">
        <v>524</v>
      </c>
      <c r="E133" s="11" t="s">
        <v>525</v>
      </c>
      <c r="F133" s="10" t="s">
        <v>98</v>
      </c>
      <c r="G133" s="10" t="s">
        <v>99</v>
      </c>
      <c r="H133" s="12" t="str">
        <f aca="false">IF(OR($G133="all",AND(00_はじめに!$B$24="Y",ISNUMBER(SEARCH("traditional",$G133))),AND(00_はじめに!$B$25="Y",ISNUMBER(SEARCH("generative",$G133))),AND(00_はじめに!$B$26="Y",ISNUMBER(SEARCH("ai-agent",$G133))),AND(00_はじめに!$B$27="Y",ISNUMBER(SEARCH("multi-agent",$G133)))),"○","対象外")</f>
        <v>○</v>
      </c>
      <c r="I133" s="13"/>
      <c r="J133" s="14" t="n">
        <v>3</v>
      </c>
      <c r="K133" s="12" t="str">
        <f aca="false">IF(OR($H133="対象外",$I133="",$J133=""),"",$J133-$I133)</f>
        <v/>
      </c>
      <c r="L133" s="14" t="n">
        <v>4</v>
      </c>
      <c r="M133" s="14" t="n">
        <v>4</v>
      </c>
      <c r="N133" s="14" t="n">
        <v>4</v>
      </c>
      <c r="O133" s="14" t="n">
        <v>4</v>
      </c>
      <c r="P133" s="14" t="n">
        <v>3</v>
      </c>
      <c r="Q133" s="14" t="n">
        <v>3</v>
      </c>
      <c r="R133" s="15" t="str">
        <f aca="false">IF(OR($H133="対象外",$K133="",$L133="",$M133="",$N133="",$O133="",$P133="",$Q133=""),"",($K133*$L133*$M133*$N133*$O133*$P133)/$Q133)</f>
        <v/>
      </c>
      <c r="S133" s="12" t="str">
        <f aca="false">IF($H133="対象外","",IF(OR($I133="",$J133=""),"",IF(OR($J133-$I133&gt;0,AND($R133&lt;&gt;"",$R133&gt;=00_はじめに!$B$19)),"○","")))</f>
        <v/>
      </c>
      <c r="T133" s="10" t="str">
        <f aca="false">IFERROR(VLOOKUP($A133,03_質問施策マッピング!$A:$B,2,0),"")</f>
        <v>AIMF-PR-CAI-004</v>
      </c>
      <c r="U133" s="10" t="str">
        <f aca="false">IF($T133="","",IFERROR(VLOOKUP($T133,02_施策マスター!$A:$B,2,0),""))</f>
        <v>ディープフェイク詐欺対策の業務プロセス</v>
      </c>
      <c r="V133" s="10" t="str">
        <f aca="false">IF($R133="","",$R133+(1000-ROW())/1000000)</f>
        <v/>
      </c>
      <c r="W133" s="10" t="str">
        <f aca="false">IF($V133="","",COUNTIF($V$2:$V$208,"&gt;"&amp;$V133)+1)</f>
        <v/>
      </c>
      <c r="X133" s="10" t="s">
        <v>116</v>
      </c>
    </row>
    <row r="134" customFormat="false" ht="32.8" hidden="false" customHeight="false" outlineLevel="0" collapsed="false">
      <c r="A134" s="10" t="s">
        <v>526</v>
      </c>
      <c r="B134" s="10" t="s">
        <v>312</v>
      </c>
      <c r="C134" s="10" t="s">
        <v>514</v>
      </c>
      <c r="D134" s="10" t="s">
        <v>527</v>
      </c>
      <c r="E134" s="10" t="s">
        <v>528</v>
      </c>
      <c r="F134" s="10" t="s">
        <v>98</v>
      </c>
      <c r="G134" s="10" t="s">
        <v>99</v>
      </c>
      <c r="H134" s="12" t="str">
        <f aca="false">IF(OR($G134="all",AND(00_はじめに!$B$24="Y",ISNUMBER(SEARCH("traditional",$G134))),AND(00_はじめに!$B$25="Y",ISNUMBER(SEARCH("generative",$G134))),AND(00_はじめに!$B$26="Y",ISNUMBER(SEARCH("ai-agent",$G134))),AND(00_はじめに!$B$27="Y",ISNUMBER(SEARCH("multi-agent",$G134)))),"○","対象外")</f>
        <v>○</v>
      </c>
      <c r="I134" s="13"/>
      <c r="J134" s="14" t="n">
        <v>3</v>
      </c>
      <c r="K134" s="12" t="str">
        <f aca="false">IF(OR($H134="対象外",$I134="",$J134=""),"",$J134-$I134)</f>
        <v/>
      </c>
      <c r="L134" s="14" t="n">
        <v>4</v>
      </c>
      <c r="M134" s="14" t="n">
        <v>4</v>
      </c>
      <c r="N134" s="14" t="n">
        <v>4</v>
      </c>
      <c r="O134" s="14" t="n">
        <v>4</v>
      </c>
      <c r="P134" s="14" t="n">
        <v>3</v>
      </c>
      <c r="Q134" s="14" t="n">
        <v>3</v>
      </c>
      <c r="R134" s="15" t="str">
        <f aca="false">IF(OR($H134="対象外",$K134="",$L134="",$M134="",$N134="",$O134="",$P134="",$Q134=""),"",($K134*$L134*$M134*$N134*$O134*$P134)/$Q134)</f>
        <v/>
      </c>
      <c r="S134" s="12" t="str">
        <f aca="false">IF($H134="対象外","",IF(OR($I134="",$J134=""),"",IF(OR($J134-$I134&gt;0,AND($R134&lt;&gt;"",$R134&gt;=00_はじめに!$B$19)),"○","")))</f>
        <v/>
      </c>
      <c r="T134" s="10" t="str">
        <f aca="false">IFERROR(VLOOKUP($A134,03_質問施策マッピング!$A:$B,2,0),"")</f>
        <v>AIMF-PR-CAI-005</v>
      </c>
      <c r="U134" s="10" t="str">
        <f aca="false">IF($T134="","",IFERROR(VLOOKUP($T134,02_施策マスター!$A:$B,2,0),""))</f>
        <v>AI生成フィッシング対策とメール認証の強化</v>
      </c>
      <c r="V134" s="10" t="str">
        <f aca="false">IF($R134="","",$R134+(1000-ROW())/1000000)</f>
        <v/>
      </c>
      <c r="W134" s="10" t="str">
        <f aca="false">IF($V134="","",COUNTIF($V$2:$V$208,"&gt;"&amp;$V134)+1)</f>
        <v/>
      </c>
      <c r="X134" s="10" t="s">
        <v>116</v>
      </c>
    </row>
    <row r="135" customFormat="false" ht="39.55" hidden="false" customHeight="false" outlineLevel="0" collapsed="false">
      <c r="A135" s="10" t="s">
        <v>529</v>
      </c>
      <c r="B135" s="10" t="s">
        <v>312</v>
      </c>
      <c r="C135" s="10" t="s">
        <v>514</v>
      </c>
      <c r="D135" s="11" t="s">
        <v>530</v>
      </c>
      <c r="E135" s="11" t="s">
        <v>531</v>
      </c>
      <c r="F135" s="10" t="s">
        <v>98</v>
      </c>
      <c r="G135" s="10" t="s">
        <v>99</v>
      </c>
      <c r="H135" s="12" t="str">
        <f aca="false">IF(OR($G135="all",AND(00_はじめに!$B$24="Y",ISNUMBER(SEARCH("traditional",$G135))),AND(00_はじめに!$B$25="Y",ISNUMBER(SEARCH("generative",$G135))),AND(00_はじめに!$B$26="Y",ISNUMBER(SEARCH("ai-agent",$G135))),AND(00_はじめに!$B$27="Y",ISNUMBER(SEARCH("multi-agent",$G135)))),"○","対象外")</f>
        <v>○</v>
      </c>
      <c r="I135" s="13"/>
      <c r="J135" s="14" t="n">
        <v>3</v>
      </c>
      <c r="K135" s="12" t="str">
        <f aca="false">IF(OR($H135="対象外",$I135="",$J135=""),"",$J135-$I135)</f>
        <v/>
      </c>
      <c r="L135" s="14" t="n">
        <v>4</v>
      </c>
      <c r="M135" s="14" t="n">
        <v>4</v>
      </c>
      <c r="N135" s="14" t="n">
        <v>4</v>
      </c>
      <c r="O135" s="14" t="n">
        <v>4</v>
      </c>
      <c r="P135" s="14" t="n">
        <v>3</v>
      </c>
      <c r="Q135" s="14" t="n">
        <v>3</v>
      </c>
      <c r="R135" s="15" t="str">
        <f aca="false">IF(OR($H135="対象外",$K135="",$L135="",$M135="",$N135="",$O135="",$P135="",$Q135=""),"",($K135*$L135*$M135*$N135*$O135*$P135)/$Q135)</f>
        <v/>
      </c>
      <c r="S135" s="12" t="str">
        <f aca="false">IF($H135="対象外","",IF(OR($I135="",$J135=""),"",IF(OR($J135-$I135&gt;0,AND($R135&lt;&gt;"",$R135&gt;=00_はじめに!$B$19)),"○","")))</f>
        <v/>
      </c>
      <c r="T135" s="10" t="str">
        <f aca="false">IFERROR(VLOOKUP($A135,03_質問施策マッピング!$A:$B,2,0),"")</f>
        <v>AIMF-PR-CAI-006</v>
      </c>
      <c r="U135" s="10" t="str">
        <f aca="false">IF($T135="","",IFERROR(VLOOKUP($T135,02_施策マスター!$A:$B,2,0),""))</f>
        <v>アタックサーフェス削減とゼロトラスト移行</v>
      </c>
      <c r="V135" s="10" t="str">
        <f aca="false">IF($R135="","",$R135+(1000-ROW())/1000000)</f>
        <v/>
      </c>
      <c r="W135" s="10" t="str">
        <f aca="false">IF($V135="","",COUNTIF($V$2:$V$208,"&gt;"&amp;$V135)+1)</f>
        <v/>
      </c>
      <c r="X135" s="10" t="s">
        <v>116</v>
      </c>
    </row>
    <row r="136" customFormat="false" ht="39.55" hidden="false" customHeight="false" outlineLevel="0" collapsed="false">
      <c r="A136" s="10" t="s">
        <v>532</v>
      </c>
      <c r="B136" s="10" t="s">
        <v>312</v>
      </c>
      <c r="C136" s="10" t="s">
        <v>514</v>
      </c>
      <c r="D136" s="10" t="s">
        <v>533</v>
      </c>
      <c r="E136" s="11" t="s">
        <v>534</v>
      </c>
      <c r="F136" s="10" t="s">
        <v>98</v>
      </c>
      <c r="G136" s="10" t="s">
        <v>99</v>
      </c>
      <c r="H136" s="12" t="str">
        <f aca="false">IF(OR($G136="all",AND(00_はじめに!$B$24="Y",ISNUMBER(SEARCH("traditional",$G136))),AND(00_はじめに!$B$25="Y",ISNUMBER(SEARCH("generative",$G136))),AND(00_はじめに!$B$26="Y",ISNUMBER(SEARCH("ai-agent",$G136))),AND(00_はじめに!$B$27="Y",ISNUMBER(SEARCH("multi-agent",$G136)))),"○","対象外")</f>
        <v>○</v>
      </c>
      <c r="I136" s="13"/>
      <c r="J136" s="14" t="n">
        <v>3</v>
      </c>
      <c r="K136" s="12" t="str">
        <f aca="false">IF(OR($H136="対象外",$I136="",$J136=""),"",$J136-$I136)</f>
        <v/>
      </c>
      <c r="L136" s="14" t="n">
        <v>4</v>
      </c>
      <c r="M136" s="14" t="n">
        <v>4</v>
      </c>
      <c r="N136" s="14" t="n">
        <v>4</v>
      </c>
      <c r="O136" s="14" t="n">
        <v>4</v>
      </c>
      <c r="P136" s="14" t="n">
        <v>3</v>
      </c>
      <c r="Q136" s="14" t="n">
        <v>3</v>
      </c>
      <c r="R136" s="15" t="str">
        <f aca="false">IF(OR($H136="対象外",$K136="",$L136="",$M136="",$N136="",$O136="",$P136="",$Q136=""),"",($K136*$L136*$M136*$N136*$O136*$P136)/$Q136)</f>
        <v/>
      </c>
      <c r="S136" s="12" t="str">
        <f aca="false">IF($H136="対象外","",IF(OR($I136="",$J136=""),"",IF(OR($J136-$I136&gt;0,AND($R136&lt;&gt;"",$R136&gt;=00_はじめに!$B$19)),"○","")))</f>
        <v/>
      </c>
      <c r="T136" s="10" t="str">
        <f aca="false">IFERROR(VLOOKUP($A136,03_質問施策マッピング!$A:$B,2,0),"")</f>
        <v>AIMF-PR-CAI-007</v>
      </c>
      <c r="U136" s="10" t="str">
        <f aca="false">IF($T136="","",IFERROR(VLOOKUP($T136,02_施策マスター!$A:$B,2,0),""))</f>
        <v>AI加速攻撃を想定したパッチSLAの短縮</v>
      </c>
      <c r="V136" s="10" t="str">
        <f aca="false">IF($R136="","",$R136+(1000-ROW())/1000000)</f>
        <v/>
      </c>
      <c r="W136" s="10" t="str">
        <f aca="false">IF($V136="","",COUNTIF($V$2:$V$208,"&gt;"&amp;$V136)+1)</f>
        <v/>
      </c>
      <c r="X136" s="10" t="s">
        <v>116</v>
      </c>
    </row>
    <row r="137" customFormat="false" ht="39.55" hidden="false" customHeight="false" outlineLevel="0" collapsed="false">
      <c r="A137" s="10" t="s">
        <v>535</v>
      </c>
      <c r="B137" s="10" t="s">
        <v>312</v>
      </c>
      <c r="C137" s="10" t="s">
        <v>536</v>
      </c>
      <c r="D137" s="11" t="s">
        <v>537</v>
      </c>
      <c r="E137" s="11" t="s">
        <v>538</v>
      </c>
      <c r="F137" s="10" t="s">
        <v>98</v>
      </c>
      <c r="G137" s="10" t="s">
        <v>99</v>
      </c>
      <c r="H137" s="12" t="str">
        <f aca="false">IF(OR($G137="all",AND(00_はじめに!$B$24="Y",ISNUMBER(SEARCH("traditional",$G137))),AND(00_はじめに!$B$25="Y",ISNUMBER(SEARCH("generative",$G137))),AND(00_はじめに!$B$26="Y",ISNUMBER(SEARCH("ai-agent",$G137))),AND(00_はじめに!$B$27="Y",ISNUMBER(SEARCH("multi-agent",$G137)))),"○","対象外")</f>
        <v>○</v>
      </c>
      <c r="I137" s="13"/>
      <c r="J137" s="14" t="n">
        <v>4</v>
      </c>
      <c r="K137" s="12" t="str">
        <f aca="false">IF(OR($H137="対象外",$I137="",$J137=""),"",$J137-$I137)</f>
        <v/>
      </c>
      <c r="L137" s="14" t="n">
        <v>4</v>
      </c>
      <c r="M137" s="14" t="n">
        <v>3</v>
      </c>
      <c r="N137" s="14" t="n">
        <v>5</v>
      </c>
      <c r="O137" s="14" t="n">
        <v>5</v>
      </c>
      <c r="P137" s="14" t="n">
        <v>3</v>
      </c>
      <c r="Q137" s="14" t="n">
        <v>2</v>
      </c>
      <c r="R137" s="15" t="str">
        <f aca="false">IF(OR($H137="対象外",$K137="",$L137="",$M137="",$N137="",$O137="",$P137="",$Q137=""),"",($K137*$L137*$M137*$N137*$O137*$P137)/$Q137)</f>
        <v/>
      </c>
      <c r="S137" s="12" t="str">
        <f aca="false">IF($H137="対象外","",IF(OR($I137="",$J137=""),"",IF(OR($J137-$I137&gt;0,AND($R137&lt;&gt;"",$R137&gt;=00_はじめに!$B$19)),"○","")))</f>
        <v/>
      </c>
      <c r="T137" s="10" t="str">
        <f aca="false">IFERROR(VLOOKUP($A137,03_質問施策マッピング!$A:$B,2,0),"")</f>
        <v>AIMF-PR-EDU-001</v>
      </c>
      <c r="U137" s="10" t="str">
        <f aca="false">IF($T137="","",IFERROR(VLOOKUP($T137,02_施策マスター!$A:$B,2,0),""))</f>
        <v>層別AIセキュリティ教育の徹底</v>
      </c>
      <c r="V137" s="10" t="str">
        <f aca="false">IF($R137="","",$R137+(1000-ROW())/1000000)</f>
        <v/>
      </c>
      <c r="W137" s="10" t="str">
        <f aca="false">IF($V137="","",COUNTIF($V$2:$V$208,"&gt;"&amp;$V137)+1)</f>
        <v/>
      </c>
      <c r="X137" s="10" t="s">
        <v>100</v>
      </c>
    </row>
    <row r="138" customFormat="false" ht="39.55" hidden="false" customHeight="false" outlineLevel="0" collapsed="false">
      <c r="A138" s="10" t="s">
        <v>539</v>
      </c>
      <c r="B138" s="10" t="s">
        <v>312</v>
      </c>
      <c r="C138" s="10" t="s">
        <v>536</v>
      </c>
      <c r="D138" s="11" t="s">
        <v>540</v>
      </c>
      <c r="E138" s="10" t="s">
        <v>541</v>
      </c>
      <c r="F138" s="10" t="s">
        <v>98</v>
      </c>
      <c r="G138" s="10" t="s">
        <v>99</v>
      </c>
      <c r="H138" s="12" t="str">
        <f aca="false">IF(OR($G138="all",AND(00_はじめに!$B$24="Y",ISNUMBER(SEARCH("traditional",$G138))),AND(00_はじめに!$B$25="Y",ISNUMBER(SEARCH("generative",$G138))),AND(00_はじめに!$B$26="Y",ISNUMBER(SEARCH("ai-agent",$G138))),AND(00_はじめに!$B$27="Y",ISNUMBER(SEARCH("multi-agent",$G138)))),"○","対象外")</f>
        <v>○</v>
      </c>
      <c r="I138" s="13"/>
      <c r="J138" s="14" t="n">
        <v>3</v>
      </c>
      <c r="K138" s="12" t="str">
        <f aca="false">IF(OR($H138="対象外",$I138="",$J138=""),"",$J138-$I138)</f>
        <v/>
      </c>
      <c r="L138" s="14" t="n">
        <v>4</v>
      </c>
      <c r="M138" s="14" t="n">
        <v>3</v>
      </c>
      <c r="N138" s="14" t="n">
        <v>4</v>
      </c>
      <c r="O138" s="14" t="n">
        <v>5</v>
      </c>
      <c r="P138" s="14" t="n">
        <v>3</v>
      </c>
      <c r="Q138" s="14" t="n">
        <v>2</v>
      </c>
      <c r="R138" s="15" t="str">
        <f aca="false">IF(OR($H138="対象外",$K138="",$L138="",$M138="",$N138="",$O138="",$P138="",$Q138=""),"",($K138*$L138*$M138*$N138*$O138*$P138)/$Q138)</f>
        <v/>
      </c>
      <c r="S138" s="12" t="str">
        <f aca="false">IF($H138="対象外","",IF(OR($I138="",$J138=""),"",IF(OR($J138-$I138&gt;0,AND($R138&lt;&gt;"",$R138&gt;=00_はじめに!$B$19)),"○","")))</f>
        <v/>
      </c>
      <c r="T138" s="10" t="str">
        <f aca="false">IFERROR(VLOOKUP($A138,03_質問施策マッピング!$A:$B,2,0),"")</f>
        <v>AIMF-PR-EDU-002</v>
      </c>
      <c r="U138" s="10" t="str">
        <f aca="false">IF($T138="","",IFERROR(VLOOKUP($T138,02_施策マスター!$A:$B,2,0),""))</f>
        <v>開発者向けセキュアAI開発研修</v>
      </c>
      <c r="V138" s="10" t="str">
        <f aca="false">IF($R138="","",$R138+(1000-ROW())/1000000)</f>
        <v/>
      </c>
      <c r="W138" s="10" t="str">
        <f aca="false">IF($V138="","",COUNTIF($V$2:$V$208,"&gt;"&amp;$V138)+1)</f>
        <v/>
      </c>
      <c r="X138" s="10" t="s">
        <v>116</v>
      </c>
    </row>
    <row r="139" customFormat="false" ht="32.8" hidden="false" customHeight="false" outlineLevel="0" collapsed="false">
      <c r="A139" s="10" t="s">
        <v>542</v>
      </c>
      <c r="B139" s="10" t="s">
        <v>312</v>
      </c>
      <c r="C139" s="10" t="s">
        <v>536</v>
      </c>
      <c r="D139" s="10" t="s">
        <v>543</v>
      </c>
      <c r="E139" s="10" t="s">
        <v>544</v>
      </c>
      <c r="F139" s="10" t="s">
        <v>98</v>
      </c>
      <c r="G139" s="10" t="s">
        <v>99</v>
      </c>
      <c r="H139" s="12" t="str">
        <f aca="false">IF(OR($G139="all",AND(00_はじめに!$B$24="Y",ISNUMBER(SEARCH("traditional",$G139))),AND(00_はじめに!$B$25="Y",ISNUMBER(SEARCH("generative",$G139))),AND(00_はじめに!$B$26="Y",ISNUMBER(SEARCH("ai-agent",$G139))),AND(00_はじめに!$B$27="Y",ISNUMBER(SEARCH("multi-agent",$G139)))),"○","対象外")</f>
        <v>○</v>
      </c>
      <c r="I139" s="13"/>
      <c r="J139" s="14" t="n">
        <v>3</v>
      </c>
      <c r="K139" s="12" t="str">
        <f aca="false">IF(OR($H139="対象外",$I139="",$J139=""),"",$J139-$I139)</f>
        <v/>
      </c>
      <c r="L139" s="14" t="n">
        <v>4</v>
      </c>
      <c r="M139" s="14" t="n">
        <v>3</v>
      </c>
      <c r="N139" s="14" t="n">
        <v>4</v>
      </c>
      <c r="O139" s="14" t="n">
        <v>5</v>
      </c>
      <c r="P139" s="14" t="n">
        <v>3</v>
      </c>
      <c r="Q139" s="14" t="n">
        <v>2</v>
      </c>
      <c r="R139" s="15" t="str">
        <f aca="false">IF(OR($H139="対象外",$K139="",$L139="",$M139="",$N139="",$O139="",$P139="",$Q139=""),"",($K139*$L139*$M139*$N139*$O139*$P139)/$Q139)</f>
        <v/>
      </c>
      <c r="S139" s="12" t="str">
        <f aca="false">IF($H139="対象外","",IF(OR($I139="",$J139=""),"",IF(OR($J139-$I139&gt;0,AND($R139&lt;&gt;"",$R139&gt;=00_はじめに!$B$19)),"○","")))</f>
        <v/>
      </c>
      <c r="T139" s="10" t="str">
        <f aca="false">IFERROR(VLOOKUP($A139,03_質問施策マッピング!$A:$B,2,0),"")</f>
        <v>AIMF-PR-EDU-003</v>
      </c>
      <c r="U139" s="10" t="str">
        <f aca="false">IF($T139="","",IFERROR(VLOOKUP($T139,02_施策マスター!$A:$B,2,0),""))</f>
        <v>AI生成ソーシャルエンジニアリング対応訓練</v>
      </c>
      <c r="V139" s="10" t="str">
        <f aca="false">IF($R139="","",$R139+(1000-ROW())/1000000)</f>
        <v/>
      </c>
      <c r="W139" s="10" t="str">
        <f aca="false">IF($V139="","",COUNTIF($V$2:$V$208,"&gt;"&amp;$V139)+1)</f>
        <v/>
      </c>
      <c r="X139" s="10" t="s">
        <v>116</v>
      </c>
    </row>
    <row r="140" customFormat="false" ht="32.8" hidden="false" customHeight="false" outlineLevel="0" collapsed="false">
      <c r="A140" s="10" t="s">
        <v>545</v>
      </c>
      <c r="B140" s="10" t="s">
        <v>312</v>
      </c>
      <c r="C140" s="10" t="s">
        <v>536</v>
      </c>
      <c r="D140" s="11" t="s">
        <v>546</v>
      </c>
      <c r="E140" s="11" t="s">
        <v>547</v>
      </c>
      <c r="F140" s="10" t="s">
        <v>98</v>
      </c>
      <c r="G140" s="10" t="s">
        <v>99</v>
      </c>
      <c r="H140" s="12" t="str">
        <f aca="false">IF(OR($G140="all",AND(00_はじめに!$B$24="Y",ISNUMBER(SEARCH("traditional",$G140))),AND(00_はじめに!$B$25="Y",ISNUMBER(SEARCH("generative",$G140))),AND(00_はじめに!$B$26="Y",ISNUMBER(SEARCH("ai-agent",$G140))),AND(00_はじめに!$B$27="Y",ISNUMBER(SEARCH("multi-agent",$G140)))),"○","対象外")</f>
        <v>○</v>
      </c>
      <c r="I140" s="13"/>
      <c r="J140" s="14" t="n">
        <v>3</v>
      </c>
      <c r="K140" s="12" t="str">
        <f aca="false">IF(OR($H140="対象外",$I140="",$J140=""),"",$J140-$I140)</f>
        <v/>
      </c>
      <c r="L140" s="14" t="n">
        <v>4</v>
      </c>
      <c r="M140" s="14" t="n">
        <v>3</v>
      </c>
      <c r="N140" s="14" t="n">
        <v>4</v>
      </c>
      <c r="O140" s="14" t="n">
        <v>5</v>
      </c>
      <c r="P140" s="14" t="n">
        <v>3</v>
      </c>
      <c r="Q140" s="14" t="n">
        <v>2</v>
      </c>
      <c r="R140" s="15" t="str">
        <f aca="false">IF(OR($H140="対象外",$K140="",$L140="",$M140="",$N140="",$O140="",$P140="",$Q140=""),"",($K140*$L140*$M140*$N140*$O140*$P140)/$Q140)</f>
        <v/>
      </c>
      <c r="S140" s="12" t="str">
        <f aca="false">IF($H140="対象外","",IF(OR($I140="",$J140=""),"",IF(OR($J140-$I140&gt;0,AND($R140&lt;&gt;"",$R140&gt;=00_はじめに!$B$19)),"○","")))</f>
        <v/>
      </c>
      <c r="T140" s="10" t="str">
        <f aca="false">IFERROR(VLOOKUP($A140,03_質問施策マッピング!$A:$B,2,0),"")</f>
        <v>AIMF-PR-EDU-004</v>
      </c>
      <c r="U140" s="10" t="str">
        <f aca="false">IF($T140="","",IFERROR(VLOOKUP($T140,02_施策マスター!$A:$B,2,0),""))</f>
        <v>経営層向けAIサイバーリスクブリーフィング</v>
      </c>
      <c r="V140" s="10" t="str">
        <f aca="false">IF($R140="","",$R140+(1000-ROW())/1000000)</f>
        <v/>
      </c>
      <c r="W140" s="10" t="str">
        <f aca="false">IF($V140="","",COUNTIF($V$2:$V$208,"&gt;"&amp;$V140)+1)</f>
        <v/>
      </c>
      <c r="X140" s="10" t="s">
        <v>116</v>
      </c>
    </row>
    <row r="141" customFormat="false" ht="39.55" hidden="false" customHeight="false" outlineLevel="0" collapsed="false">
      <c r="A141" s="10" t="s">
        <v>548</v>
      </c>
      <c r="B141" s="10" t="s">
        <v>549</v>
      </c>
      <c r="C141" s="10" t="s">
        <v>313</v>
      </c>
      <c r="D141" s="10" t="s">
        <v>550</v>
      </c>
      <c r="E141" s="11" t="s">
        <v>551</v>
      </c>
      <c r="F141" s="10" t="s">
        <v>98</v>
      </c>
      <c r="G141" s="10" t="s">
        <v>99</v>
      </c>
      <c r="H141" s="12" t="str">
        <f aca="false">IF(OR($G141="all",AND(00_はじめに!$B$24="Y",ISNUMBER(SEARCH("traditional",$G141))),AND(00_はじめに!$B$25="Y",ISNUMBER(SEARCH("generative",$G141))),AND(00_はじめに!$B$26="Y",ISNUMBER(SEARCH("ai-agent",$G141))),AND(00_はじめに!$B$27="Y",ISNUMBER(SEARCH("multi-agent",$G141)))),"○","対象外")</f>
        <v>○</v>
      </c>
      <c r="I141" s="13"/>
      <c r="J141" s="14" t="n">
        <v>4</v>
      </c>
      <c r="K141" s="12" t="str">
        <f aca="false">IF(OR($H141="対象外",$I141="",$J141=""),"",$J141-$I141)</f>
        <v/>
      </c>
      <c r="L141" s="14" t="n">
        <v>4</v>
      </c>
      <c r="M141" s="14" t="n">
        <v>4</v>
      </c>
      <c r="N141" s="14" t="n">
        <v>4</v>
      </c>
      <c r="O141" s="14" t="n">
        <v>4</v>
      </c>
      <c r="P141" s="14" t="n">
        <v>3</v>
      </c>
      <c r="Q141" s="14" t="n">
        <v>3</v>
      </c>
      <c r="R141" s="15" t="str">
        <f aca="false">IF(OR($H141="対象外",$K141="",$L141="",$M141="",$N141="",$O141="",$P141="",$Q141=""),"",($K141*$L141*$M141*$N141*$O141*$P141)/$Q141)</f>
        <v/>
      </c>
      <c r="S141" s="12" t="str">
        <f aca="false">IF($H141="対象外","",IF(OR($I141="",$J141=""),"",IF(OR($J141-$I141&gt;0,AND($R141&lt;&gt;"",$R141&gt;=00_はじめに!$B$19)),"○","")))</f>
        <v/>
      </c>
      <c r="T141" s="10" t="str">
        <f aca="false">IFERROR(VLOOKUP($A141,03_質問施策マッピング!$A:$B,2,0),"")</f>
        <v>AIMF-DE-VUL-001</v>
      </c>
      <c r="U141" s="10" t="str">
        <f aca="false">IF($T141="","",IFERROR(VLOOKUP($T141,02_施策マスター!$A:$B,2,0),""))</f>
        <v>SBOM/AI-BOMの継続的脆弱性スキャン</v>
      </c>
      <c r="V141" s="10" t="str">
        <f aca="false">IF($R141="","",$R141+(1000-ROW())/1000000)</f>
        <v/>
      </c>
      <c r="W141" s="10" t="str">
        <f aca="false">IF($V141="","",COUNTIF($V$2:$V$208,"&gt;"&amp;$V141)+1)</f>
        <v/>
      </c>
      <c r="X141" s="10" t="s">
        <v>100</v>
      </c>
    </row>
    <row r="142" customFormat="false" ht="39.55" hidden="false" customHeight="false" outlineLevel="0" collapsed="false">
      <c r="A142" s="10" t="s">
        <v>552</v>
      </c>
      <c r="B142" s="10" t="s">
        <v>549</v>
      </c>
      <c r="C142" s="10" t="s">
        <v>313</v>
      </c>
      <c r="D142" s="11" t="s">
        <v>553</v>
      </c>
      <c r="E142" s="11" t="s">
        <v>554</v>
      </c>
      <c r="F142" s="10" t="s">
        <v>98</v>
      </c>
      <c r="G142" s="10" t="s">
        <v>99</v>
      </c>
      <c r="H142" s="12" t="str">
        <f aca="false">IF(OR($G142="all",AND(00_はじめに!$B$24="Y",ISNUMBER(SEARCH("traditional",$G142))),AND(00_はじめに!$B$25="Y",ISNUMBER(SEARCH("generative",$G142))),AND(00_はじめに!$B$26="Y",ISNUMBER(SEARCH("ai-agent",$G142))),AND(00_はじめに!$B$27="Y",ISNUMBER(SEARCH("multi-agent",$G142)))),"○","対象外")</f>
        <v>○</v>
      </c>
      <c r="I142" s="13"/>
      <c r="J142" s="14" t="n">
        <v>3</v>
      </c>
      <c r="K142" s="12" t="str">
        <f aca="false">IF(OR($H142="対象外",$I142="",$J142=""),"",$J142-$I142)</f>
        <v/>
      </c>
      <c r="L142" s="14" t="n">
        <v>4</v>
      </c>
      <c r="M142" s="14" t="n">
        <v>4</v>
      </c>
      <c r="N142" s="14" t="n">
        <v>4</v>
      </c>
      <c r="O142" s="14" t="n">
        <v>4</v>
      </c>
      <c r="P142" s="14" t="n">
        <v>3</v>
      </c>
      <c r="Q142" s="14" t="n">
        <v>3</v>
      </c>
      <c r="R142" s="15" t="str">
        <f aca="false">IF(OR($H142="対象外",$K142="",$L142="",$M142="",$N142="",$O142="",$P142="",$Q142=""),"",($K142*$L142*$M142*$N142*$O142*$P142)/$Q142)</f>
        <v/>
      </c>
      <c r="S142" s="12" t="str">
        <f aca="false">IF($H142="対象外","",IF(OR($I142="",$J142=""),"",IF(OR($J142-$I142&gt;0,AND($R142&lt;&gt;"",$R142&gt;=00_はじめに!$B$19)),"○","")))</f>
        <v/>
      </c>
      <c r="T142" s="10" t="str">
        <f aca="false">IFERROR(VLOOKUP($A142,03_質問施策マッピング!$A:$B,2,0),"")</f>
        <v>AIMF-DE-VUL-002</v>
      </c>
      <c r="U142" s="10" t="str">
        <f aca="false">IF($T142="","",IFERROR(VLOOKUP($T142,02_施策マスター!$A:$B,2,0),""))</f>
        <v>悪性パッケージ・依存関係侵害の検知</v>
      </c>
      <c r="V142" s="10" t="str">
        <f aca="false">IF($R142="","",$R142+(1000-ROW())/1000000)</f>
        <v/>
      </c>
      <c r="W142" s="10" t="str">
        <f aca="false">IF($V142="","",COUNTIF($V$2:$V$208,"&gt;"&amp;$V142)+1)</f>
        <v/>
      </c>
      <c r="X142" s="10" t="s">
        <v>116</v>
      </c>
    </row>
    <row r="143" customFormat="false" ht="26.85" hidden="false" customHeight="false" outlineLevel="0" collapsed="false">
      <c r="A143" s="10" t="s">
        <v>555</v>
      </c>
      <c r="B143" s="10" t="s">
        <v>549</v>
      </c>
      <c r="C143" s="10" t="s">
        <v>313</v>
      </c>
      <c r="D143" s="11" t="s">
        <v>556</v>
      </c>
      <c r="E143" s="11" t="s">
        <v>557</v>
      </c>
      <c r="F143" s="10" t="s">
        <v>133</v>
      </c>
      <c r="G143" s="10" t="s">
        <v>99</v>
      </c>
      <c r="H143" s="12" t="str">
        <f aca="false">IF(OR($G143="all",AND(00_はじめに!$B$24="Y",ISNUMBER(SEARCH("traditional",$G143))),AND(00_はじめに!$B$25="Y",ISNUMBER(SEARCH("generative",$G143))),AND(00_はじめに!$B$26="Y",ISNUMBER(SEARCH("ai-agent",$G143))),AND(00_はじめに!$B$27="Y",ISNUMBER(SEARCH("multi-agent",$G143)))),"○","対象外")</f>
        <v>○</v>
      </c>
      <c r="I143" s="13"/>
      <c r="J143" s="14" t="n">
        <v>3</v>
      </c>
      <c r="K143" s="12" t="str">
        <f aca="false">IF(OR($H143="対象外",$I143="",$J143=""),"",$J143-$I143)</f>
        <v/>
      </c>
      <c r="L143" s="14" t="n">
        <v>4</v>
      </c>
      <c r="M143" s="14" t="n">
        <v>4</v>
      </c>
      <c r="N143" s="14" t="n">
        <v>4</v>
      </c>
      <c r="O143" s="14" t="n">
        <v>2</v>
      </c>
      <c r="P143" s="14" t="n">
        <v>3</v>
      </c>
      <c r="Q143" s="14" t="n">
        <v>4</v>
      </c>
      <c r="R143" s="15" t="str">
        <f aca="false">IF(OR($H143="対象外",$K143="",$L143="",$M143="",$N143="",$O143="",$P143="",$Q143=""),"",($K143*$L143*$M143*$N143*$O143*$P143)/$Q143)</f>
        <v/>
      </c>
      <c r="S143" s="12" t="str">
        <f aca="false">IF($H143="対象外","",IF(OR($I143="",$J143=""),"",IF(OR($J143-$I143&gt;0,AND($R143&lt;&gt;"",$R143&gt;=00_はじめに!$B$19)),"○","")))</f>
        <v/>
      </c>
      <c r="T143" s="10" t="str">
        <f aca="false">IFERROR(VLOOKUP($A143,03_質問施策マッピング!$A:$B,2,0),"")</f>
        <v>AIMF-DE-VUL-003</v>
      </c>
      <c r="U143" s="10" t="str">
        <f aca="false">IF($T143="","",IFERROR(VLOOKUP($T143,02_施策マスター!$A:$B,2,0),""))</f>
        <v>モデルレジストリ・リポジトリの改ざん検知</v>
      </c>
      <c r="V143" s="10" t="str">
        <f aca="false">IF($R143="","",$R143+(1000-ROW())/1000000)</f>
        <v/>
      </c>
      <c r="W143" s="10" t="str">
        <f aca="false">IF($V143="","",COUNTIF($V$2:$V$208,"&gt;"&amp;$V143)+1)</f>
        <v/>
      </c>
      <c r="X143" s="10" t="s">
        <v>116</v>
      </c>
    </row>
    <row r="144" customFormat="false" ht="26.85" hidden="false" customHeight="false" outlineLevel="0" collapsed="false">
      <c r="A144" s="10" t="s">
        <v>558</v>
      </c>
      <c r="B144" s="10" t="s">
        <v>549</v>
      </c>
      <c r="C144" s="10" t="s">
        <v>559</v>
      </c>
      <c r="D144" s="11" t="s">
        <v>560</v>
      </c>
      <c r="E144" s="11" t="s">
        <v>561</v>
      </c>
      <c r="F144" s="10" t="s">
        <v>133</v>
      </c>
      <c r="G144" s="10" t="s">
        <v>203</v>
      </c>
      <c r="H144" s="12" t="str">
        <f aca="false">IF(OR($G144="all",AND(00_はじめに!$B$24="Y",ISNUMBER(SEARCH("traditional",$G144))),AND(00_はじめに!$B$25="Y",ISNUMBER(SEARCH("generative",$G144))),AND(00_はじめに!$B$26="Y",ISNUMBER(SEARCH("ai-agent",$G144))),AND(00_はじめに!$B$27="Y",ISNUMBER(SEARCH("multi-agent",$G144)))),"○","対象外")</f>
        <v>○</v>
      </c>
      <c r="I144" s="13"/>
      <c r="J144" s="14" t="n">
        <v>4</v>
      </c>
      <c r="K144" s="12" t="str">
        <f aca="false">IF(OR($H144="対象外",$I144="",$J144=""),"",$J144-$I144)</f>
        <v/>
      </c>
      <c r="L144" s="14" t="n">
        <v>5</v>
      </c>
      <c r="M144" s="14" t="n">
        <v>4</v>
      </c>
      <c r="N144" s="14" t="n">
        <v>4</v>
      </c>
      <c r="O144" s="14" t="n">
        <v>2</v>
      </c>
      <c r="P144" s="14" t="n">
        <v>3</v>
      </c>
      <c r="Q144" s="14" t="n">
        <v>4</v>
      </c>
      <c r="R144" s="15" t="str">
        <f aca="false">IF(OR($H144="対象外",$K144="",$L144="",$M144="",$N144="",$O144="",$P144="",$Q144=""),"",($K144*$L144*$M144*$N144*$O144*$P144)/$Q144)</f>
        <v/>
      </c>
      <c r="S144" s="12" t="str">
        <f aca="false">IF($H144="対象外","",IF(OR($I144="",$J144=""),"",IF(OR($J144-$I144&gt;0,AND($R144&lt;&gt;"",$R144&gt;=00_はじめに!$B$19)),"○","")))</f>
        <v/>
      </c>
      <c r="T144" s="10" t="str">
        <f aca="false">IFERROR(VLOOKUP($A144,03_質問施策マッピング!$A:$B,2,0),"")</f>
        <v>AIMF-DE-IOM-001</v>
      </c>
      <c r="U144" s="10" t="str">
        <f aca="false">IF($T144="","",IFERROR(VLOOKUP($T144,02_施策マスター!$A:$B,2,0),""))</f>
        <v>セマンティック・アノマリー検知</v>
      </c>
      <c r="V144" s="10" t="str">
        <f aca="false">IF($R144="","",$R144+(1000-ROW())/1000000)</f>
        <v/>
      </c>
      <c r="W144" s="10" t="str">
        <f aca="false">IF($V144="","",COUNTIF($V$2:$V$208,"&gt;"&amp;$V144)+1)</f>
        <v/>
      </c>
      <c r="X144" s="10" t="s">
        <v>100</v>
      </c>
    </row>
    <row r="145" customFormat="false" ht="26.85" hidden="false" customHeight="false" outlineLevel="0" collapsed="false">
      <c r="A145" s="10" t="s">
        <v>562</v>
      </c>
      <c r="B145" s="10" t="s">
        <v>549</v>
      </c>
      <c r="C145" s="10" t="s">
        <v>559</v>
      </c>
      <c r="D145" s="10" t="s">
        <v>563</v>
      </c>
      <c r="E145" s="11" t="s">
        <v>564</v>
      </c>
      <c r="F145" s="10" t="s">
        <v>133</v>
      </c>
      <c r="G145" s="10" t="s">
        <v>233</v>
      </c>
      <c r="H145" s="12" t="str">
        <f aca="false">IF(OR($G145="all",AND(00_はじめに!$B$24="Y",ISNUMBER(SEARCH("traditional",$G145))),AND(00_はじめに!$B$25="Y",ISNUMBER(SEARCH("generative",$G145))),AND(00_はじめに!$B$26="Y",ISNUMBER(SEARCH("ai-agent",$G145))),AND(00_はじめに!$B$27="Y",ISNUMBER(SEARCH("multi-agent",$G145)))),"○","対象外")</f>
        <v>○</v>
      </c>
      <c r="I145" s="13"/>
      <c r="J145" s="14" t="n">
        <v>4</v>
      </c>
      <c r="K145" s="12" t="str">
        <f aca="false">IF(OR($H145="対象外",$I145="",$J145=""),"",$J145-$I145)</f>
        <v/>
      </c>
      <c r="L145" s="14" t="n">
        <v>5</v>
      </c>
      <c r="M145" s="14" t="n">
        <v>4</v>
      </c>
      <c r="N145" s="14" t="n">
        <v>5</v>
      </c>
      <c r="O145" s="14" t="n">
        <v>2</v>
      </c>
      <c r="P145" s="14" t="n">
        <v>3</v>
      </c>
      <c r="Q145" s="14" t="n">
        <v>4</v>
      </c>
      <c r="R145" s="15" t="str">
        <f aca="false">IF(OR($H145="対象外",$K145="",$L145="",$M145="",$N145="",$O145="",$P145="",$Q145=""),"",($K145*$L145*$M145*$N145*$O145*$P145)/$Q145)</f>
        <v/>
      </c>
      <c r="S145" s="12" t="str">
        <f aca="false">IF($H145="対象外","",IF(OR($I145="",$J145=""),"",IF(OR($J145-$I145&gt;0,AND($R145&lt;&gt;"",$R145&gt;=00_はじめに!$B$19)),"○","")))</f>
        <v/>
      </c>
      <c r="T145" s="10" t="str">
        <f aca="false">IFERROR(VLOOKUP($A145,03_質問施策マッピング!$A:$B,2,0),"")</f>
        <v>AIMF-DE-IOM-002</v>
      </c>
      <c r="U145" s="10" t="str">
        <f aca="false">IF($T145="","",IFERROR(VLOOKUP($T145,02_施策マスター!$A:$B,2,0),""))</f>
        <v>LLM監査ログ（プロンプト・レスポンス）の一元記録</v>
      </c>
      <c r="V145" s="10" t="str">
        <f aca="false">IF($R145="","",$R145+(1000-ROW())/1000000)</f>
        <v/>
      </c>
      <c r="W145" s="10" t="str">
        <f aca="false">IF($V145="","",COUNTIF($V$2:$V$208,"&gt;"&amp;$V145)+1)</f>
        <v/>
      </c>
      <c r="X145" s="10" t="s">
        <v>100</v>
      </c>
    </row>
    <row r="146" customFormat="false" ht="26.85" hidden="false" customHeight="false" outlineLevel="0" collapsed="false">
      <c r="A146" s="10" t="s">
        <v>565</v>
      </c>
      <c r="B146" s="10" t="s">
        <v>549</v>
      </c>
      <c r="C146" s="10" t="s">
        <v>559</v>
      </c>
      <c r="D146" s="11" t="s">
        <v>566</v>
      </c>
      <c r="E146" s="11" t="s">
        <v>567</v>
      </c>
      <c r="F146" s="10" t="s">
        <v>133</v>
      </c>
      <c r="G146" s="10" t="s">
        <v>134</v>
      </c>
      <c r="H146" s="12" t="str">
        <f aca="false">IF(OR($G146="all",AND(00_はじめに!$B$24="Y",ISNUMBER(SEARCH("traditional",$G146))),AND(00_はじめに!$B$25="Y",ISNUMBER(SEARCH("generative",$G146))),AND(00_はじめに!$B$26="Y",ISNUMBER(SEARCH("ai-agent",$G146))),AND(00_はじめに!$B$27="Y",ISNUMBER(SEARCH("multi-agent",$G146)))),"○","対象外")</f>
        <v>○</v>
      </c>
      <c r="I146" s="13"/>
      <c r="J146" s="14" t="n">
        <v>4</v>
      </c>
      <c r="K146" s="12" t="str">
        <f aca="false">IF(OR($H146="対象外",$I146="",$J146=""),"",$J146-$I146)</f>
        <v/>
      </c>
      <c r="L146" s="14" t="n">
        <v>5</v>
      </c>
      <c r="M146" s="14" t="n">
        <v>4</v>
      </c>
      <c r="N146" s="14" t="n">
        <v>5</v>
      </c>
      <c r="O146" s="14" t="n">
        <v>2</v>
      </c>
      <c r="P146" s="14" t="n">
        <v>3</v>
      </c>
      <c r="Q146" s="14" t="n">
        <v>4</v>
      </c>
      <c r="R146" s="15" t="str">
        <f aca="false">IF(OR($H146="対象外",$K146="",$L146="",$M146="",$N146="",$O146="",$P146="",$Q146=""),"",($K146*$L146*$M146*$N146*$O146*$P146)/$Q146)</f>
        <v/>
      </c>
      <c r="S146" s="12" t="str">
        <f aca="false">IF($H146="対象外","",IF(OR($I146="",$J146=""),"",IF(OR($J146-$I146&gt;0,AND($R146&lt;&gt;"",$R146&gt;=00_はじめに!$B$19)),"○","")))</f>
        <v/>
      </c>
      <c r="T146" s="10" t="str">
        <f aca="false">IFERROR(VLOOKUP($A146,03_質問施策マッピング!$A:$B,2,0),"")</f>
        <v>AIMF-DE-IOM-003</v>
      </c>
      <c r="U146" s="10" t="str">
        <f aca="false">IF($T146="","",IFERROR(VLOOKUP($T146,02_施策マスター!$A:$B,2,0),""))</f>
        <v>ハルシネーション・信頼度の動的監視</v>
      </c>
      <c r="V146" s="10" t="str">
        <f aca="false">IF($R146="","",$R146+(1000-ROW())/1000000)</f>
        <v/>
      </c>
      <c r="W146" s="10" t="str">
        <f aca="false">IF($V146="","",COUNTIF($V$2:$V$208,"&gt;"&amp;$V146)+1)</f>
        <v/>
      </c>
      <c r="X146" s="10" t="s">
        <v>100</v>
      </c>
    </row>
    <row r="147" customFormat="false" ht="26.85" hidden="false" customHeight="false" outlineLevel="0" collapsed="false">
      <c r="A147" s="10" t="s">
        <v>568</v>
      </c>
      <c r="B147" s="10" t="s">
        <v>549</v>
      </c>
      <c r="C147" s="10" t="s">
        <v>559</v>
      </c>
      <c r="D147" s="11" t="s">
        <v>569</v>
      </c>
      <c r="E147" s="11" t="s">
        <v>570</v>
      </c>
      <c r="F147" s="10" t="s">
        <v>133</v>
      </c>
      <c r="G147" s="10" t="s">
        <v>203</v>
      </c>
      <c r="H147" s="12" t="str">
        <f aca="false">IF(OR($G147="all",AND(00_はじめに!$B$24="Y",ISNUMBER(SEARCH("traditional",$G147))),AND(00_はじめに!$B$25="Y",ISNUMBER(SEARCH("generative",$G147))),AND(00_はじめに!$B$26="Y",ISNUMBER(SEARCH("ai-agent",$G147))),AND(00_はじめに!$B$27="Y",ISNUMBER(SEARCH("multi-agent",$G147)))),"○","対象外")</f>
        <v>○</v>
      </c>
      <c r="I147" s="13"/>
      <c r="J147" s="14" t="n">
        <v>3</v>
      </c>
      <c r="K147" s="12" t="str">
        <f aca="false">IF(OR($H147="対象外",$I147="",$J147=""),"",$J147-$I147)</f>
        <v/>
      </c>
      <c r="L147" s="14" t="n">
        <v>5</v>
      </c>
      <c r="M147" s="14" t="n">
        <v>4</v>
      </c>
      <c r="N147" s="14" t="n">
        <v>4</v>
      </c>
      <c r="O147" s="14" t="n">
        <v>2</v>
      </c>
      <c r="P147" s="14" t="n">
        <v>3</v>
      </c>
      <c r="Q147" s="14" t="n">
        <v>4</v>
      </c>
      <c r="R147" s="15" t="str">
        <f aca="false">IF(OR($H147="対象外",$K147="",$L147="",$M147="",$N147="",$O147="",$P147="",$Q147=""),"",($K147*$L147*$M147*$N147*$O147*$P147)/$Q147)</f>
        <v/>
      </c>
      <c r="S147" s="12" t="str">
        <f aca="false">IF($H147="対象外","",IF(OR($I147="",$J147=""),"",IF(OR($J147-$I147&gt;0,AND($R147&lt;&gt;"",$R147&gt;=00_はじめに!$B$19)),"○","")))</f>
        <v/>
      </c>
      <c r="T147" s="10" t="str">
        <f aca="false">IFERROR(VLOOKUP($A147,03_質問施策マッピング!$A:$B,2,0),"")</f>
        <v>AIMF-DE-IOM-004</v>
      </c>
      <c r="U147" s="10" t="str">
        <f aca="false">IF($T147="","",IFERROR(VLOOKUP($T147,02_施策マスター!$A:$B,2,0),""))</f>
        <v>プロンプトインジェクション検知ルールの管理</v>
      </c>
      <c r="V147" s="10" t="str">
        <f aca="false">IF($R147="","",$R147+(1000-ROW())/1000000)</f>
        <v/>
      </c>
      <c r="W147" s="10" t="str">
        <f aca="false">IF($V147="","",COUNTIF($V$2:$V$208,"&gt;"&amp;$V147)+1)</f>
        <v/>
      </c>
      <c r="X147" s="10" t="s">
        <v>116</v>
      </c>
    </row>
    <row r="148" customFormat="false" ht="26.85" hidden="false" customHeight="false" outlineLevel="0" collapsed="false">
      <c r="A148" s="10" t="s">
        <v>571</v>
      </c>
      <c r="B148" s="10" t="s">
        <v>549</v>
      </c>
      <c r="C148" s="10" t="s">
        <v>559</v>
      </c>
      <c r="D148" s="11" t="s">
        <v>572</v>
      </c>
      <c r="E148" s="11" t="s">
        <v>573</v>
      </c>
      <c r="F148" s="10" t="s">
        <v>133</v>
      </c>
      <c r="G148" s="10" t="s">
        <v>203</v>
      </c>
      <c r="H148" s="12" t="str">
        <f aca="false">IF(OR($G148="all",AND(00_はじめに!$B$24="Y",ISNUMBER(SEARCH("traditional",$G148))),AND(00_はじめに!$B$25="Y",ISNUMBER(SEARCH("generative",$G148))),AND(00_はじめに!$B$26="Y",ISNUMBER(SEARCH("ai-agent",$G148))),AND(00_はじめに!$B$27="Y",ISNUMBER(SEARCH("multi-agent",$G148)))),"○","対象外")</f>
        <v>○</v>
      </c>
      <c r="I148" s="13"/>
      <c r="J148" s="14" t="n">
        <v>3</v>
      </c>
      <c r="K148" s="12" t="str">
        <f aca="false">IF(OR($H148="対象外",$I148="",$J148=""),"",$J148-$I148)</f>
        <v/>
      </c>
      <c r="L148" s="14" t="n">
        <v>5</v>
      </c>
      <c r="M148" s="14" t="n">
        <v>4</v>
      </c>
      <c r="N148" s="14" t="n">
        <v>4</v>
      </c>
      <c r="O148" s="14" t="n">
        <v>2</v>
      </c>
      <c r="P148" s="14" t="n">
        <v>3</v>
      </c>
      <c r="Q148" s="14" t="n">
        <v>4</v>
      </c>
      <c r="R148" s="15" t="str">
        <f aca="false">IF(OR($H148="対象外",$K148="",$L148="",$M148="",$N148="",$O148="",$P148="",$Q148=""),"",($K148*$L148*$M148*$N148*$O148*$P148)/$Q148)</f>
        <v/>
      </c>
      <c r="S148" s="12" t="str">
        <f aca="false">IF($H148="対象外","",IF(OR($I148="",$J148=""),"",IF(OR($J148-$I148&gt;0,AND($R148&lt;&gt;"",$R148&gt;=00_はじめに!$B$19)),"○","")))</f>
        <v/>
      </c>
      <c r="T148" s="10" t="str">
        <f aca="false">IFERROR(VLOOKUP($A148,03_質問施策マッピング!$A:$B,2,0),"")</f>
        <v>AIMF-DE-IOM-005</v>
      </c>
      <c r="U148" s="10" t="str">
        <f aca="false">IF($T148="","",IFERROR(VLOOKUP($T148,02_施策マスター!$A:$B,2,0),""))</f>
        <v>脱獄・ポリシー回避試行のスコアリング検知</v>
      </c>
      <c r="V148" s="10" t="str">
        <f aca="false">IF($R148="","",$R148+(1000-ROW())/1000000)</f>
        <v/>
      </c>
      <c r="W148" s="10" t="str">
        <f aca="false">IF($V148="","",COUNTIF($V$2:$V$208,"&gt;"&amp;$V148)+1)</f>
        <v/>
      </c>
      <c r="X148" s="10" t="s">
        <v>116</v>
      </c>
    </row>
    <row r="149" customFormat="false" ht="39.55" hidden="false" customHeight="false" outlineLevel="0" collapsed="false">
      <c r="A149" s="10" t="s">
        <v>574</v>
      </c>
      <c r="B149" s="10" t="s">
        <v>549</v>
      </c>
      <c r="C149" s="10" t="s">
        <v>559</v>
      </c>
      <c r="D149" s="11" t="s">
        <v>575</v>
      </c>
      <c r="E149" s="11" t="s">
        <v>576</v>
      </c>
      <c r="F149" s="10" t="s">
        <v>133</v>
      </c>
      <c r="G149" s="10" t="s">
        <v>203</v>
      </c>
      <c r="H149" s="12" t="str">
        <f aca="false">IF(OR($G149="all",AND(00_はじめに!$B$24="Y",ISNUMBER(SEARCH("traditional",$G149))),AND(00_はじめに!$B$25="Y",ISNUMBER(SEARCH("generative",$G149))),AND(00_はじめに!$B$26="Y",ISNUMBER(SEARCH("ai-agent",$G149))),AND(00_はじめに!$B$27="Y",ISNUMBER(SEARCH("multi-agent",$G149)))),"○","対象外")</f>
        <v>○</v>
      </c>
      <c r="I149" s="13"/>
      <c r="J149" s="14" t="n">
        <v>3</v>
      </c>
      <c r="K149" s="12" t="str">
        <f aca="false">IF(OR($H149="対象外",$I149="",$J149=""),"",$J149-$I149)</f>
        <v/>
      </c>
      <c r="L149" s="14" t="n">
        <v>5</v>
      </c>
      <c r="M149" s="14" t="n">
        <v>4</v>
      </c>
      <c r="N149" s="14" t="n">
        <v>4</v>
      </c>
      <c r="O149" s="14" t="n">
        <v>2</v>
      </c>
      <c r="P149" s="14" t="n">
        <v>3</v>
      </c>
      <c r="Q149" s="14" t="n">
        <v>4</v>
      </c>
      <c r="R149" s="15" t="str">
        <f aca="false">IF(OR($H149="対象外",$K149="",$L149="",$M149="",$N149="",$O149="",$P149="",$Q149=""),"",($K149*$L149*$M149*$N149*$O149*$P149)/$Q149)</f>
        <v/>
      </c>
      <c r="S149" s="12" t="str">
        <f aca="false">IF($H149="対象外","",IF(OR($I149="",$J149=""),"",IF(OR($J149-$I149&gt;0,AND($R149&lt;&gt;"",$R149&gt;=00_はじめに!$B$19)),"○","")))</f>
        <v/>
      </c>
      <c r="T149" s="10" t="str">
        <f aca="false">IFERROR(VLOOKUP($A149,03_質問施策マッピング!$A:$B,2,0),"")</f>
        <v>AIMF-DE-IOM-006</v>
      </c>
      <c r="U149" s="10" t="str">
        <f aca="false">IF($T149="","",IFERROR(VLOOKUP($T149,02_施策マスター!$A:$B,2,0),""))</f>
        <v>出力へのPII・機微情報混入検知</v>
      </c>
      <c r="V149" s="10" t="str">
        <f aca="false">IF($R149="","",$R149+(1000-ROW())/1000000)</f>
        <v/>
      </c>
      <c r="W149" s="10" t="str">
        <f aca="false">IF($V149="","",COUNTIF($V$2:$V$208,"&gt;"&amp;$V149)+1)</f>
        <v/>
      </c>
      <c r="X149" s="10" t="s">
        <v>116</v>
      </c>
    </row>
    <row r="150" customFormat="false" ht="39.55" hidden="false" customHeight="false" outlineLevel="0" collapsed="false">
      <c r="A150" s="10" t="s">
        <v>577</v>
      </c>
      <c r="B150" s="10" t="s">
        <v>549</v>
      </c>
      <c r="C150" s="10" t="s">
        <v>559</v>
      </c>
      <c r="D150" s="11" t="s">
        <v>578</v>
      </c>
      <c r="E150" s="11" t="s">
        <v>579</v>
      </c>
      <c r="F150" s="10" t="s">
        <v>133</v>
      </c>
      <c r="G150" s="10" t="s">
        <v>203</v>
      </c>
      <c r="H150" s="12" t="str">
        <f aca="false">IF(OR($G150="all",AND(00_はじめに!$B$24="Y",ISNUMBER(SEARCH("traditional",$G150))),AND(00_はじめに!$B$25="Y",ISNUMBER(SEARCH("generative",$G150))),AND(00_はじめに!$B$26="Y",ISNUMBER(SEARCH("ai-agent",$G150))),AND(00_はじめに!$B$27="Y",ISNUMBER(SEARCH("multi-agent",$G150)))),"○","対象外")</f>
        <v>○</v>
      </c>
      <c r="I150" s="13"/>
      <c r="J150" s="14" t="n">
        <v>3</v>
      </c>
      <c r="K150" s="12" t="str">
        <f aca="false">IF(OR($H150="対象外",$I150="",$J150=""),"",$J150-$I150)</f>
        <v/>
      </c>
      <c r="L150" s="14" t="n">
        <v>5</v>
      </c>
      <c r="M150" s="14" t="n">
        <v>4</v>
      </c>
      <c r="N150" s="14" t="n">
        <v>4</v>
      </c>
      <c r="O150" s="14" t="n">
        <v>2</v>
      </c>
      <c r="P150" s="14" t="n">
        <v>3</v>
      </c>
      <c r="Q150" s="14" t="n">
        <v>4</v>
      </c>
      <c r="R150" s="15" t="str">
        <f aca="false">IF(OR($H150="対象外",$K150="",$L150="",$M150="",$N150="",$O150="",$P150="",$Q150=""),"",($K150*$L150*$M150*$N150*$O150*$P150)/$Q150)</f>
        <v/>
      </c>
      <c r="S150" s="12" t="str">
        <f aca="false">IF($H150="対象外","",IF(OR($I150="",$J150=""),"",IF(OR($J150-$I150&gt;0,AND($R150&lt;&gt;"",$R150&gt;=00_はじめに!$B$19)),"○","")))</f>
        <v/>
      </c>
      <c r="T150" s="10" t="str">
        <f aca="false">IFERROR(VLOOKUP($A150,03_質問施策マッピング!$A:$B,2,0),"")</f>
        <v>AIMF-DE-IOM-007</v>
      </c>
      <c r="U150" s="10" t="str">
        <f aca="false">IF($T150="","",IFERROR(VLOOKUP($T150,02_施策マスター!$A:$B,2,0),""))</f>
        <v>システムプロンプト漏えい・プローブの検知</v>
      </c>
      <c r="V150" s="10" t="str">
        <f aca="false">IF($R150="","",$R150+(1000-ROW())/1000000)</f>
        <v/>
      </c>
      <c r="W150" s="10" t="str">
        <f aca="false">IF($V150="","",COUNTIF($V$2:$V$208,"&gt;"&amp;$V150)+1)</f>
        <v/>
      </c>
      <c r="X150" s="10" t="s">
        <v>116</v>
      </c>
    </row>
    <row r="151" customFormat="false" ht="32.8" hidden="false" customHeight="false" outlineLevel="0" collapsed="false">
      <c r="A151" s="10" t="s">
        <v>580</v>
      </c>
      <c r="B151" s="10" t="s">
        <v>549</v>
      </c>
      <c r="C151" s="10" t="s">
        <v>559</v>
      </c>
      <c r="D151" s="11" t="s">
        <v>581</v>
      </c>
      <c r="E151" s="11" t="s">
        <v>582</v>
      </c>
      <c r="F151" s="10" t="s">
        <v>98</v>
      </c>
      <c r="G151" s="10" t="s">
        <v>99</v>
      </c>
      <c r="H151" s="12" t="str">
        <f aca="false">IF(OR($G151="all",AND(00_はじめに!$B$24="Y",ISNUMBER(SEARCH("traditional",$G151))),AND(00_はじめに!$B$25="Y",ISNUMBER(SEARCH("generative",$G151))),AND(00_はじめに!$B$26="Y",ISNUMBER(SEARCH("ai-agent",$G151))),AND(00_はじめに!$B$27="Y",ISNUMBER(SEARCH("multi-agent",$G151)))),"○","対象外")</f>
        <v>○</v>
      </c>
      <c r="I151" s="13"/>
      <c r="J151" s="14" t="n">
        <v>3</v>
      </c>
      <c r="K151" s="12" t="str">
        <f aca="false">IF(OR($H151="対象外",$I151="",$J151=""),"",$J151-$I151)</f>
        <v/>
      </c>
      <c r="L151" s="14" t="n">
        <v>5</v>
      </c>
      <c r="M151" s="14" t="n">
        <v>4</v>
      </c>
      <c r="N151" s="14" t="n">
        <v>4</v>
      </c>
      <c r="O151" s="14" t="n">
        <v>4</v>
      </c>
      <c r="P151" s="14" t="n">
        <v>3</v>
      </c>
      <c r="Q151" s="14" t="n">
        <v>2</v>
      </c>
      <c r="R151" s="15" t="str">
        <f aca="false">IF(OR($H151="対象外",$K151="",$L151="",$M151="",$N151="",$O151="",$P151="",$Q151=""),"",($K151*$L151*$M151*$N151*$O151*$P151)/$Q151)</f>
        <v/>
      </c>
      <c r="S151" s="12" t="str">
        <f aca="false">IF($H151="対象外","",IF(OR($I151="",$J151=""),"",IF(OR($J151-$I151&gt;0,AND($R151&lt;&gt;"",$R151&gt;=00_はじめに!$B$19)),"○","")))</f>
        <v/>
      </c>
      <c r="T151" s="10" t="str">
        <f aca="false">IFERROR(VLOOKUP($A151,03_質問施策マッピング!$A:$B,2,0),"")</f>
        <v>AIMF-DE-IOM-008</v>
      </c>
      <c r="U151" s="10" t="str">
        <f aca="false">IF($T151="","",IFERROR(VLOOKUP($T151,02_施策マスター!$A:$B,2,0),""))</f>
        <v>利用者行動分析（UEBA）によるAI悪用検知</v>
      </c>
      <c r="V151" s="10" t="str">
        <f aca="false">IF($R151="","",$R151+(1000-ROW())/1000000)</f>
        <v/>
      </c>
      <c r="W151" s="10" t="str">
        <f aca="false">IF($V151="","",COUNTIF($V$2:$V$208,"&gt;"&amp;$V151)+1)</f>
        <v/>
      </c>
      <c r="X151" s="10" t="s">
        <v>116</v>
      </c>
    </row>
    <row r="152" customFormat="false" ht="26.85" hidden="false" customHeight="false" outlineLevel="0" collapsed="false">
      <c r="A152" s="10" t="s">
        <v>583</v>
      </c>
      <c r="B152" s="10" t="s">
        <v>549</v>
      </c>
      <c r="C152" s="10" t="s">
        <v>458</v>
      </c>
      <c r="D152" s="11" t="s">
        <v>584</v>
      </c>
      <c r="E152" s="11" t="s">
        <v>585</v>
      </c>
      <c r="F152" s="10" t="s">
        <v>133</v>
      </c>
      <c r="G152" s="10" t="s">
        <v>166</v>
      </c>
      <c r="H152" s="12" t="str">
        <f aca="false">IF(OR($G152="all",AND(00_はじめに!$B$24="Y",ISNUMBER(SEARCH("traditional",$G152))),AND(00_はじめに!$B$25="Y",ISNUMBER(SEARCH("generative",$G152))),AND(00_はじめに!$B$26="Y",ISNUMBER(SEARCH("ai-agent",$G152))),AND(00_はじめに!$B$27="Y",ISNUMBER(SEARCH("multi-agent",$G152)))),"○","対象外")</f>
        <v>○</v>
      </c>
      <c r="I152" s="13"/>
      <c r="J152" s="14" t="n">
        <v>4</v>
      </c>
      <c r="K152" s="12" t="str">
        <f aca="false">IF(OR($H152="対象外",$I152="",$J152=""),"",$J152-$I152)</f>
        <v/>
      </c>
      <c r="L152" s="14" t="n">
        <v>4</v>
      </c>
      <c r="M152" s="14" t="n">
        <v>4</v>
      </c>
      <c r="N152" s="14" t="n">
        <v>4</v>
      </c>
      <c r="O152" s="14" t="n">
        <v>2</v>
      </c>
      <c r="P152" s="14" t="n">
        <v>3</v>
      </c>
      <c r="Q152" s="14" t="n">
        <v>4</v>
      </c>
      <c r="R152" s="15" t="str">
        <f aca="false">IF(OR($H152="対象外",$K152="",$L152="",$M152="",$N152="",$O152="",$P152="",$Q152=""),"",($K152*$L152*$M152*$N152*$O152*$P152)/$Q152)</f>
        <v/>
      </c>
      <c r="S152" s="12" t="str">
        <f aca="false">IF($H152="対象外","",IF(OR($I152="",$J152=""),"",IF(OR($J152-$I152&gt;0,AND($R152&lt;&gt;"",$R152&gt;=00_はじめに!$B$19)),"○","")))</f>
        <v/>
      </c>
      <c r="T152" s="10" t="str">
        <f aca="false">IFERROR(VLOOKUP($A152,03_質問施策マッピング!$A:$B,2,0),"")</f>
        <v>AIMF-DE-AGT-001</v>
      </c>
      <c r="U152" s="10" t="str">
        <f aca="false">IF($T152="","",IFERROR(VLOOKUP($T152,02_施策マスター!$A:$B,2,0),""))</f>
        <v>エージェント状態遷移・思考プロセスの可視化監視</v>
      </c>
      <c r="V152" s="10" t="str">
        <f aca="false">IF($R152="","",$R152+(1000-ROW())/1000000)</f>
        <v/>
      </c>
      <c r="W152" s="10" t="str">
        <f aca="false">IF($V152="","",COUNTIF($V$2:$V$208,"&gt;"&amp;$V152)+1)</f>
        <v/>
      </c>
      <c r="X152" s="10" t="s">
        <v>100</v>
      </c>
    </row>
    <row r="153" customFormat="false" ht="26.85" hidden="false" customHeight="false" outlineLevel="0" collapsed="false">
      <c r="A153" s="10" t="s">
        <v>586</v>
      </c>
      <c r="B153" s="10" t="s">
        <v>549</v>
      </c>
      <c r="C153" s="10" t="s">
        <v>458</v>
      </c>
      <c r="D153" s="11" t="s">
        <v>587</v>
      </c>
      <c r="E153" s="11" t="s">
        <v>588</v>
      </c>
      <c r="F153" s="10" t="s">
        <v>133</v>
      </c>
      <c r="G153" s="10" t="s">
        <v>482</v>
      </c>
      <c r="H153" s="12" t="str">
        <f aca="false">IF(OR($G153="all",AND(00_はじめに!$B$24="Y",ISNUMBER(SEARCH("traditional",$G153))),AND(00_はじめに!$B$25="Y",ISNUMBER(SEARCH("generative",$G153))),AND(00_はじめに!$B$26="Y",ISNUMBER(SEARCH("ai-agent",$G153))),AND(00_はじめに!$B$27="Y",ISNUMBER(SEARCH("multi-agent",$G153)))),"○","対象外")</f>
        <v>○</v>
      </c>
      <c r="I153" s="13"/>
      <c r="J153" s="14" t="n">
        <v>4</v>
      </c>
      <c r="K153" s="12" t="str">
        <f aca="false">IF(OR($H153="対象外",$I153="",$J153=""),"",$J153-$I153)</f>
        <v/>
      </c>
      <c r="L153" s="14" t="n">
        <v>4</v>
      </c>
      <c r="M153" s="14" t="n">
        <v>4</v>
      </c>
      <c r="N153" s="14" t="n">
        <v>4</v>
      </c>
      <c r="O153" s="14" t="n">
        <v>2</v>
      </c>
      <c r="P153" s="14" t="n">
        <v>3</v>
      </c>
      <c r="Q153" s="14" t="n">
        <v>4</v>
      </c>
      <c r="R153" s="15" t="str">
        <f aca="false">IF(OR($H153="対象外",$K153="",$L153="",$M153="",$N153="",$O153="",$P153="",$Q153=""),"",($K153*$L153*$M153*$N153*$O153*$P153)/$Q153)</f>
        <v/>
      </c>
      <c r="S153" s="12" t="str">
        <f aca="false">IF($H153="対象外","",IF(OR($I153="",$J153=""),"",IF(OR($J153-$I153&gt;0,AND($R153&lt;&gt;"",$R153&gt;=00_はじめに!$B$19)),"○","")))</f>
        <v/>
      </c>
      <c r="T153" s="10" t="str">
        <f aca="false">IFERROR(VLOOKUP($A153,03_質問施策マッピング!$A:$B,2,0),"")</f>
        <v>AIMF-DE-AGT-002</v>
      </c>
      <c r="U153" s="10" t="str">
        <f aca="false">IF($T153="","",IFERROR(VLOOKUP($T153,02_施策マスター!$A:$B,2,0),""))</f>
        <v>エージェント間通信の相互セキュリティスキャン</v>
      </c>
      <c r="V153" s="10" t="str">
        <f aca="false">IF($R153="","",$R153+(1000-ROW())/1000000)</f>
        <v/>
      </c>
      <c r="W153" s="10" t="str">
        <f aca="false">IF($V153="","",COUNTIF($V$2:$V$208,"&gt;"&amp;$V153)+1)</f>
        <v/>
      </c>
      <c r="X153" s="10" t="s">
        <v>100</v>
      </c>
    </row>
    <row r="154" customFormat="false" ht="39.55" hidden="false" customHeight="false" outlineLevel="0" collapsed="false">
      <c r="A154" s="10" t="s">
        <v>589</v>
      </c>
      <c r="B154" s="10" t="s">
        <v>549</v>
      </c>
      <c r="C154" s="10" t="s">
        <v>458</v>
      </c>
      <c r="D154" s="11" t="s">
        <v>590</v>
      </c>
      <c r="E154" s="11" t="s">
        <v>591</v>
      </c>
      <c r="F154" s="10" t="s">
        <v>133</v>
      </c>
      <c r="G154" s="10" t="s">
        <v>166</v>
      </c>
      <c r="H154" s="12" t="str">
        <f aca="false">IF(OR($G154="all",AND(00_はじめに!$B$24="Y",ISNUMBER(SEARCH("traditional",$G154))),AND(00_はじめに!$B$25="Y",ISNUMBER(SEARCH("generative",$G154))),AND(00_はじめに!$B$26="Y",ISNUMBER(SEARCH("ai-agent",$G154))),AND(00_はじめに!$B$27="Y",ISNUMBER(SEARCH("multi-agent",$G154)))),"○","対象外")</f>
        <v>○</v>
      </c>
      <c r="I154" s="13"/>
      <c r="J154" s="14" t="n">
        <v>3</v>
      </c>
      <c r="K154" s="12" t="str">
        <f aca="false">IF(OR($H154="対象外",$I154="",$J154=""),"",$J154-$I154)</f>
        <v/>
      </c>
      <c r="L154" s="14" t="n">
        <v>4</v>
      </c>
      <c r="M154" s="14" t="n">
        <v>4</v>
      </c>
      <c r="N154" s="14" t="n">
        <v>4</v>
      </c>
      <c r="O154" s="14" t="n">
        <v>2</v>
      </c>
      <c r="P154" s="14" t="n">
        <v>3</v>
      </c>
      <c r="Q154" s="14" t="n">
        <v>4</v>
      </c>
      <c r="R154" s="15" t="str">
        <f aca="false">IF(OR($H154="対象外",$K154="",$L154="",$M154="",$N154="",$O154="",$P154="",$Q154=""),"",($K154*$L154*$M154*$N154*$O154*$P154)/$Q154)</f>
        <v/>
      </c>
      <c r="S154" s="12" t="str">
        <f aca="false">IF($H154="対象外","",IF(OR($I154="",$J154=""),"",IF(OR($J154-$I154&gt;0,AND($R154&lt;&gt;"",$R154&gt;=00_はじめに!$B$19)),"○","")))</f>
        <v/>
      </c>
      <c r="T154" s="10" t="str">
        <f aca="false">IFERROR(VLOOKUP($A154,03_質問施策マッピング!$A:$B,2,0),"")</f>
        <v>AIMF-DE-AGT-003</v>
      </c>
      <c r="U154" s="10" t="str">
        <f aca="false">IF($T154="","",IFERROR(VLOOKUP($T154,02_施策マスター!$A:$B,2,0),""))</f>
        <v>ツール呼出の異常検知</v>
      </c>
      <c r="V154" s="10" t="str">
        <f aca="false">IF($R154="","",$R154+(1000-ROW())/1000000)</f>
        <v/>
      </c>
      <c r="W154" s="10" t="str">
        <f aca="false">IF($V154="","",COUNTIF($V$2:$V$208,"&gt;"&amp;$V154)+1)</f>
        <v/>
      </c>
      <c r="X154" s="10" t="s">
        <v>116</v>
      </c>
    </row>
    <row r="155" customFormat="false" ht="26.85" hidden="false" customHeight="false" outlineLevel="0" collapsed="false">
      <c r="A155" s="10" t="s">
        <v>592</v>
      </c>
      <c r="B155" s="10" t="s">
        <v>549</v>
      </c>
      <c r="C155" s="10" t="s">
        <v>458</v>
      </c>
      <c r="D155" s="11" t="s">
        <v>593</v>
      </c>
      <c r="E155" s="11" t="s">
        <v>594</v>
      </c>
      <c r="F155" s="10" t="s">
        <v>133</v>
      </c>
      <c r="G155" s="10" t="s">
        <v>166</v>
      </c>
      <c r="H155" s="12" t="str">
        <f aca="false">IF(OR($G155="all",AND(00_はじめに!$B$24="Y",ISNUMBER(SEARCH("traditional",$G155))),AND(00_はじめに!$B$25="Y",ISNUMBER(SEARCH("generative",$G155))),AND(00_はじめに!$B$26="Y",ISNUMBER(SEARCH("ai-agent",$G155))),AND(00_はじめに!$B$27="Y",ISNUMBER(SEARCH("multi-agent",$G155)))),"○","対象外")</f>
        <v>○</v>
      </c>
      <c r="I155" s="13"/>
      <c r="J155" s="14" t="n">
        <v>3</v>
      </c>
      <c r="K155" s="12" t="str">
        <f aca="false">IF(OR($H155="対象外",$I155="",$J155=""),"",$J155-$I155)</f>
        <v/>
      </c>
      <c r="L155" s="14" t="n">
        <v>4</v>
      </c>
      <c r="M155" s="14" t="n">
        <v>4</v>
      </c>
      <c r="N155" s="14" t="n">
        <v>4</v>
      </c>
      <c r="O155" s="14" t="n">
        <v>2</v>
      </c>
      <c r="P155" s="14" t="n">
        <v>3</v>
      </c>
      <c r="Q155" s="14" t="n">
        <v>4</v>
      </c>
      <c r="R155" s="15" t="str">
        <f aca="false">IF(OR($H155="対象外",$K155="",$L155="",$M155="",$N155="",$O155="",$P155="",$Q155=""),"",($K155*$L155*$M155*$N155*$O155*$P155)/$Q155)</f>
        <v/>
      </c>
      <c r="S155" s="12" t="str">
        <f aca="false">IF($H155="対象外","",IF(OR($I155="",$J155=""),"",IF(OR($J155-$I155&gt;0,AND($R155&lt;&gt;"",$R155&gt;=00_はじめに!$B$19)),"○","")))</f>
        <v/>
      </c>
      <c r="T155" s="10" t="str">
        <f aca="false">IFERROR(VLOOKUP($A155,03_質問施策マッピング!$A:$B,2,0),"")</f>
        <v>AIMF-DE-AGT-004</v>
      </c>
      <c r="U155" s="10" t="str">
        <f aca="false">IF($T155="","",IFERROR(VLOOKUP($T155,02_施策マスター!$A:$B,2,0),""))</f>
        <v>目標逸脱（ゴールドリフト）の検知</v>
      </c>
      <c r="V155" s="10" t="str">
        <f aca="false">IF($R155="","",$R155+(1000-ROW())/1000000)</f>
        <v/>
      </c>
      <c r="W155" s="10" t="str">
        <f aca="false">IF($V155="","",COUNTIF($V$2:$V$208,"&gt;"&amp;$V155)+1)</f>
        <v/>
      </c>
      <c r="X155" s="10" t="s">
        <v>116</v>
      </c>
    </row>
    <row r="156" customFormat="false" ht="39.55" hidden="false" customHeight="false" outlineLevel="0" collapsed="false">
      <c r="A156" s="10" t="s">
        <v>595</v>
      </c>
      <c r="B156" s="10" t="s">
        <v>549</v>
      </c>
      <c r="C156" s="10" t="s">
        <v>458</v>
      </c>
      <c r="D156" s="11" t="s">
        <v>596</v>
      </c>
      <c r="E156" s="11" t="s">
        <v>597</v>
      </c>
      <c r="F156" s="10" t="s">
        <v>133</v>
      </c>
      <c r="G156" s="10" t="s">
        <v>166</v>
      </c>
      <c r="H156" s="12" t="str">
        <f aca="false">IF(OR($G156="all",AND(00_はじめに!$B$24="Y",ISNUMBER(SEARCH("traditional",$G156))),AND(00_はじめに!$B$25="Y",ISNUMBER(SEARCH("generative",$G156))),AND(00_はじめに!$B$26="Y",ISNUMBER(SEARCH("ai-agent",$G156))),AND(00_はじめに!$B$27="Y",ISNUMBER(SEARCH("multi-agent",$G156)))),"○","対象外")</f>
        <v>○</v>
      </c>
      <c r="I156" s="13"/>
      <c r="J156" s="14" t="n">
        <v>3</v>
      </c>
      <c r="K156" s="12" t="str">
        <f aca="false">IF(OR($H156="対象外",$I156="",$J156=""),"",$J156-$I156)</f>
        <v/>
      </c>
      <c r="L156" s="14" t="n">
        <v>4</v>
      </c>
      <c r="M156" s="14" t="n">
        <v>4</v>
      </c>
      <c r="N156" s="14" t="n">
        <v>4</v>
      </c>
      <c r="O156" s="14" t="n">
        <v>2</v>
      </c>
      <c r="P156" s="14" t="n">
        <v>3</v>
      </c>
      <c r="Q156" s="14" t="n">
        <v>4</v>
      </c>
      <c r="R156" s="15" t="str">
        <f aca="false">IF(OR($H156="対象外",$K156="",$L156="",$M156="",$N156="",$O156="",$P156="",$Q156=""),"",($K156*$L156*$M156*$N156*$O156*$P156)/$Q156)</f>
        <v/>
      </c>
      <c r="S156" s="12" t="str">
        <f aca="false">IF($H156="対象外","",IF(OR($I156="",$J156=""),"",IF(OR($J156-$I156&gt;0,AND($R156&lt;&gt;"",$R156&gt;=00_はじめに!$B$19)),"○","")))</f>
        <v/>
      </c>
      <c r="T156" s="10" t="str">
        <f aca="false">IFERROR(VLOOKUP($A156,03_質問施策マッピング!$A:$B,2,0),"")</f>
        <v>AIMF-DE-AGT-005</v>
      </c>
      <c r="U156" s="10" t="str">
        <f aca="false">IF($T156="","",IFERROR(VLOOKUP($T156,02_施策マスター!$A:$B,2,0),""))</f>
        <v>暴走・連鎖障害の予兆検知</v>
      </c>
      <c r="V156" s="10" t="str">
        <f aca="false">IF($R156="","",$R156+(1000-ROW())/1000000)</f>
        <v/>
      </c>
      <c r="W156" s="10" t="str">
        <f aca="false">IF($V156="","",COUNTIF($V$2:$V$208,"&gt;"&amp;$V156)+1)</f>
        <v/>
      </c>
      <c r="X156" s="10" t="s">
        <v>116</v>
      </c>
    </row>
    <row r="157" customFormat="false" ht="26.85" hidden="false" customHeight="false" outlineLevel="0" collapsed="false">
      <c r="A157" s="10" t="s">
        <v>598</v>
      </c>
      <c r="B157" s="10" t="s">
        <v>549</v>
      </c>
      <c r="C157" s="10" t="s">
        <v>458</v>
      </c>
      <c r="D157" s="11" t="s">
        <v>599</v>
      </c>
      <c r="E157" s="11" t="s">
        <v>600</v>
      </c>
      <c r="F157" s="10" t="s">
        <v>133</v>
      </c>
      <c r="G157" s="10" t="s">
        <v>166</v>
      </c>
      <c r="H157" s="12" t="str">
        <f aca="false">IF(OR($G157="all",AND(00_はじめに!$B$24="Y",ISNUMBER(SEARCH("traditional",$G157))),AND(00_はじめに!$B$25="Y",ISNUMBER(SEARCH("generative",$G157))),AND(00_はじめに!$B$26="Y",ISNUMBER(SEARCH("ai-agent",$G157))),AND(00_はじめに!$B$27="Y",ISNUMBER(SEARCH("multi-agent",$G157)))),"○","対象外")</f>
        <v>○</v>
      </c>
      <c r="I157" s="13"/>
      <c r="J157" s="14" t="n">
        <v>3</v>
      </c>
      <c r="K157" s="12" t="str">
        <f aca="false">IF(OR($H157="対象外",$I157="",$J157=""),"",$J157-$I157)</f>
        <v/>
      </c>
      <c r="L157" s="14" t="n">
        <v>4</v>
      </c>
      <c r="M157" s="14" t="n">
        <v>4</v>
      </c>
      <c r="N157" s="14" t="n">
        <v>4</v>
      </c>
      <c r="O157" s="14" t="n">
        <v>2</v>
      </c>
      <c r="P157" s="14" t="n">
        <v>3</v>
      </c>
      <c r="Q157" s="14" t="n">
        <v>4</v>
      </c>
      <c r="R157" s="15" t="str">
        <f aca="false">IF(OR($H157="対象外",$K157="",$L157="",$M157="",$N157="",$O157="",$P157="",$Q157=""),"",($K157*$L157*$M157*$N157*$O157*$P157)/$Q157)</f>
        <v/>
      </c>
      <c r="S157" s="12" t="str">
        <f aca="false">IF($H157="対象外","",IF(OR($I157="",$J157=""),"",IF(OR($J157-$I157&gt;0,AND($R157&lt;&gt;"",$R157&gt;=00_はじめに!$B$19)),"○","")))</f>
        <v/>
      </c>
      <c r="T157" s="10" t="str">
        <f aca="false">IFERROR(VLOOKUP($A157,03_質問施策マッピング!$A:$B,2,0),"")</f>
        <v>AIMF-DE-AGT-006</v>
      </c>
      <c r="U157" s="10" t="str">
        <f aca="false">IF($T157="","",IFERROR(VLOOKUP($T157,02_施策マスター!$A:$B,2,0),""))</f>
        <v>エージェントメモリ・コンテキスト改ざんの検知</v>
      </c>
      <c r="V157" s="10" t="str">
        <f aca="false">IF($R157="","",$R157+(1000-ROW())/1000000)</f>
        <v/>
      </c>
      <c r="W157" s="10" t="str">
        <f aca="false">IF($V157="","",COUNTIF($V$2:$V$208,"&gt;"&amp;$V157)+1)</f>
        <v/>
      </c>
      <c r="X157" s="10" t="s">
        <v>116</v>
      </c>
    </row>
    <row r="158" customFormat="false" ht="26.85" hidden="false" customHeight="false" outlineLevel="0" collapsed="false">
      <c r="A158" s="10" t="s">
        <v>601</v>
      </c>
      <c r="B158" s="10" t="s">
        <v>549</v>
      </c>
      <c r="C158" s="10" t="s">
        <v>458</v>
      </c>
      <c r="D158" s="11" t="s">
        <v>602</v>
      </c>
      <c r="E158" s="11" t="s">
        <v>603</v>
      </c>
      <c r="F158" s="10" t="s">
        <v>133</v>
      </c>
      <c r="G158" s="10" t="s">
        <v>166</v>
      </c>
      <c r="H158" s="12" t="str">
        <f aca="false">IF(OR($G158="all",AND(00_はじめに!$B$24="Y",ISNUMBER(SEARCH("traditional",$G158))),AND(00_はじめに!$B$25="Y",ISNUMBER(SEARCH("generative",$G158))),AND(00_はじめに!$B$26="Y",ISNUMBER(SEARCH("ai-agent",$G158))),AND(00_はじめに!$B$27="Y",ISNUMBER(SEARCH("multi-agent",$G158)))),"○","対象外")</f>
        <v>○</v>
      </c>
      <c r="I158" s="13"/>
      <c r="J158" s="14" t="n">
        <v>3</v>
      </c>
      <c r="K158" s="12" t="str">
        <f aca="false">IF(OR($H158="対象外",$I158="",$J158=""),"",$J158-$I158)</f>
        <v/>
      </c>
      <c r="L158" s="14" t="n">
        <v>4</v>
      </c>
      <c r="M158" s="14" t="n">
        <v>4</v>
      </c>
      <c r="N158" s="14" t="n">
        <v>4</v>
      </c>
      <c r="O158" s="14" t="n">
        <v>2</v>
      </c>
      <c r="P158" s="14" t="n">
        <v>3</v>
      </c>
      <c r="Q158" s="14" t="n">
        <v>4</v>
      </c>
      <c r="R158" s="15" t="str">
        <f aca="false">IF(OR($H158="対象外",$K158="",$L158="",$M158="",$N158="",$O158="",$P158="",$Q158=""),"",($K158*$L158*$M158*$N158*$O158*$P158)/$Q158)</f>
        <v/>
      </c>
      <c r="S158" s="12" t="str">
        <f aca="false">IF($H158="対象外","",IF(OR($I158="",$J158=""),"",IF(OR($J158-$I158&gt;0,AND($R158&lt;&gt;"",$R158&gt;=00_はじめに!$B$19)),"○","")))</f>
        <v/>
      </c>
      <c r="T158" s="10" t="str">
        <f aca="false">IFERROR(VLOOKUP($A158,03_質問施策マッピング!$A:$B,2,0),"")</f>
        <v>AIMF-DE-AGT-007</v>
      </c>
      <c r="U158" s="10" t="str">
        <f aca="false">IF($T158="","",IFERROR(VLOOKUP($T158,02_施策マスター!$A:$B,2,0),""))</f>
        <v>ローグエージェント（逸脱挙動）の検知</v>
      </c>
      <c r="V158" s="10" t="str">
        <f aca="false">IF($R158="","",$R158+(1000-ROW())/1000000)</f>
        <v/>
      </c>
      <c r="W158" s="10" t="str">
        <f aca="false">IF($V158="","",COUNTIF($V$2:$V$208,"&gt;"&amp;$V158)+1)</f>
        <v/>
      </c>
      <c r="X158" s="10" t="s">
        <v>116</v>
      </c>
    </row>
    <row r="159" customFormat="false" ht="39.55" hidden="false" customHeight="false" outlineLevel="0" collapsed="false">
      <c r="A159" s="10" t="s">
        <v>604</v>
      </c>
      <c r="B159" s="10" t="s">
        <v>549</v>
      </c>
      <c r="C159" s="10" t="s">
        <v>605</v>
      </c>
      <c r="D159" s="10" t="s">
        <v>606</v>
      </c>
      <c r="E159" s="10" t="s">
        <v>607</v>
      </c>
      <c r="F159" s="10" t="s">
        <v>98</v>
      </c>
      <c r="G159" s="10" t="s">
        <v>99</v>
      </c>
      <c r="H159" s="12" t="str">
        <f aca="false">IF(OR($G159="all",AND(00_はじめに!$B$24="Y",ISNUMBER(SEARCH("traditional",$G159))),AND(00_はじめに!$B$25="Y",ISNUMBER(SEARCH("generative",$G159))),AND(00_はじめに!$B$26="Y",ISNUMBER(SEARCH("ai-agent",$G159))),AND(00_はじめに!$B$27="Y",ISNUMBER(SEARCH("multi-agent",$G159)))),"○","対象外")</f>
        <v>○</v>
      </c>
      <c r="I159" s="13"/>
      <c r="J159" s="14" t="n">
        <v>4</v>
      </c>
      <c r="K159" s="12" t="str">
        <f aca="false">IF(OR($H159="対象外",$I159="",$J159=""),"",$J159-$I159)</f>
        <v/>
      </c>
      <c r="L159" s="14" t="n">
        <v>4</v>
      </c>
      <c r="M159" s="14" t="n">
        <v>3</v>
      </c>
      <c r="N159" s="14" t="n">
        <v>5</v>
      </c>
      <c r="O159" s="14" t="n">
        <v>4</v>
      </c>
      <c r="P159" s="14" t="n">
        <v>3</v>
      </c>
      <c r="Q159" s="14" t="n">
        <v>3</v>
      </c>
      <c r="R159" s="15" t="str">
        <f aca="false">IF(OR($H159="対象外",$K159="",$L159="",$M159="",$N159="",$O159="",$P159="",$Q159=""),"",($K159*$L159*$M159*$N159*$O159*$P159)/$Q159)</f>
        <v/>
      </c>
      <c r="S159" s="12" t="str">
        <f aca="false">IF($H159="対象外","",IF(OR($I159="",$J159=""),"",IF(OR($J159-$I159&gt;0,AND($R159&lt;&gt;"",$R159&gt;=00_はじめに!$B$19)),"○","")))</f>
        <v/>
      </c>
      <c r="T159" s="10" t="str">
        <f aca="false">IFERROR(VLOOKUP($A159,03_質問施策マッピング!$A:$B,2,0),"")</f>
        <v>AIMF-DE-HLT-001</v>
      </c>
      <c r="U159" s="10" t="str">
        <f aca="false">IF($T159="","",IFERROR(VLOOKUP($T159,02_施策マスター!$A:$B,2,0),""))</f>
        <v>AIインフラ構成監査とリソース監視（DoS検知）</v>
      </c>
      <c r="V159" s="10" t="str">
        <f aca="false">IF($R159="","",$R159+(1000-ROW())/1000000)</f>
        <v/>
      </c>
      <c r="W159" s="10" t="str">
        <f aca="false">IF($V159="","",COUNTIF($V$2:$V$208,"&gt;"&amp;$V159)+1)</f>
        <v/>
      </c>
      <c r="X159" s="10" t="s">
        <v>100</v>
      </c>
    </row>
    <row r="160" customFormat="false" ht="39.55" hidden="false" customHeight="false" outlineLevel="0" collapsed="false">
      <c r="A160" s="10" t="s">
        <v>608</v>
      </c>
      <c r="B160" s="10" t="s">
        <v>549</v>
      </c>
      <c r="C160" s="10" t="s">
        <v>605</v>
      </c>
      <c r="D160" s="11" t="s">
        <v>609</v>
      </c>
      <c r="E160" s="10" t="s">
        <v>610</v>
      </c>
      <c r="F160" s="10" t="s">
        <v>133</v>
      </c>
      <c r="G160" s="10" t="s">
        <v>611</v>
      </c>
      <c r="H160" s="12" t="str">
        <f aca="false">IF(OR($G160="all",AND(00_はじめに!$B$24="Y",ISNUMBER(SEARCH("traditional",$G160))),AND(00_はじめに!$B$25="Y",ISNUMBER(SEARCH("generative",$G160))),AND(00_はじめに!$B$26="Y",ISNUMBER(SEARCH("ai-agent",$G160))),AND(00_はじめに!$B$27="Y",ISNUMBER(SEARCH("multi-agent",$G160)))),"○","対象外")</f>
        <v>○</v>
      </c>
      <c r="I160" s="13"/>
      <c r="J160" s="14" t="n">
        <v>4</v>
      </c>
      <c r="K160" s="12" t="str">
        <f aca="false">IF(OR($H160="対象外",$I160="",$J160=""),"",$J160-$I160)</f>
        <v/>
      </c>
      <c r="L160" s="14" t="n">
        <v>4</v>
      </c>
      <c r="M160" s="14" t="n">
        <v>3</v>
      </c>
      <c r="N160" s="14" t="n">
        <v>4</v>
      </c>
      <c r="O160" s="14" t="n">
        <v>2</v>
      </c>
      <c r="P160" s="14" t="n">
        <v>3</v>
      </c>
      <c r="Q160" s="14" t="n">
        <v>4</v>
      </c>
      <c r="R160" s="15" t="str">
        <f aca="false">IF(OR($H160="対象外",$K160="",$L160="",$M160="",$N160="",$O160="",$P160="",$Q160=""),"",($K160*$L160*$M160*$N160*$O160*$P160)/$Q160)</f>
        <v/>
      </c>
      <c r="S160" s="12" t="str">
        <f aca="false">IF($H160="対象外","",IF(OR($I160="",$J160=""),"",IF(OR($J160-$I160&gt;0,AND($R160&lt;&gt;"",$R160&gt;=00_はじめに!$B$19)),"○","")))</f>
        <v/>
      </c>
      <c r="T160" s="10" t="str">
        <f aca="false">IFERROR(VLOOKUP($A160,03_質問施策マッピング!$A:$B,2,0),"")</f>
        <v>AIMF-DE-HLT-002</v>
      </c>
      <c r="U160" s="10" t="str">
        <f aca="false">IF($T160="","",IFERROR(VLOOKUP($T160,02_施策マスター!$A:$B,2,0),""))</f>
        <v>データポイズニング・ドリフトの監視</v>
      </c>
      <c r="V160" s="10" t="str">
        <f aca="false">IF($R160="","",$R160+(1000-ROW())/1000000)</f>
        <v/>
      </c>
      <c r="W160" s="10" t="str">
        <f aca="false">IF($V160="","",COUNTIF($V$2:$V$208,"&gt;"&amp;$V160)+1)</f>
        <v/>
      </c>
      <c r="X160" s="10" t="s">
        <v>100</v>
      </c>
    </row>
    <row r="161" customFormat="false" ht="26.85" hidden="false" customHeight="false" outlineLevel="0" collapsed="false">
      <c r="A161" s="10" t="s">
        <v>612</v>
      </c>
      <c r="B161" s="10" t="s">
        <v>549</v>
      </c>
      <c r="C161" s="10" t="s">
        <v>605</v>
      </c>
      <c r="D161" s="11" t="s">
        <v>613</v>
      </c>
      <c r="E161" s="11" t="s">
        <v>614</v>
      </c>
      <c r="F161" s="10" t="s">
        <v>133</v>
      </c>
      <c r="G161" s="10" t="s">
        <v>99</v>
      </c>
      <c r="H161" s="12" t="str">
        <f aca="false">IF(OR($G161="all",AND(00_はじめに!$B$24="Y",ISNUMBER(SEARCH("traditional",$G161))),AND(00_はじめに!$B$25="Y",ISNUMBER(SEARCH("generative",$G161))),AND(00_はじめに!$B$26="Y",ISNUMBER(SEARCH("ai-agent",$G161))),AND(00_はじめに!$B$27="Y",ISNUMBER(SEARCH("multi-agent",$G161)))),"○","対象外")</f>
        <v>○</v>
      </c>
      <c r="I161" s="13"/>
      <c r="J161" s="14" t="n">
        <v>3</v>
      </c>
      <c r="K161" s="12" t="str">
        <f aca="false">IF(OR($H161="対象外",$I161="",$J161=""),"",$J161-$I161)</f>
        <v/>
      </c>
      <c r="L161" s="14" t="n">
        <v>4</v>
      </c>
      <c r="M161" s="14" t="n">
        <v>3</v>
      </c>
      <c r="N161" s="14" t="n">
        <v>5</v>
      </c>
      <c r="O161" s="14" t="n">
        <v>2</v>
      </c>
      <c r="P161" s="14" t="n">
        <v>3</v>
      </c>
      <c r="Q161" s="14" t="n">
        <v>4</v>
      </c>
      <c r="R161" s="15" t="str">
        <f aca="false">IF(OR($H161="対象外",$K161="",$L161="",$M161="",$N161="",$O161="",$P161="",$Q161=""),"",($K161*$L161*$M161*$N161*$O161*$P161)/$Q161)</f>
        <v/>
      </c>
      <c r="S161" s="12" t="str">
        <f aca="false">IF($H161="対象外","",IF(OR($I161="",$J161=""),"",IF(OR($J161-$I161&gt;0,AND($R161&lt;&gt;"",$R161&gt;=00_はじめに!$B$19)),"○","")))</f>
        <v/>
      </c>
      <c r="T161" s="10" t="str">
        <f aca="false">IFERROR(VLOOKUP($A161,03_質問施策マッピング!$A:$B,2,0),"")</f>
        <v>AIMF-DE-HLT-003</v>
      </c>
      <c r="U161" s="10" t="str">
        <f aca="false">IF($T161="","",IFERROR(VLOOKUP($T161,02_施策マスター!$A:$B,2,0),""))</f>
        <v>モデル性能・品質劣化の継続監視</v>
      </c>
      <c r="V161" s="10" t="str">
        <f aca="false">IF($R161="","",$R161+(1000-ROW())/1000000)</f>
        <v/>
      </c>
      <c r="W161" s="10" t="str">
        <f aca="false">IF($V161="","",COUNTIF($V$2:$V$208,"&gt;"&amp;$V161)+1)</f>
        <v/>
      </c>
      <c r="X161" s="10" t="s">
        <v>116</v>
      </c>
    </row>
    <row r="162" customFormat="false" ht="26.85" hidden="false" customHeight="false" outlineLevel="0" collapsed="false">
      <c r="A162" s="10" t="s">
        <v>615</v>
      </c>
      <c r="B162" s="10" t="s">
        <v>549</v>
      </c>
      <c r="C162" s="10" t="s">
        <v>605</v>
      </c>
      <c r="D162" s="11" t="s">
        <v>616</v>
      </c>
      <c r="E162" s="11" t="s">
        <v>617</v>
      </c>
      <c r="F162" s="10" t="s">
        <v>133</v>
      </c>
      <c r="G162" s="10" t="s">
        <v>134</v>
      </c>
      <c r="H162" s="12" t="str">
        <f aca="false">IF(OR($G162="all",AND(00_はじめに!$B$24="Y",ISNUMBER(SEARCH("traditional",$G162))),AND(00_はじめに!$B$25="Y",ISNUMBER(SEARCH("generative",$G162))),AND(00_はじめに!$B$26="Y",ISNUMBER(SEARCH("ai-agent",$G162))),AND(00_はじめに!$B$27="Y",ISNUMBER(SEARCH("multi-agent",$G162)))),"○","対象外")</f>
        <v>○</v>
      </c>
      <c r="I162" s="13"/>
      <c r="J162" s="14" t="n">
        <v>3</v>
      </c>
      <c r="K162" s="12" t="str">
        <f aca="false">IF(OR($H162="対象外",$I162="",$J162=""),"",$J162-$I162)</f>
        <v/>
      </c>
      <c r="L162" s="14" t="n">
        <v>4</v>
      </c>
      <c r="M162" s="14" t="n">
        <v>3</v>
      </c>
      <c r="N162" s="14" t="n">
        <v>4</v>
      </c>
      <c r="O162" s="14" t="n">
        <v>2</v>
      </c>
      <c r="P162" s="14" t="n">
        <v>3</v>
      </c>
      <c r="Q162" s="14" t="n">
        <v>4</v>
      </c>
      <c r="R162" s="15" t="str">
        <f aca="false">IF(OR($H162="対象外",$K162="",$L162="",$M162="",$N162="",$O162="",$P162="",$Q162=""),"",($K162*$L162*$M162*$N162*$O162*$P162)/$Q162)</f>
        <v/>
      </c>
      <c r="S162" s="12" t="str">
        <f aca="false">IF($H162="対象外","",IF(OR($I162="",$J162=""),"",IF(OR($J162-$I162&gt;0,AND($R162&lt;&gt;"",$R162&gt;=00_はじめに!$B$19)),"○","")))</f>
        <v/>
      </c>
      <c r="T162" s="10" t="str">
        <f aca="false">IFERROR(VLOOKUP($A162,03_質問施策マッピング!$A:$B,2,0),"")</f>
        <v>AIMF-DE-HLT-004</v>
      </c>
      <c r="U162" s="10" t="str">
        <f aca="false">IF($T162="","",IFERROR(VLOOKUP($T162,02_施策マスター!$A:$B,2,0),""))</f>
        <v>埋め込み空間・ベクトルDBの異常検知</v>
      </c>
      <c r="V162" s="10" t="str">
        <f aca="false">IF($R162="","",$R162+(1000-ROW())/1000000)</f>
        <v/>
      </c>
      <c r="W162" s="10" t="str">
        <f aca="false">IF($V162="","",COUNTIF($V$2:$V$208,"&gt;"&amp;$V162)+1)</f>
        <v/>
      </c>
      <c r="X162" s="10" t="s">
        <v>116</v>
      </c>
    </row>
    <row r="163" customFormat="false" ht="32.8" hidden="false" customHeight="false" outlineLevel="0" collapsed="false">
      <c r="A163" s="10" t="s">
        <v>618</v>
      </c>
      <c r="B163" s="10" t="s">
        <v>549</v>
      </c>
      <c r="C163" s="10" t="s">
        <v>605</v>
      </c>
      <c r="D163" s="10" t="s">
        <v>619</v>
      </c>
      <c r="E163" s="10" t="s">
        <v>620</v>
      </c>
      <c r="F163" s="10" t="s">
        <v>98</v>
      </c>
      <c r="G163" s="10" t="s">
        <v>99</v>
      </c>
      <c r="H163" s="12" t="str">
        <f aca="false">IF(OR($G163="all",AND(00_はじめに!$B$24="Y",ISNUMBER(SEARCH("traditional",$G163))),AND(00_はじめに!$B$25="Y",ISNUMBER(SEARCH("generative",$G163))),AND(00_はじめに!$B$26="Y",ISNUMBER(SEARCH("ai-agent",$G163))),AND(00_はじめに!$B$27="Y",ISNUMBER(SEARCH("multi-agent",$G163)))),"○","対象外")</f>
        <v>○</v>
      </c>
      <c r="I163" s="13"/>
      <c r="J163" s="14" t="n">
        <v>3</v>
      </c>
      <c r="K163" s="12" t="str">
        <f aca="false">IF(OR($H163="対象外",$I163="",$J163=""),"",$J163-$I163)</f>
        <v/>
      </c>
      <c r="L163" s="14" t="n">
        <v>4</v>
      </c>
      <c r="M163" s="14" t="n">
        <v>3</v>
      </c>
      <c r="N163" s="14" t="n">
        <v>4</v>
      </c>
      <c r="O163" s="14" t="n">
        <v>4</v>
      </c>
      <c r="P163" s="14" t="n">
        <v>3</v>
      </c>
      <c r="Q163" s="14" t="n">
        <v>3</v>
      </c>
      <c r="R163" s="15" t="str">
        <f aca="false">IF(OR($H163="対象外",$K163="",$L163="",$M163="",$N163="",$O163="",$P163="",$Q163=""),"",($K163*$L163*$M163*$N163*$O163*$P163)/$Q163)</f>
        <v/>
      </c>
      <c r="S163" s="12" t="str">
        <f aca="false">IF($H163="対象外","",IF(OR($I163="",$J163=""),"",IF(OR($J163-$I163&gt;0,AND($R163&lt;&gt;"",$R163&gt;=00_はじめに!$B$19)),"○","")))</f>
        <v/>
      </c>
      <c r="T163" s="10" t="str">
        <f aca="false">IFERROR(VLOOKUP($A163,03_質問施策マッピング!$A:$B,2,0),"")</f>
        <v>AIMF-DE-HLT-005</v>
      </c>
      <c r="U163" s="10" t="str">
        <f aca="false">IF($T163="","",IFERROR(VLOOKUP($T163,02_施策マスター!$A:$B,2,0),""))</f>
        <v>GPUリソースの不正利用検知</v>
      </c>
      <c r="V163" s="10" t="str">
        <f aca="false">IF($R163="","",$R163+(1000-ROW())/1000000)</f>
        <v/>
      </c>
      <c r="W163" s="10" t="str">
        <f aca="false">IF($V163="","",COUNTIF($V$2:$V$208,"&gt;"&amp;$V163)+1)</f>
        <v/>
      </c>
      <c r="X163" s="10" t="s">
        <v>116</v>
      </c>
    </row>
    <row r="164" customFormat="false" ht="26.85" hidden="false" customHeight="false" outlineLevel="0" collapsed="false">
      <c r="A164" s="10" t="s">
        <v>621</v>
      </c>
      <c r="B164" s="10" t="s">
        <v>549</v>
      </c>
      <c r="C164" s="10" t="s">
        <v>605</v>
      </c>
      <c r="D164" s="10" t="s">
        <v>622</v>
      </c>
      <c r="E164" s="11" t="s">
        <v>623</v>
      </c>
      <c r="F164" s="10" t="s">
        <v>133</v>
      </c>
      <c r="G164" s="10" t="s">
        <v>233</v>
      </c>
      <c r="H164" s="12" t="str">
        <f aca="false">IF(OR($G164="all",AND(00_はじめに!$B$24="Y",ISNUMBER(SEARCH("traditional",$G164))),AND(00_はじめに!$B$25="Y",ISNUMBER(SEARCH("generative",$G164))),AND(00_はじめに!$B$26="Y",ISNUMBER(SEARCH("ai-agent",$G164))),AND(00_はじめに!$B$27="Y",ISNUMBER(SEARCH("multi-agent",$G164)))),"○","対象外")</f>
        <v>○</v>
      </c>
      <c r="I164" s="13"/>
      <c r="J164" s="14" t="n">
        <v>3</v>
      </c>
      <c r="K164" s="12" t="str">
        <f aca="false">IF(OR($H164="対象外",$I164="",$J164=""),"",$J164-$I164)</f>
        <v/>
      </c>
      <c r="L164" s="14" t="n">
        <v>4</v>
      </c>
      <c r="M164" s="14" t="n">
        <v>3</v>
      </c>
      <c r="N164" s="14" t="n">
        <v>4</v>
      </c>
      <c r="O164" s="14" t="n">
        <v>2</v>
      </c>
      <c r="P164" s="14" t="n">
        <v>3</v>
      </c>
      <c r="Q164" s="14" t="n">
        <v>4</v>
      </c>
      <c r="R164" s="15" t="str">
        <f aca="false">IF(OR($H164="対象外",$K164="",$L164="",$M164="",$N164="",$O164="",$P164="",$Q164=""),"",($K164*$L164*$M164*$N164*$O164*$P164)/$Q164)</f>
        <v/>
      </c>
      <c r="S164" s="12" t="str">
        <f aca="false">IF($H164="対象外","",IF(OR($I164="",$J164=""),"",IF(OR($J164-$I164&gt;0,AND($R164&lt;&gt;"",$R164&gt;=00_はじめに!$B$19)),"○","")))</f>
        <v/>
      </c>
      <c r="T164" s="10" t="str">
        <f aca="false">IFERROR(VLOOKUP($A164,03_質問施策マッピング!$A:$B,2,0),"")</f>
        <v>AIMF-DE-HLT-006</v>
      </c>
      <c r="U164" s="10" t="str">
        <f aca="false">IF($T164="","",IFERROR(VLOOKUP($T164,02_施策マスター!$A:$B,2,0),""))</f>
        <v>AI利用コスト・トークン消費の異常監視</v>
      </c>
      <c r="V164" s="10" t="str">
        <f aca="false">IF($R164="","",$R164+(1000-ROW())/1000000)</f>
        <v/>
      </c>
      <c r="W164" s="10" t="str">
        <f aca="false">IF($V164="","",COUNTIF($V$2:$V$208,"&gt;"&amp;$V164)+1)</f>
        <v/>
      </c>
      <c r="X164" s="10" t="s">
        <v>116</v>
      </c>
    </row>
    <row r="165" customFormat="false" ht="39.55" hidden="false" customHeight="false" outlineLevel="0" collapsed="false">
      <c r="A165" s="10" t="s">
        <v>624</v>
      </c>
      <c r="B165" s="10" t="s">
        <v>549</v>
      </c>
      <c r="C165" s="10" t="s">
        <v>625</v>
      </c>
      <c r="D165" s="10" t="s">
        <v>626</v>
      </c>
      <c r="E165" s="11" t="s">
        <v>627</v>
      </c>
      <c r="F165" s="10" t="s">
        <v>98</v>
      </c>
      <c r="G165" s="10" t="s">
        <v>99</v>
      </c>
      <c r="H165" s="12" t="str">
        <f aca="false">IF(OR($G165="all",AND(00_はじめに!$B$24="Y",ISNUMBER(SEARCH("traditional",$G165))),AND(00_はじめに!$B$25="Y",ISNUMBER(SEARCH("generative",$G165))),AND(00_はじめに!$B$26="Y",ISNUMBER(SEARCH("ai-agent",$G165))),AND(00_はじめに!$B$27="Y",ISNUMBER(SEARCH("multi-agent",$G165)))),"○","対象外")</f>
        <v>○</v>
      </c>
      <c r="I165" s="13"/>
      <c r="J165" s="14" t="n">
        <v>3</v>
      </c>
      <c r="K165" s="12" t="str">
        <f aca="false">IF(OR($H165="対象外",$I165="",$J165=""),"",$J165-$I165)</f>
        <v/>
      </c>
      <c r="L165" s="14" t="n">
        <v>4</v>
      </c>
      <c r="M165" s="14" t="n">
        <v>3</v>
      </c>
      <c r="N165" s="14" t="n">
        <v>4</v>
      </c>
      <c r="O165" s="14" t="n">
        <v>4</v>
      </c>
      <c r="P165" s="14" t="n">
        <v>3</v>
      </c>
      <c r="Q165" s="14" t="n">
        <v>3</v>
      </c>
      <c r="R165" s="15" t="str">
        <f aca="false">IF(OR($H165="対象外",$K165="",$L165="",$M165="",$N165="",$O165="",$P165="",$Q165=""),"",($K165*$L165*$M165*$N165*$O165*$P165)/$Q165)</f>
        <v/>
      </c>
      <c r="S165" s="12" t="str">
        <f aca="false">IF($H165="対象外","",IF(OR($I165="",$J165=""),"",IF(OR($J165-$I165&gt;0,AND($R165&lt;&gt;"",$R165&gt;=00_はじめに!$B$19)),"○","")))</f>
        <v/>
      </c>
      <c r="T165" s="10" t="str">
        <f aca="false">IFERROR(VLOOKUP($A165,03_質問施策マッピング!$A:$B,2,0),"")</f>
        <v>AIMF-DE-SOC-001</v>
      </c>
      <c r="U165" s="10" t="str">
        <f aca="false">IF($T165="","",IFERROR(VLOOKUP($T165,02_施策マスター!$A:$B,2,0),""))</f>
        <v>AIテレメトリのSIEM統合と相関分析</v>
      </c>
      <c r="V165" s="10" t="str">
        <f aca="false">IF($R165="","",$R165+(1000-ROW())/1000000)</f>
        <v/>
      </c>
      <c r="W165" s="10" t="str">
        <f aca="false">IF($V165="","",COUNTIF($V$2:$V$208,"&gt;"&amp;$V165)+1)</f>
        <v/>
      </c>
      <c r="X165" s="10" t="s">
        <v>116</v>
      </c>
    </row>
    <row r="166" customFormat="false" ht="26.85" hidden="false" customHeight="false" outlineLevel="0" collapsed="false">
      <c r="A166" s="10" t="s">
        <v>628</v>
      </c>
      <c r="B166" s="10" t="s">
        <v>549</v>
      </c>
      <c r="C166" s="10" t="s">
        <v>625</v>
      </c>
      <c r="D166" s="10" t="s">
        <v>629</v>
      </c>
      <c r="E166" s="11" t="s">
        <v>630</v>
      </c>
      <c r="F166" s="10" t="s">
        <v>133</v>
      </c>
      <c r="G166" s="10" t="s">
        <v>99</v>
      </c>
      <c r="H166" s="12" t="str">
        <f aca="false">IF(OR($G166="all",AND(00_はじめに!$B$24="Y",ISNUMBER(SEARCH("traditional",$G166))),AND(00_はじめに!$B$25="Y",ISNUMBER(SEARCH("generative",$G166))),AND(00_はじめに!$B$26="Y",ISNUMBER(SEARCH("ai-agent",$G166))),AND(00_はじめに!$B$27="Y",ISNUMBER(SEARCH("multi-agent",$G166)))),"○","対象外")</f>
        <v>○</v>
      </c>
      <c r="I166" s="13"/>
      <c r="J166" s="14" t="n">
        <v>3</v>
      </c>
      <c r="K166" s="12" t="str">
        <f aca="false">IF(OR($H166="対象外",$I166="",$J166=""),"",$J166-$I166)</f>
        <v/>
      </c>
      <c r="L166" s="14" t="n">
        <v>4</v>
      </c>
      <c r="M166" s="14" t="n">
        <v>3</v>
      </c>
      <c r="N166" s="14" t="n">
        <v>4</v>
      </c>
      <c r="O166" s="14" t="n">
        <v>2</v>
      </c>
      <c r="P166" s="14" t="n">
        <v>3</v>
      </c>
      <c r="Q166" s="14" t="n">
        <v>4</v>
      </c>
      <c r="R166" s="15" t="str">
        <f aca="false">IF(OR($H166="対象外",$K166="",$L166="",$M166="",$N166="",$O166="",$P166="",$Q166=""),"",($K166*$L166*$M166*$N166*$O166*$P166)/$Q166)</f>
        <v/>
      </c>
      <c r="S166" s="12" t="str">
        <f aca="false">IF($H166="対象外","",IF(OR($I166="",$J166=""),"",IF(OR($J166-$I166&gt;0,AND($R166&lt;&gt;"",$R166&gt;=00_はじめに!$B$19)),"○","")))</f>
        <v/>
      </c>
      <c r="T166" s="10" t="str">
        <f aca="false">IFERROR(VLOOKUP($A166,03_質問施策マッピング!$A:$B,2,0),"")</f>
        <v>AIMF-DE-SOC-002</v>
      </c>
      <c r="U166" s="10" t="str">
        <f aca="false">IF($T166="","",IFERROR(VLOOKUP($T166,02_施策マスター!$A:$B,2,0),""))</f>
        <v>ATLAS対応の検知ルールカバレッジ管理</v>
      </c>
      <c r="V166" s="10" t="str">
        <f aca="false">IF($R166="","",$R166+(1000-ROW())/1000000)</f>
        <v/>
      </c>
      <c r="W166" s="10" t="str">
        <f aca="false">IF($V166="","",COUNTIF($V$2:$V$208,"&gt;"&amp;$V166)+1)</f>
        <v/>
      </c>
      <c r="X166" s="10" t="s">
        <v>116</v>
      </c>
    </row>
    <row r="167" customFormat="false" ht="32.8" hidden="false" customHeight="false" outlineLevel="0" collapsed="false">
      <c r="A167" s="10" t="s">
        <v>631</v>
      </c>
      <c r="B167" s="10" t="s">
        <v>549</v>
      </c>
      <c r="C167" s="10" t="s">
        <v>625</v>
      </c>
      <c r="D167" s="10" t="s">
        <v>632</v>
      </c>
      <c r="E167" s="10" t="s">
        <v>633</v>
      </c>
      <c r="F167" s="10" t="s">
        <v>98</v>
      </c>
      <c r="G167" s="10" t="s">
        <v>99</v>
      </c>
      <c r="H167" s="12" t="str">
        <f aca="false">IF(OR($G167="all",AND(00_はじめに!$B$24="Y",ISNUMBER(SEARCH("traditional",$G167))),AND(00_はじめに!$B$25="Y",ISNUMBER(SEARCH("generative",$G167))),AND(00_はじめに!$B$26="Y",ISNUMBER(SEARCH("ai-agent",$G167))),AND(00_はじめに!$B$27="Y",ISNUMBER(SEARCH("multi-agent",$G167)))),"○","対象外")</f>
        <v>○</v>
      </c>
      <c r="I167" s="13"/>
      <c r="J167" s="14" t="n">
        <v>3</v>
      </c>
      <c r="K167" s="12" t="str">
        <f aca="false">IF(OR($H167="対象外",$I167="",$J167=""),"",$J167-$I167)</f>
        <v/>
      </c>
      <c r="L167" s="14" t="n">
        <v>4</v>
      </c>
      <c r="M167" s="14" t="n">
        <v>3</v>
      </c>
      <c r="N167" s="14" t="n">
        <v>4</v>
      </c>
      <c r="O167" s="14" t="n">
        <v>4</v>
      </c>
      <c r="P167" s="14" t="n">
        <v>3</v>
      </c>
      <c r="Q167" s="14" t="n">
        <v>3</v>
      </c>
      <c r="R167" s="15" t="str">
        <f aca="false">IF(OR($H167="対象外",$K167="",$L167="",$M167="",$N167="",$O167="",$P167="",$Q167=""),"",($K167*$L167*$M167*$N167*$O167*$P167)/$Q167)</f>
        <v/>
      </c>
      <c r="S167" s="12" t="str">
        <f aca="false">IF($H167="対象外","",IF(OR($I167="",$J167=""),"",IF(OR($J167-$I167&gt;0,AND($R167&lt;&gt;"",$R167&gt;=00_はじめに!$B$19)),"○","")))</f>
        <v/>
      </c>
      <c r="T167" s="10" t="str">
        <f aca="false">IFERROR(VLOOKUP($A167,03_質問施策マッピング!$A:$B,2,0),"")</f>
        <v>AIMF-DE-SOC-003</v>
      </c>
      <c r="U167" s="10" t="str">
        <f aca="false">IF($T167="","",IFERROR(VLOOKUP($T167,02_施策マスター!$A:$B,2,0),""))</f>
        <v>AIアラートのトリアージ基準</v>
      </c>
      <c r="V167" s="10" t="str">
        <f aca="false">IF($R167="","",$R167+(1000-ROW())/1000000)</f>
        <v/>
      </c>
      <c r="W167" s="10" t="str">
        <f aca="false">IF($V167="","",COUNTIF($V$2:$V$208,"&gt;"&amp;$V167)+1)</f>
        <v/>
      </c>
      <c r="X167" s="10" t="s">
        <v>116</v>
      </c>
    </row>
    <row r="168" customFormat="false" ht="32.8" hidden="false" customHeight="false" outlineLevel="0" collapsed="false">
      <c r="A168" s="10" t="s">
        <v>634</v>
      </c>
      <c r="B168" s="10" t="s">
        <v>549</v>
      </c>
      <c r="C168" s="10" t="s">
        <v>625</v>
      </c>
      <c r="D168" s="10" t="s">
        <v>635</v>
      </c>
      <c r="E168" s="10" t="s">
        <v>636</v>
      </c>
      <c r="F168" s="10" t="s">
        <v>98</v>
      </c>
      <c r="G168" s="10" t="s">
        <v>99</v>
      </c>
      <c r="H168" s="12" t="str">
        <f aca="false">IF(OR($G168="all",AND(00_はじめに!$B$24="Y",ISNUMBER(SEARCH("traditional",$G168))),AND(00_はじめに!$B$25="Y",ISNUMBER(SEARCH("generative",$G168))),AND(00_はじめに!$B$26="Y",ISNUMBER(SEARCH("ai-agent",$G168))),AND(00_はじめに!$B$27="Y",ISNUMBER(SEARCH("multi-agent",$G168)))),"○","対象外")</f>
        <v>○</v>
      </c>
      <c r="I168" s="13"/>
      <c r="J168" s="14" t="n">
        <v>3</v>
      </c>
      <c r="K168" s="12" t="str">
        <f aca="false">IF(OR($H168="対象外",$I168="",$J168=""),"",$J168-$I168)</f>
        <v/>
      </c>
      <c r="L168" s="14" t="n">
        <v>4</v>
      </c>
      <c r="M168" s="14" t="n">
        <v>3</v>
      </c>
      <c r="N168" s="14" t="n">
        <v>4</v>
      </c>
      <c r="O168" s="14" t="n">
        <v>4</v>
      </c>
      <c r="P168" s="14" t="n">
        <v>3</v>
      </c>
      <c r="Q168" s="14" t="n">
        <v>3</v>
      </c>
      <c r="R168" s="15" t="str">
        <f aca="false">IF(OR($H168="対象外",$K168="",$L168="",$M168="",$N168="",$O168="",$P168="",$Q168=""),"",($K168*$L168*$M168*$N168*$O168*$P168)/$Q168)</f>
        <v/>
      </c>
      <c r="S168" s="12" t="str">
        <f aca="false">IF($H168="対象外","",IF(OR($I168="",$J168=""),"",IF(OR($J168-$I168&gt;0,AND($R168&lt;&gt;"",$R168&gt;=00_はじめに!$B$19)),"○","")))</f>
        <v/>
      </c>
      <c r="T168" s="10" t="str">
        <f aca="false">IFERROR(VLOOKUP($A168,03_質問施策マッピング!$A:$B,2,0),"")</f>
        <v>AIMF-DE-SOC-004</v>
      </c>
      <c r="U168" s="10" t="str">
        <f aca="false">IF($T168="","",IFERROR(VLOOKUP($T168,02_施策マスター!$A:$B,2,0),""))</f>
        <v>AI環境の脅威ハンティング</v>
      </c>
      <c r="V168" s="10" t="str">
        <f aca="false">IF($R168="","",$R168+(1000-ROW())/1000000)</f>
        <v/>
      </c>
      <c r="W168" s="10" t="str">
        <f aca="false">IF($V168="","",COUNTIF($V$2:$V$208,"&gt;"&amp;$V168)+1)</f>
        <v/>
      </c>
      <c r="X168" s="10" t="s">
        <v>116</v>
      </c>
    </row>
    <row r="169" customFormat="false" ht="39.55" hidden="false" customHeight="false" outlineLevel="0" collapsed="false">
      <c r="A169" s="10" t="s">
        <v>637</v>
      </c>
      <c r="B169" s="10" t="s">
        <v>549</v>
      </c>
      <c r="C169" s="10" t="s">
        <v>625</v>
      </c>
      <c r="D169" s="11" t="s">
        <v>638</v>
      </c>
      <c r="E169" s="11" t="s">
        <v>639</v>
      </c>
      <c r="F169" s="10" t="s">
        <v>98</v>
      </c>
      <c r="G169" s="10" t="s">
        <v>99</v>
      </c>
      <c r="H169" s="12" t="str">
        <f aca="false">IF(OR($G169="all",AND(00_はじめに!$B$24="Y",ISNUMBER(SEARCH("traditional",$G169))),AND(00_はじめに!$B$25="Y",ISNUMBER(SEARCH("generative",$G169))),AND(00_はじめに!$B$26="Y",ISNUMBER(SEARCH("ai-agent",$G169))),AND(00_はじめに!$B$27="Y",ISNUMBER(SEARCH("multi-agent",$G169)))),"○","対象外")</f>
        <v>○</v>
      </c>
      <c r="I169" s="13"/>
      <c r="J169" s="14" t="n">
        <v>3</v>
      </c>
      <c r="K169" s="12" t="str">
        <f aca="false">IF(OR($H169="対象外",$I169="",$J169=""),"",$J169-$I169)</f>
        <v/>
      </c>
      <c r="L169" s="14" t="n">
        <v>4</v>
      </c>
      <c r="M169" s="14" t="n">
        <v>3</v>
      </c>
      <c r="N169" s="14" t="n">
        <v>4</v>
      </c>
      <c r="O169" s="14" t="n">
        <v>4</v>
      </c>
      <c r="P169" s="14" t="n">
        <v>3</v>
      </c>
      <c r="Q169" s="14" t="n">
        <v>3</v>
      </c>
      <c r="R169" s="15" t="str">
        <f aca="false">IF(OR($H169="対象外",$K169="",$L169="",$M169="",$N169="",$O169="",$P169="",$Q169=""),"",($K169*$L169*$M169*$N169*$O169*$P169)/$Q169)</f>
        <v/>
      </c>
      <c r="S169" s="12" t="str">
        <f aca="false">IF($H169="対象外","",IF(OR($I169="",$J169=""),"",IF(OR($J169-$I169&gt;0,AND($R169&lt;&gt;"",$R169&gt;=00_はじめに!$B$19)),"○","")))</f>
        <v/>
      </c>
      <c r="T169" s="10" t="str">
        <f aca="false">IFERROR(VLOOKUP($A169,03_質問施策マッピング!$A:$B,2,0),"")</f>
        <v>AIMF-DE-SOC-005</v>
      </c>
      <c r="U169" s="10" t="str">
        <f aca="false">IF($T169="","",IFERROR(VLOOKUP($T169,02_施策マスター!$A:$B,2,0),""))</f>
        <v>検知有効性の定期テスト</v>
      </c>
      <c r="V169" s="10" t="str">
        <f aca="false">IF($R169="","",$R169+(1000-ROW())/1000000)</f>
        <v/>
      </c>
      <c r="W169" s="10" t="str">
        <f aca="false">IF($V169="","",COUNTIF($V$2:$V$208,"&gt;"&amp;$V169)+1)</f>
        <v/>
      </c>
      <c r="X169" s="10" t="s">
        <v>116</v>
      </c>
    </row>
    <row r="170" customFormat="false" ht="39.55" hidden="false" customHeight="false" outlineLevel="0" collapsed="false">
      <c r="A170" s="10" t="s">
        <v>640</v>
      </c>
      <c r="B170" s="10" t="s">
        <v>549</v>
      </c>
      <c r="C170" s="10" t="s">
        <v>641</v>
      </c>
      <c r="D170" s="10" t="s">
        <v>642</v>
      </c>
      <c r="E170" s="11" t="s">
        <v>643</v>
      </c>
      <c r="F170" s="10" t="s">
        <v>98</v>
      </c>
      <c r="G170" s="10" t="s">
        <v>99</v>
      </c>
      <c r="H170" s="12" t="str">
        <f aca="false">IF(OR($G170="all",AND(00_はじめに!$B$24="Y",ISNUMBER(SEARCH("traditional",$G170))),AND(00_はじめに!$B$25="Y",ISNUMBER(SEARCH("generative",$G170))),AND(00_はじめに!$B$26="Y",ISNUMBER(SEARCH("ai-agent",$G170))),AND(00_はじめに!$B$27="Y",ISNUMBER(SEARCH("multi-agent",$G170)))),"○","対象外")</f>
        <v>○</v>
      </c>
      <c r="I170" s="13"/>
      <c r="J170" s="14" t="n">
        <v>3</v>
      </c>
      <c r="K170" s="12" t="str">
        <f aca="false">IF(OR($H170="対象外",$I170="",$J170=""),"",$J170-$I170)</f>
        <v/>
      </c>
      <c r="L170" s="14" t="n">
        <v>4</v>
      </c>
      <c r="M170" s="14" t="n">
        <v>3</v>
      </c>
      <c r="N170" s="14" t="n">
        <v>4</v>
      </c>
      <c r="O170" s="14" t="n">
        <v>4</v>
      </c>
      <c r="P170" s="14" t="n">
        <v>4</v>
      </c>
      <c r="Q170" s="14" t="n">
        <v>3</v>
      </c>
      <c r="R170" s="15" t="str">
        <f aca="false">IF(OR($H170="対象外",$K170="",$L170="",$M170="",$N170="",$O170="",$P170="",$Q170=""),"",($K170*$L170*$M170*$N170*$O170*$P170)/$Q170)</f>
        <v/>
      </c>
      <c r="S170" s="12" t="str">
        <f aca="false">IF($H170="対象外","",IF(OR($I170="",$J170=""),"",IF(OR($J170-$I170&gt;0,AND($R170&lt;&gt;"",$R170&gt;=00_はじめに!$B$19)),"○","")))</f>
        <v/>
      </c>
      <c r="T170" s="10" t="str">
        <f aca="false">IFERROR(VLOOKUP($A170,03_質問施策マッピング!$A:$B,2,0),"")</f>
        <v>AIMF-DE-LOG-001</v>
      </c>
      <c r="U170" s="10" t="str">
        <f aca="false">IF($T170="","",IFERROR(VLOOKUP($T170,02_施策マスター!$A:$B,2,0),""))</f>
        <v>AIコンポーネント横断のログ標準化</v>
      </c>
      <c r="V170" s="10" t="str">
        <f aca="false">IF($R170="","",$R170+(1000-ROW())/1000000)</f>
        <v/>
      </c>
      <c r="W170" s="10" t="str">
        <f aca="false">IF($V170="","",COUNTIF($V$2:$V$208,"&gt;"&amp;$V170)+1)</f>
        <v/>
      </c>
      <c r="X170" s="10" t="s">
        <v>116</v>
      </c>
    </row>
    <row r="171" customFormat="false" ht="32.8" hidden="false" customHeight="false" outlineLevel="0" collapsed="false">
      <c r="A171" s="10" t="s">
        <v>644</v>
      </c>
      <c r="B171" s="10" t="s">
        <v>549</v>
      </c>
      <c r="C171" s="10" t="s">
        <v>641</v>
      </c>
      <c r="D171" s="11" t="s">
        <v>645</v>
      </c>
      <c r="E171" s="10" t="s">
        <v>646</v>
      </c>
      <c r="F171" s="10" t="s">
        <v>98</v>
      </c>
      <c r="G171" s="10" t="s">
        <v>99</v>
      </c>
      <c r="H171" s="12" t="str">
        <f aca="false">IF(OR($G171="all",AND(00_はじめに!$B$24="Y",ISNUMBER(SEARCH("traditional",$G171))),AND(00_はじめに!$B$25="Y",ISNUMBER(SEARCH("generative",$G171))),AND(00_はじめに!$B$26="Y",ISNUMBER(SEARCH("ai-agent",$G171))),AND(00_はじめに!$B$27="Y",ISNUMBER(SEARCH("multi-agent",$G171)))),"○","対象外")</f>
        <v>○</v>
      </c>
      <c r="I171" s="13"/>
      <c r="J171" s="14" t="n">
        <v>3</v>
      </c>
      <c r="K171" s="12" t="str">
        <f aca="false">IF(OR($H171="対象外",$I171="",$J171=""),"",$J171-$I171)</f>
        <v/>
      </c>
      <c r="L171" s="14" t="n">
        <v>4</v>
      </c>
      <c r="M171" s="14" t="n">
        <v>3</v>
      </c>
      <c r="N171" s="14" t="n">
        <v>5</v>
      </c>
      <c r="O171" s="14" t="n">
        <v>4</v>
      </c>
      <c r="P171" s="14" t="n">
        <v>4</v>
      </c>
      <c r="Q171" s="14" t="n">
        <v>3</v>
      </c>
      <c r="R171" s="15" t="str">
        <f aca="false">IF(OR($H171="対象外",$K171="",$L171="",$M171="",$N171="",$O171="",$P171="",$Q171=""),"",($K171*$L171*$M171*$N171*$O171*$P171)/$Q171)</f>
        <v/>
      </c>
      <c r="S171" s="12" t="str">
        <f aca="false">IF($H171="対象外","",IF(OR($I171="",$J171=""),"",IF(OR($J171-$I171&gt;0,AND($R171&lt;&gt;"",$R171&gt;=00_はじめに!$B$19)),"○","")))</f>
        <v/>
      </c>
      <c r="T171" s="10" t="str">
        <f aca="false">IFERROR(VLOOKUP($A171,03_質問施策マッピング!$A:$B,2,0),"")</f>
        <v>AIMF-DE-LOG-002</v>
      </c>
      <c r="U171" s="10" t="str">
        <f aca="false">IF($T171="","",IFERROR(VLOOKUP($T171,02_施策マスター!$A:$B,2,0),""))</f>
        <v>ログの完全性保護</v>
      </c>
      <c r="V171" s="10" t="str">
        <f aca="false">IF($R171="","",$R171+(1000-ROW())/1000000)</f>
        <v/>
      </c>
      <c r="W171" s="10" t="str">
        <f aca="false">IF($V171="","",COUNTIF($V$2:$V$208,"&gt;"&amp;$V171)+1)</f>
        <v/>
      </c>
      <c r="X171" s="10" t="s">
        <v>116</v>
      </c>
    </row>
    <row r="172" customFormat="false" ht="39.55" hidden="false" customHeight="false" outlineLevel="0" collapsed="false">
      <c r="A172" s="10" t="s">
        <v>647</v>
      </c>
      <c r="B172" s="10" t="s">
        <v>549</v>
      </c>
      <c r="C172" s="10" t="s">
        <v>641</v>
      </c>
      <c r="D172" s="11" t="s">
        <v>648</v>
      </c>
      <c r="E172" s="11" t="s">
        <v>649</v>
      </c>
      <c r="F172" s="10" t="s">
        <v>98</v>
      </c>
      <c r="G172" s="10" t="s">
        <v>99</v>
      </c>
      <c r="H172" s="12" t="str">
        <f aca="false">IF(OR($G172="all",AND(00_はじめに!$B$24="Y",ISNUMBER(SEARCH("traditional",$G172))),AND(00_はじめに!$B$25="Y",ISNUMBER(SEARCH("generative",$G172))),AND(00_はじめに!$B$26="Y",ISNUMBER(SEARCH("ai-agent",$G172))),AND(00_はじめに!$B$27="Y",ISNUMBER(SEARCH("multi-agent",$G172)))),"○","対象外")</f>
        <v>○</v>
      </c>
      <c r="I172" s="13"/>
      <c r="J172" s="14" t="n">
        <v>3</v>
      </c>
      <c r="K172" s="12" t="str">
        <f aca="false">IF(OR($H172="対象外",$I172="",$J172=""),"",$J172-$I172)</f>
        <v/>
      </c>
      <c r="L172" s="14" t="n">
        <v>4</v>
      </c>
      <c r="M172" s="14" t="n">
        <v>3</v>
      </c>
      <c r="N172" s="14" t="n">
        <v>5</v>
      </c>
      <c r="O172" s="14" t="n">
        <v>4</v>
      </c>
      <c r="P172" s="14" t="n">
        <v>4</v>
      </c>
      <c r="Q172" s="14" t="n">
        <v>3</v>
      </c>
      <c r="R172" s="15" t="str">
        <f aca="false">IF(OR($H172="対象外",$K172="",$L172="",$M172="",$N172="",$O172="",$P172="",$Q172=""),"",($K172*$L172*$M172*$N172*$O172*$P172)/$Q172)</f>
        <v/>
      </c>
      <c r="S172" s="12" t="str">
        <f aca="false">IF($H172="対象外","",IF(OR($I172="",$J172=""),"",IF(OR($J172-$I172&gt;0,AND($R172&lt;&gt;"",$R172&gt;=00_はじめに!$B$19)),"○","")))</f>
        <v/>
      </c>
      <c r="T172" s="10" t="str">
        <f aca="false">IFERROR(VLOOKUP($A172,03_質問施策マッピング!$A:$B,2,0),"")</f>
        <v>AIMF-DE-LOG-003</v>
      </c>
      <c r="U172" s="10" t="str">
        <f aca="false">IF($T172="","",IFERROR(VLOOKUP($T172,02_施策マスター!$A:$B,2,0),""))</f>
        <v>ログ保持とプライバシーの両立</v>
      </c>
      <c r="V172" s="10" t="str">
        <f aca="false">IF($R172="","",$R172+(1000-ROW())/1000000)</f>
        <v/>
      </c>
      <c r="W172" s="10" t="str">
        <f aca="false">IF($V172="","",COUNTIF($V$2:$V$208,"&gt;"&amp;$V172)+1)</f>
        <v/>
      </c>
      <c r="X172" s="10" t="s">
        <v>116</v>
      </c>
    </row>
    <row r="173" customFormat="false" ht="32.8" hidden="false" customHeight="false" outlineLevel="0" collapsed="false">
      <c r="A173" s="10" t="s">
        <v>650</v>
      </c>
      <c r="B173" s="10" t="s">
        <v>651</v>
      </c>
      <c r="C173" s="10" t="s">
        <v>652</v>
      </c>
      <c r="D173" s="10" t="s">
        <v>653</v>
      </c>
      <c r="E173" s="10" t="s">
        <v>654</v>
      </c>
      <c r="F173" s="10" t="s">
        <v>98</v>
      </c>
      <c r="G173" s="10" t="s">
        <v>99</v>
      </c>
      <c r="H173" s="12" t="str">
        <f aca="false">IF(OR($G173="all",AND(00_はじめに!$B$24="Y",ISNUMBER(SEARCH("traditional",$G173))),AND(00_はじめに!$B$25="Y",ISNUMBER(SEARCH("generative",$G173))),AND(00_はじめに!$B$26="Y",ISNUMBER(SEARCH("ai-agent",$G173))),AND(00_はじめに!$B$27="Y",ISNUMBER(SEARCH("multi-agent",$G173)))),"○","対象外")</f>
        <v>○</v>
      </c>
      <c r="I173" s="13"/>
      <c r="J173" s="14" t="n">
        <v>4</v>
      </c>
      <c r="K173" s="12" t="str">
        <f aca="false">IF(OR($H173="対象外",$I173="",$J173=""),"",$J173-$I173)</f>
        <v/>
      </c>
      <c r="L173" s="14" t="n">
        <v>4</v>
      </c>
      <c r="M173" s="14" t="n">
        <v>3</v>
      </c>
      <c r="N173" s="14" t="n">
        <v>4</v>
      </c>
      <c r="O173" s="14" t="n">
        <v>4</v>
      </c>
      <c r="P173" s="14" t="n">
        <v>3</v>
      </c>
      <c r="Q173" s="14" t="n">
        <v>2</v>
      </c>
      <c r="R173" s="15" t="str">
        <f aca="false">IF(OR($H173="対象外",$K173="",$L173="",$M173="",$N173="",$O173="",$P173="",$Q173=""),"",($K173*$L173*$M173*$N173*$O173*$P173)/$Q173)</f>
        <v/>
      </c>
      <c r="S173" s="12" t="str">
        <f aca="false">IF($H173="対象外","",IF(OR($I173="",$J173=""),"",IF(OR($J173-$I173&gt;0,AND($R173&lt;&gt;"",$R173&gt;=00_はじめに!$B$19)),"○","")))</f>
        <v/>
      </c>
      <c r="T173" s="10" t="str">
        <f aca="false">IFERROR(VLOOKUP($A173,03_質問施策マッピング!$A:$B,2,0),"")</f>
        <v>AIMF-RS-IRP-001</v>
      </c>
      <c r="U173" s="10" t="str">
        <f aca="false">IF($T173="","",IFERROR(VLOOKUP($T173,02_施策マスター!$A:$B,2,0),""))</f>
        <v>CSIRTのAI拡張とプレイブック整備</v>
      </c>
      <c r="V173" s="10" t="str">
        <f aca="false">IF($R173="","",$R173+(1000-ROW())/1000000)</f>
        <v/>
      </c>
      <c r="W173" s="10" t="str">
        <f aca="false">IF($V173="","",COUNTIF($V$2:$V$208,"&gt;"&amp;$V173)+1)</f>
        <v/>
      </c>
      <c r="X173" s="10" t="s">
        <v>100</v>
      </c>
    </row>
    <row r="174" customFormat="false" ht="39.55" hidden="false" customHeight="false" outlineLevel="0" collapsed="false">
      <c r="A174" s="10" t="s">
        <v>655</v>
      </c>
      <c r="B174" s="10" t="s">
        <v>651</v>
      </c>
      <c r="C174" s="10" t="s">
        <v>652</v>
      </c>
      <c r="D174" s="11" t="s">
        <v>656</v>
      </c>
      <c r="E174" s="10" t="s">
        <v>657</v>
      </c>
      <c r="F174" s="10" t="s">
        <v>98</v>
      </c>
      <c r="G174" s="10" t="s">
        <v>99</v>
      </c>
      <c r="H174" s="12" t="str">
        <f aca="false">IF(OR($G174="all",AND(00_はじめに!$B$24="Y",ISNUMBER(SEARCH("traditional",$G174))),AND(00_はじめに!$B$25="Y",ISNUMBER(SEARCH("generative",$G174))),AND(00_はじめに!$B$26="Y",ISNUMBER(SEARCH("ai-agent",$G174))),AND(00_はじめに!$B$27="Y",ISNUMBER(SEARCH("multi-agent",$G174)))),"○","対象外")</f>
        <v>○</v>
      </c>
      <c r="I174" s="13"/>
      <c r="J174" s="14" t="n">
        <v>4</v>
      </c>
      <c r="K174" s="12" t="str">
        <f aca="false">IF(OR($H174="対象外",$I174="",$J174=""),"",$J174-$I174)</f>
        <v/>
      </c>
      <c r="L174" s="14" t="n">
        <v>4</v>
      </c>
      <c r="M174" s="14" t="n">
        <v>3</v>
      </c>
      <c r="N174" s="14" t="n">
        <v>4</v>
      </c>
      <c r="O174" s="14" t="n">
        <v>4</v>
      </c>
      <c r="P174" s="14" t="n">
        <v>3</v>
      </c>
      <c r="Q174" s="14" t="n">
        <v>2</v>
      </c>
      <c r="R174" s="15" t="str">
        <f aca="false">IF(OR($H174="対象外",$K174="",$L174="",$M174="",$N174="",$O174="",$P174="",$Q174=""),"",($K174*$L174*$M174*$N174*$O174*$P174)/$Q174)</f>
        <v/>
      </c>
      <c r="S174" s="12" t="str">
        <f aca="false">IF($H174="対象外","",IF(OR($I174="",$J174=""),"",IF(OR($J174-$I174&gt;0,AND($R174&lt;&gt;"",$R174&gt;=00_はじめに!$B$19)),"○","")))</f>
        <v/>
      </c>
      <c r="T174" s="10" t="str">
        <f aca="false">IFERROR(VLOOKUP($A174,03_質問施策マッピング!$A:$B,2,0),"")</f>
        <v>AIMF-RS-IRP-002</v>
      </c>
      <c r="U174" s="10" t="str">
        <f aca="false">IF($T174="","",IFERROR(VLOOKUP($T174,02_施策マスター!$A:$B,2,0),""))</f>
        <v>セキュリティ運用の自動化（SOAR）</v>
      </c>
      <c r="V174" s="10" t="str">
        <f aca="false">IF($R174="","",$R174+(1000-ROW())/1000000)</f>
        <v/>
      </c>
      <c r="W174" s="10" t="str">
        <f aca="false">IF($V174="","",COUNTIF($V$2:$V$208,"&gt;"&amp;$V174)+1)</f>
        <v/>
      </c>
      <c r="X174" s="10" t="s">
        <v>100</v>
      </c>
    </row>
    <row r="175" customFormat="false" ht="32.8" hidden="false" customHeight="false" outlineLevel="0" collapsed="false">
      <c r="A175" s="10" t="s">
        <v>658</v>
      </c>
      <c r="B175" s="10" t="s">
        <v>651</v>
      </c>
      <c r="C175" s="10" t="s">
        <v>652</v>
      </c>
      <c r="D175" s="11" t="s">
        <v>659</v>
      </c>
      <c r="E175" s="11" t="s">
        <v>660</v>
      </c>
      <c r="F175" s="10" t="s">
        <v>98</v>
      </c>
      <c r="G175" s="10" t="s">
        <v>203</v>
      </c>
      <c r="H175" s="12" t="str">
        <f aca="false">IF(OR($G175="all",AND(00_はじめに!$B$24="Y",ISNUMBER(SEARCH("traditional",$G175))),AND(00_はじめに!$B$25="Y",ISNUMBER(SEARCH("generative",$G175))),AND(00_はじめに!$B$26="Y",ISNUMBER(SEARCH("ai-agent",$G175))),AND(00_はじめに!$B$27="Y",ISNUMBER(SEARCH("multi-agent",$G175)))),"○","対象外")</f>
        <v>○</v>
      </c>
      <c r="I175" s="13"/>
      <c r="J175" s="14" t="n">
        <v>4</v>
      </c>
      <c r="K175" s="12" t="str">
        <f aca="false">IF(OR($H175="対象外",$I175="",$J175=""),"",$J175-$I175)</f>
        <v/>
      </c>
      <c r="L175" s="14" t="n">
        <v>4</v>
      </c>
      <c r="M175" s="14" t="n">
        <v>3</v>
      </c>
      <c r="N175" s="14" t="n">
        <v>4</v>
      </c>
      <c r="O175" s="14" t="n">
        <v>4</v>
      </c>
      <c r="P175" s="14" t="n">
        <v>3</v>
      </c>
      <c r="Q175" s="14" t="n">
        <v>2</v>
      </c>
      <c r="R175" s="15" t="str">
        <f aca="false">IF(OR($H175="対象外",$K175="",$L175="",$M175="",$N175="",$O175="",$P175="",$Q175=""),"",($K175*$L175*$M175*$N175*$O175*$P175)/$Q175)</f>
        <v/>
      </c>
      <c r="S175" s="12" t="str">
        <f aca="false">IF($H175="対象外","",IF(OR($I175="",$J175=""),"",IF(OR($J175-$I175&gt;0,AND($R175&lt;&gt;"",$R175&gt;=00_はじめに!$B$19)),"○","")))</f>
        <v/>
      </c>
      <c r="T175" s="10" t="str">
        <f aca="false">IFERROR(VLOOKUP($A175,03_質問施策マッピング!$A:$B,2,0),"")</f>
        <v>AIMF-RS-IRP-003</v>
      </c>
      <c r="U175" s="10" t="str">
        <f aca="false">IF($T175="","",IFERROR(VLOOKUP($T175,02_施策マスター!$A:$B,2,0),""))</f>
        <v>動的レートリミットと攻撃主体の自動隔離</v>
      </c>
      <c r="V175" s="10" t="str">
        <f aca="false">IF($R175="","",$R175+(1000-ROW())/1000000)</f>
        <v/>
      </c>
      <c r="W175" s="10" t="str">
        <f aca="false">IF($V175="","",COUNTIF($V$2:$V$208,"&gt;"&amp;$V175)+1)</f>
        <v/>
      </c>
      <c r="X175" s="10" t="s">
        <v>100</v>
      </c>
    </row>
    <row r="176" customFormat="false" ht="39.55" hidden="false" customHeight="false" outlineLevel="0" collapsed="false">
      <c r="A176" s="10" t="s">
        <v>661</v>
      </c>
      <c r="B176" s="10" t="s">
        <v>651</v>
      </c>
      <c r="C176" s="10" t="s">
        <v>652</v>
      </c>
      <c r="D176" s="10" t="s">
        <v>662</v>
      </c>
      <c r="E176" s="11" t="s">
        <v>663</v>
      </c>
      <c r="F176" s="10" t="s">
        <v>133</v>
      </c>
      <c r="G176" s="10" t="s">
        <v>99</v>
      </c>
      <c r="H176" s="12" t="str">
        <f aca="false">IF(OR($G176="all",AND(00_はじめに!$B$24="Y",ISNUMBER(SEARCH("traditional",$G176))),AND(00_はじめに!$B$25="Y",ISNUMBER(SEARCH("generative",$G176))),AND(00_はじめに!$B$26="Y",ISNUMBER(SEARCH("ai-agent",$G176))),AND(00_はじめに!$B$27="Y",ISNUMBER(SEARCH("multi-agent",$G176)))),"○","対象外")</f>
        <v>○</v>
      </c>
      <c r="I176" s="13"/>
      <c r="J176" s="14" t="n">
        <v>3</v>
      </c>
      <c r="K176" s="12" t="str">
        <f aca="false">IF(OR($H176="対象外",$I176="",$J176=""),"",$J176-$I176)</f>
        <v/>
      </c>
      <c r="L176" s="14" t="n">
        <v>4</v>
      </c>
      <c r="M176" s="14" t="n">
        <v>3</v>
      </c>
      <c r="N176" s="14" t="n">
        <v>5</v>
      </c>
      <c r="O176" s="14" t="n">
        <v>2</v>
      </c>
      <c r="P176" s="14" t="n">
        <v>3</v>
      </c>
      <c r="Q176" s="14" t="n">
        <v>4</v>
      </c>
      <c r="R176" s="15" t="str">
        <f aca="false">IF(OR($H176="対象外",$K176="",$L176="",$M176="",$N176="",$O176="",$P176="",$Q176=""),"",($K176*$L176*$M176*$N176*$O176*$P176)/$Q176)</f>
        <v/>
      </c>
      <c r="S176" s="12" t="str">
        <f aca="false">IF($H176="対象外","",IF(OR($I176="",$J176=""),"",IF(OR($J176-$I176&gt;0,AND($R176&lt;&gt;"",$R176&gt;=00_はじめに!$B$19)),"○","")))</f>
        <v/>
      </c>
      <c r="T176" s="10" t="str">
        <f aca="false">IFERROR(VLOOKUP($A176,03_質問施策マッピング!$A:$B,2,0),"")</f>
        <v>AIMF-RS-IRP-004</v>
      </c>
      <c r="U176" s="10" t="str">
        <f aca="false">IF($T176="","",IFERROR(VLOOKUP($T176,02_施策マスター!$A:$B,2,0),""))</f>
        <v>AI固有インシデントの分類・重大度基準</v>
      </c>
      <c r="V176" s="10" t="str">
        <f aca="false">IF($R176="","",$R176+(1000-ROW())/1000000)</f>
        <v/>
      </c>
      <c r="W176" s="10" t="str">
        <f aca="false">IF($V176="","",COUNTIF($V$2:$V$208,"&gt;"&amp;$V176)+1)</f>
        <v/>
      </c>
      <c r="X176" s="10" t="s">
        <v>116</v>
      </c>
    </row>
    <row r="177" customFormat="false" ht="39.55" hidden="false" customHeight="false" outlineLevel="0" collapsed="false">
      <c r="A177" s="10" t="s">
        <v>664</v>
      </c>
      <c r="B177" s="10" t="s">
        <v>651</v>
      </c>
      <c r="C177" s="10" t="s">
        <v>652</v>
      </c>
      <c r="D177" s="10" t="s">
        <v>665</v>
      </c>
      <c r="E177" s="11" t="s">
        <v>666</v>
      </c>
      <c r="F177" s="10" t="s">
        <v>133</v>
      </c>
      <c r="G177" s="10" t="s">
        <v>99</v>
      </c>
      <c r="H177" s="12" t="str">
        <f aca="false">IF(OR($G177="all",AND(00_はじめに!$B$24="Y",ISNUMBER(SEARCH("traditional",$G177))),AND(00_はじめに!$B$25="Y",ISNUMBER(SEARCH("generative",$G177))),AND(00_はじめに!$B$26="Y",ISNUMBER(SEARCH("ai-agent",$G177))),AND(00_はじめに!$B$27="Y",ISNUMBER(SEARCH("multi-agent",$G177)))),"○","対象外")</f>
        <v>○</v>
      </c>
      <c r="I177" s="13"/>
      <c r="J177" s="14" t="n">
        <v>3</v>
      </c>
      <c r="K177" s="12" t="str">
        <f aca="false">IF(OR($H177="対象外",$I177="",$J177=""),"",$J177-$I177)</f>
        <v/>
      </c>
      <c r="L177" s="14" t="n">
        <v>4</v>
      </c>
      <c r="M177" s="14" t="n">
        <v>3</v>
      </c>
      <c r="N177" s="14" t="n">
        <v>4</v>
      </c>
      <c r="O177" s="14" t="n">
        <v>2</v>
      </c>
      <c r="P177" s="14" t="n">
        <v>3</v>
      </c>
      <c r="Q177" s="14" t="n">
        <v>4</v>
      </c>
      <c r="R177" s="15" t="str">
        <f aca="false">IF(OR($H177="対象外",$K177="",$L177="",$M177="",$N177="",$O177="",$P177="",$Q177=""),"",($K177*$L177*$M177*$N177*$O177*$P177)/$Q177)</f>
        <v/>
      </c>
      <c r="S177" s="12" t="str">
        <f aca="false">IF($H177="対象外","",IF(OR($I177="",$J177=""),"",IF(OR($J177-$I177&gt;0,AND($R177&lt;&gt;"",$R177&gt;=00_はじめに!$B$19)),"○","")))</f>
        <v/>
      </c>
      <c r="T177" s="10" t="str">
        <f aca="false">IFERROR(VLOOKUP($A177,03_質問施策マッピング!$A:$B,2,0),"")</f>
        <v>AIMF-RS-IRP-005</v>
      </c>
      <c r="U177" s="10" t="str">
        <f aca="false">IF($T177="","",IFERROR(VLOOKUP($T177,02_施策マスター!$A:$B,2,0),""))</f>
        <v>AIインシデント対応プレイブック群</v>
      </c>
      <c r="V177" s="10" t="str">
        <f aca="false">IF($R177="","",$R177+(1000-ROW())/1000000)</f>
        <v/>
      </c>
      <c r="W177" s="10" t="str">
        <f aca="false">IF($V177="","",COUNTIF($V$2:$V$208,"&gt;"&amp;$V177)+1)</f>
        <v/>
      </c>
      <c r="X177" s="10" t="s">
        <v>116</v>
      </c>
    </row>
    <row r="178" customFormat="false" ht="32.8" hidden="false" customHeight="false" outlineLevel="0" collapsed="false">
      <c r="A178" s="10" t="s">
        <v>667</v>
      </c>
      <c r="B178" s="10" t="s">
        <v>651</v>
      </c>
      <c r="C178" s="10" t="s">
        <v>652</v>
      </c>
      <c r="D178" s="10" t="s">
        <v>668</v>
      </c>
      <c r="E178" s="10" t="s">
        <v>669</v>
      </c>
      <c r="F178" s="10" t="s">
        <v>98</v>
      </c>
      <c r="G178" s="10" t="s">
        <v>99</v>
      </c>
      <c r="H178" s="12" t="str">
        <f aca="false">IF(OR($G178="all",AND(00_はじめに!$B$24="Y",ISNUMBER(SEARCH("traditional",$G178))),AND(00_はじめに!$B$25="Y",ISNUMBER(SEARCH("generative",$G178))),AND(00_はじめに!$B$26="Y",ISNUMBER(SEARCH("ai-agent",$G178))),AND(00_はじめに!$B$27="Y",ISNUMBER(SEARCH("multi-agent",$G178)))),"○","対象外")</f>
        <v>○</v>
      </c>
      <c r="I178" s="13"/>
      <c r="J178" s="14" t="n">
        <v>3</v>
      </c>
      <c r="K178" s="12" t="str">
        <f aca="false">IF(OR($H178="対象外",$I178="",$J178=""),"",$J178-$I178)</f>
        <v/>
      </c>
      <c r="L178" s="14" t="n">
        <v>4</v>
      </c>
      <c r="M178" s="14" t="n">
        <v>3</v>
      </c>
      <c r="N178" s="14" t="n">
        <v>4</v>
      </c>
      <c r="O178" s="14" t="n">
        <v>4</v>
      </c>
      <c r="P178" s="14" t="n">
        <v>3</v>
      </c>
      <c r="Q178" s="14" t="n">
        <v>2</v>
      </c>
      <c r="R178" s="15" t="str">
        <f aca="false">IF(OR($H178="対象外",$K178="",$L178="",$M178="",$N178="",$O178="",$P178="",$Q178=""),"",($K178*$L178*$M178*$N178*$O178*$P178)/$Q178)</f>
        <v/>
      </c>
      <c r="S178" s="12" t="str">
        <f aca="false">IF($H178="対象外","",IF(OR($I178="",$J178=""),"",IF(OR($J178-$I178&gt;0,AND($R178&lt;&gt;"",$R178&gt;=00_はじめに!$B$19)),"○","")))</f>
        <v/>
      </c>
      <c r="T178" s="10" t="str">
        <f aca="false">IFERROR(VLOOKUP($A178,03_質問施策マッピング!$A:$B,2,0),"")</f>
        <v>AIMF-RS-IRP-006</v>
      </c>
      <c r="U178" s="10" t="str">
        <f aca="false">IF($T178="","",IFERROR(VLOOKUP($T178,02_施策マスター!$A:$B,2,0),""))</f>
        <v>AIシナリオの机上演習・実地訓練</v>
      </c>
      <c r="V178" s="10" t="str">
        <f aca="false">IF($R178="","",$R178+(1000-ROW())/1000000)</f>
        <v/>
      </c>
      <c r="W178" s="10" t="str">
        <f aca="false">IF($V178="","",COUNTIF($V$2:$V$208,"&gt;"&amp;$V178)+1)</f>
        <v/>
      </c>
      <c r="X178" s="10" t="s">
        <v>116</v>
      </c>
    </row>
    <row r="179" customFormat="false" ht="32.8" hidden="false" customHeight="false" outlineLevel="0" collapsed="false">
      <c r="A179" s="10" t="s">
        <v>670</v>
      </c>
      <c r="B179" s="10" t="s">
        <v>651</v>
      </c>
      <c r="C179" s="10" t="s">
        <v>652</v>
      </c>
      <c r="D179" s="11" t="s">
        <v>671</v>
      </c>
      <c r="E179" s="11" t="s">
        <v>672</v>
      </c>
      <c r="F179" s="10" t="s">
        <v>98</v>
      </c>
      <c r="G179" s="10" t="s">
        <v>99</v>
      </c>
      <c r="H179" s="12" t="str">
        <f aca="false">IF(OR($G179="all",AND(00_はじめに!$B$24="Y",ISNUMBER(SEARCH("traditional",$G179))),AND(00_はじめに!$B$25="Y",ISNUMBER(SEARCH("generative",$G179))),AND(00_はじめに!$B$26="Y",ISNUMBER(SEARCH("ai-agent",$G179))),AND(00_はじめに!$B$27="Y",ISNUMBER(SEARCH("multi-agent",$G179)))),"○","対象外")</f>
        <v>○</v>
      </c>
      <c r="I179" s="13"/>
      <c r="J179" s="14" t="n">
        <v>3</v>
      </c>
      <c r="K179" s="12" t="str">
        <f aca="false">IF(OR($H179="対象外",$I179="",$J179=""),"",$J179-$I179)</f>
        <v/>
      </c>
      <c r="L179" s="14" t="n">
        <v>4</v>
      </c>
      <c r="M179" s="14" t="n">
        <v>3</v>
      </c>
      <c r="N179" s="14" t="n">
        <v>4</v>
      </c>
      <c r="O179" s="14" t="n">
        <v>4</v>
      </c>
      <c r="P179" s="14" t="n">
        <v>3</v>
      </c>
      <c r="Q179" s="14" t="n">
        <v>2</v>
      </c>
      <c r="R179" s="15" t="str">
        <f aca="false">IF(OR($H179="対象外",$K179="",$L179="",$M179="",$N179="",$O179="",$P179="",$Q179=""),"",($K179*$L179*$M179*$N179*$O179*$P179)/$Q179)</f>
        <v/>
      </c>
      <c r="S179" s="12" t="str">
        <f aca="false">IF($H179="対象外","",IF(OR($I179="",$J179=""),"",IF(OR($J179-$I179&gt;0,AND($R179&lt;&gt;"",$R179&gt;=00_はじめに!$B$19)),"○","")))</f>
        <v/>
      </c>
      <c r="T179" s="10" t="str">
        <f aca="false">IFERROR(VLOOKUP($A179,03_質問施策マッピング!$A:$B,2,0),"")</f>
        <v>AIMF-RS-IRP-007</v>
      </c>
      <c r="U179" s="10" t="str">
        <f aca="false">IF($T179="","",IFERROR(VLOOKUP($T179,02_施策マスター!$A:$B,2,0),""))</f>
        <v>プロバイダーとのインシデント連携体制</v>
      </c>
      <c r="V179" s="10" t="str">
        <f aca="false">IF($R179="","",$R179+(1000-ROW())/1000000)</f>
        <v/>
      </c>
      <c r="W179" s="10" t="str">
        <f aca="false">IF($V179="","",COUNTIF($V$2:$V$208,"&gt;"&amp;$V179)+1)</f>
        <v/>
      </c>
      <c r="X179" s="10" t="s">
        <v>116</v>
      </c>
    </row>
    <row r="180" customFormat="false" ht="32.8" hidden="false" customHeight="false" outlineLevel="0" collapsed="false">
      <c r="A180" s="10" t="s">
        <v>673</v>
      </c>
      <c r="B180" s="10" t="s">
        <v>651</v>
      </c>
      <c r="C180" s="10" t="s">
        <v>652</v>
      </c>
      <c r="D180" s="11" t="s">
        <v>674</v>
      </c>
      <c r="E180" s="10" t="s">
        <v>675</v>
      </c>
      <c r="F180" s="10" t="s">
        <v>98</v>
      </c>
      <c r="G180" s="10" t="s">
        <v>99</v>
      </c>
      <c r="H180" s="12" t="str">
        <f aca="false">IF(OR($G180="all",AND(00_はじめに!$B$24="Y",ISNUMBER(SEARCH("traditional",$G180))),AND(00_はじめに!$B$25="Y",ISNUMBER(SEARCH("generative",$G180))),AND(00_はじめに!$B$26="Y",ISNUMBER(SEARCH("ai-agent",$G180))),AND(00_はじめに!$B$27="Y",ISNUMBER(SEARCH("multi-agent",$G180)))),"○","対象外")</f>
        <v>○</v>
      </c>
      <c r="I180" s="13"/>
      <c r="J180" s="14" t="n">
        <v>3</v>
      </c>
      <c r="K180" s="12" t="str">
        <f aca="false">IF(OR($H180="対象外",$I180="",$J180=""),"",$J180-$I180)</f>
        <v/>
      </c>
      <c r="L180" s="14" t="n">
        <v>4</v>
      </c>
      <c r="M180" s="14" t="n">
        <v>3</v>
      </c>
      <c r="N180" s="14" t="n">
        <v>5</v>
      </c>
      <c r="O180" s="14" t="n">
        <v>4</v>
      </c>
      <c r="P180" s="14" t="n">
        <v>3</v>
      </c>
      <c r="Q180" s="14" t="n">
        <v>2</v>
      </c>
      <c r="R180" s="15" t="str">
        <f aca="false">IF(OR($H180="対象外",$K180="",$L180="",$M180="",$N180="",$O180="",$P180="",$Q180=""),"",($K180*$L180*$M180*$N180*$O180*$P180)/$Q180)</f>
        <v/>
      </c>
      <c r="S180" s="12" t="str">
        <f aca="false">IF($H180="対象外","",IF(OR($I180="",$J180=""),"",IF(OR($J180-$I180&gt;0,AND($R180&lt;&gt;"",$R180&gt;=00_はじめに!$B$19)),"○","")))</f>
        <v/>
      </c>
      <c r="T180" s="10" t="str">
        <f aca="false">IFERROR(VLOOKUP($A180,03_質問施策マッピング!$A:$B,2,0),"")</f>
        <v>AIMF-RS-IRP-008</v>
      </c>
      <c r="U180" s="10" t="str">
        <f aca="false">IF($T180="","",IFERROR(VLOOKUP($T180,02_施策マスター!$A:$B,2,0),""))</f>
        <v>インシデント時のサービス停止判断権限</v>
      </c>
      <c r="V180" s="10" t="str">
        <f aca="false">IF($R180="","",$R180+(1000-ROW())/1000000)</f>
        <v/>
      </c>
      <c r="W180" s="10" t="str">
        <f aca="false">IF($V180="","",COUNTIF($V$2:$V$208,"&gt;"&amp;$V180)+1)</f>
        <v/>
      </c>
      <c r="X180" s="10" t="s">
        <v>116</v>
      </c>
    </row>
    <row r="181" customFormat="false" ht="26.85" hidden="false" customHeight="false" outlineLevel="0" collapsed="false">
      <c r="A181" s="10" t="s">
        <v>676</v>
      </c>
      <c r="B181" s="10" t="s">
        <v>651</v>
      </c>
      <c r="C181" s="10" t="s">
        <v>677</v>
      </c>
      <c r="D181" s="10" t="s">
        <v>678</v>
      </c>
      <c r="E181" s="11" t="s">
        <v>679</v>
      </c>
      <c r="F181" s="10" t="s">
        <v>133</v>
      </c>
      <c r="G181" s="10" t="s">
        <v>166</v>
      </c>
      <c r="H181" s="12" t="str">
        <f aca="false">IF(OR($G181="all",AND(00_はじめに!$B$24="Y",ISNUMBER(SEARCH("traditional",$G181))),AND(00_はじめに!$B$25="Y",ISNUMBER(SEARCH("generative",$G181))),AND(00_はじめに!$B$26="Y",ISNUMBER(SEARCH("ai-agent",$G181))),AND(00_はじめに!$B$27="Y",ISNUMBER(SEARCH("multi-agent",$G181)))),"○","対象外")</f>
        <v>○</v>
      </c>
      <c r="I181" s="13"/>
      <c r="J181" s="14" t="n">
        <v>4</v>
      </c>
      <c r="K181" s="12" t="str">
        <f aca="false">IF(OR($H181="対象外",$I181="",$J181=""),"",$J181-$I181)</f>
        <v/>
      </c>
      <c r="L181" s="14" t="n">
        <v>5</v>
      </c>
      <c r="M181" s="14" t="n">
        <v>3</v>
      </c>
      <c r="N181" s="14" t="n">
        <v>5</v>
      </c>
      <c r="O181" s="14" t="n">
        <v>2</v>
      </c>
      <c r="P181" s="14" t="n">
        <v>3</v>
      </c>
      <c r="Q181" s="14" t="n">
        <v>4</v>
      </c>
      <c r="R181" s="15" t="str">
        <f aca="false">IF(OR($H181="対象外",$K181="",$L181="",$M181="",$N181="",$O181="",$P181="",$Q181=""),"",($K181*$L181*$M181*$N181*$O181*$P181)/$Q181)</f>
        <v/>
      </c>
      <c r="S181" s="12" t="str">
        <f aca="false">IF($H181="対象外","",IF(OR($I181="",$J181=""),"",IF(OR($J181-$I181&gt;0,AND($R181&lt;&gt;"",$R181&gt;=00_はじめに!$B$19)),"○","")))</f>
        <v/>
      </c>
      <c r="T181" s="10" t="str">
        <f aca="false">IFERROR(VLOOKUP($A181,03_質問施策マッピング!$A:$B,2,0),"")</f>
        <v>AIMF-RS-CON-001</v>
      </c>
      <c r="U181" s="10" t="str">
        <f aca="false">IF($T181="","",IFERROR(VLOOKUP($T181,02_施策マスター!$A:$B,2,0),""))</f>
        <v>AIエージェントのキルスイッチ実装</v>
      </c>
      <c r="V181" s="10" t="str">
        <f aca="false">IF($R181="","",$R181+(1000-ROW())/1000000)</f>
        <v/>
      </c>
      <c r="W181" s="10" t="str">
        <f aca="false">IF($V181="","",COUNTIF($V$2:$V$208,"&gt;"&amp;$V181)+1)</f>
        <v/>
      </c>
      <c r="X181" s="10" t="s">
        <v>100</v>
      </c>
    </row>
    <row r="182" customFormat="false" ht="39.55" hidden="false" customHeight="false" outlineLevel="0" collapsed="false">
      <c r="A182" s="10" t="s">
        <v>680</v>
      </c>
      <c r="B182" s="10" t="s">
        <v>651</v>
      </c>
      <c r="C182" s="10" t="s">
        <v>677</v>
      </c>
      <c r="D182" s="11" t="s">
        <v>681</v>
      </c>
      <c r="E182" s="11" t="s">
        <v>682</v>
      </c>
      <c r="F182" s="10" t="s">
        <v>98</v>
      </c>
      <c r="G182" s="10" t="s">
        <v>99</v>
      </c>
      <c r="H182" s="12" t="str">
        <f aca="false">IF(OR($G182="all",AND(00_はじめに!$B$24="Y",ISNUMBER(SEARCH("traditional",$G182))),AND(00_はじめに!$B$25="Y",ISNUMBER(SEARCH("generative",$G182))),AND(00_はじめに!$B$26="Y",ISNUMBER(SEARCH("ai-agent",$G182))),AND(00_はじめに!$B$27="Y",ISNUMBER(SEARCH("multi-agent",$G182)))),"○","対象外")</f>
        <v>○</v>
      </c>
      <c r="I182" s="13"/>
      <c r="J182" s="14" t="n">
        <v>4</v>
      </c>
      <c r="K182" s="12" t="str">
        <f aca="false">IF(OR($H182="対象外",$I182="",$J182=""),"",$J182-$I182)</f>
        <v/>
      </c>
      <c r="L182" s="14" t="n">
        <v>5</v>
      </c>
      <c r="M182" s="14" t="n">
        <v>3</v>
      </c>
      <c r="N182" s="14" t="n">
        <v>4</v>
      </c>
      <c r="O182" s="14" t="n">
        <v>4</v>
      </c>
      <c r="P182" s="14" t="n">
        <v>3</v>
      </c>
      <c r="Q182" s="14" t="n">
        <v>2</v>
      </c>
      <c r="R182" s="15" t="str">
        <f aca="false">IF(OR($H182="対象外",$K182="",$L182="",$M182="",$N182="",$O182="",$P182="",$Q182=""),"",($K182*$L182*$M182*$N182*$O182*$P182)/$Q182)</f>
        <v/>
      </c>
      <c r="S182" s="12" t="str">
        <f aca="false">IF($H182="対象外","",IF(OR($I182="",$J182=""),"",IF(OR($J182-$I182&gt;0,AND($R182&lt;&gt;"",$R182&gt;=00_はじめに!$B$19)),"○","")))</f>
        <v/>
      </c>
      <c r="T182" s="10" t="str">
        <f aca="false">IFERROR(VLOOKUP($A182,03_質問施策マッピング!$A:$B,2,0),"")</f>
        <v>AIMF-RS-CON-002</v>
      </c>
      <c r="U182" s="10" t="str">
        <f aca="false">IF($T182="","",IFERROR(VLOOKUP($T182,02_施策マスター!$A:$B,2,0),""))</f>
        <v>インフラ通信・データアクセスの即時遮断</v>
      </c>
      <c r="V182" s="10" t="str">
        <f aca="false">IF($R182="","",$R182+(1000-ROW())/1000000)</f>
        <v/>
      </c>
      <c r="W182" s="10" t="str">
        <f aca="false">IF($V182="","",COUNTIF($V$2:$V$208,"&gt;"&amp;$V182)+1)</f>
        <v/>
      </c>
      <c r="X182" s="10" t="s">
        <v>100</v>
      </c>
    </row>
    <row r="183" customFormat="false" ht="39.55" hidden="false" customHeight="false" outlineLevel="0" collapsed="false">
      <c r="A183" s="10" t="s">
        <v>683</v>
      </c>
      <c r="B183" s="10" t="s">
        <v>651</v>
      </c>
      <c r="C183" s="10" t="s">
        <v>677</v>
      </c>
      <c r="D183" s="11" t="s">
        <v>684</v>
      </c>
      <c r="E183" s="11" t="s">
        <v>685</v>
      </c>
      <c r="F183" s="10" t="s">
        <v>133</v>
      </c>
      <c r="G183" s="10" t="s">
        <v>99</v>
      </c>
      <c r="H183" s="12" t="str">
        <f aca="false">IF(OR($G183="all",AND(00_はじめに!$B$24="Y",ISNUMBER(SEARCH("traditional",$G183))),AND(00_はじめに!$B$25="Y",ISNUMBER(SEARCH("generative",$G183))),AND(00_はじめに!$B$26="Y",ISNUMBER(SEARCH("ai-agent",$G183))),AND(00_はじめに!$B$27="Y",ISNUMBER(SEARCH("multi-agent",$G183)))),"○","対象外")</f>
        <v>○</v>
      </c>
      <c r="I183" s="13"/>
      <c r="J183" s="14" t="n">
        <v>3</v>
      </c>
      <c r="K183" s="12" t="str">
        <f aca="false">IF(OR($H183="対象外",$I183="",$J183=""),"",$J183-$I183)</f>
        <v/>
      </c>
      <c r="L183" s="14" t="n">
        <v>5</v>
      </c>
      <c r="M183" s="14" t="n">
        <v>3</v>
      </c>
      <c r="N183" s="14" t="n">
        <v>4</v>
      </c>
      <c r="O183" s="14" t="n">
        <v>2</v>
      </c>
      <c r="P183" s="14" t="n">
        <v>3</v>
      </c>
      <c r="Q183" s="14" t="n">
        <v>4</v>
      </c>
      <c r="R183" s="15" t="str">
        <f aca="false">IF(OR($H183="対象外",$K183="",$L183="",$M183="",$N183="",$O183="",$P183="",$Q183=""),"",($K183*$L183*$M183*$N183*$O183*$P183)/$Q183)</f>
        <v/>
      </c>
      <c r="S183" s="12" t="str">
        <f aca="false">IF($H183="対象外","",IF(OR($I183="",$J183=""),"",IF(OR($J183-$I183&gt;0,AND($R183&lt;&gt;"",$R183&gt;=00_はじめに!$B$19)),"○","")))</f>
        <v/>
      </c>
      <c r="T183" s="10" t="str">
        <f aca="false">IFERROR(VLOOKUP($A183,03_質問施策マッピング!$A:$B,2,0),"")</f>
        <v>AIMF-RS-CON-003</v>
      </c>
      <c r="U183" s="10" t="str">
        <f aca="false">IF($T183="","",IFERROR(VLOOKUP($T183,02_施策マスター!$A:$B,2,0),""))</f>
        <v>侵害モデルのロールバック</v>
      </c>
      <c r="V183" s="10" t="str">
        <f aca="false">IF($R183="","",$R183+(1000-ROW())/1000000)</f>
        <v/>
      </c>
      <c r="W183" s="10" t="str">
        <f aca="false">IF($V183="","",COUNTIF($V$2:$V$208,"&gt;"&amp;$V183)+1)</f>
        <v/>
      </c>
      <c r="X183" s="10" t="s">
        <v>116</v>
      </c>
    </row>
    <row r="184" customFormat="false" ht="39.55" hidden="false" customHeight="false" outlineLevel="0" collapsed="false">
      <c r="A184" s="10" t="s">
        <v>686</v>
      </c>
      <c r="B184" s="10" t="s">
        <v>651</v>
      </c>
      <c r="C184" s="10" t="s">
        <v>677</v>
      </c>
      <c r="D184" s="11" t="s">
        <v>687</v>
      </c>
      <c r="E184" s="11" t="s">
        <v>688</v>
      </c>
      <c r="F184" s="10" t="s">
        <v>133</v>
      </c>
      <c r="G184" s="10" t="s">
        <v>166</v>
      </c>
      <c r="H184" s="12" t="str">
        <f aca="false">IF(OR($G184="all",AND(00_はじめに!$B$24="Y",ISNUMBER(SEARCH("traditional",$G184))),AND(00_はじめに!$B$25="Y",ISNUMBER(SEARCH("generative",$G184))),AND(00_はじめに!$B$26="Y",ISNUMBER(SEARCH("ai-agent",$G184))),AND(00_はじめに!$B$27="Y",ISNUMBER(SEARCH("multi-agent",$G184)))),"○","対象外")</f>
        <v>○</v>
      </c>
      <c r="I184" s="13"/>
      <c r="J184" s="14" t="n">
        <v>3</v>
      </c>
      <c r="K184" s="12" t="str">
        <f aca="false">IF(OR($H184="対象外",$I184="",$J184=""),"",$J184-$I184)</f>
        <v/>
      </c>
      <c r="L184" s="14" t="n">
        <v>5</v>
      </c>
      <c r="M184" s="14" t="n">
        <v>3</v>
      </c>
      <c r="N184" s="14" t="n">
        <v>4</v>
      </c>
      <c r="O184" s="14" t="n">
        <v>2</v>
      </c>
      <c r="P184" s="14" t="n">
        <v>3</v>
      </c>
      <c r="Q184" s="14" t="n">
        <v>4</v>
      </c>
      <c r="R184" s="15" t="str">
        <f aca="false">IF(OR($H184="対象外",$K184="",$L184="",$M184="",$N184="",$O184="",$P184="",$Q184=""),"",($K184*$L184*$M184*$N184*$O184*$P184)/$Q184)</f>
        <v/>
      </c>
      <c r="S184" s="12" t="str">
        <f aca="false">IF($H184="対象外","",IF(OR($I184="",$J184=""),"",IF(OR($J184-$I184&gt;0,AND($R184&lt;&gt;"",$R184&gt;=00_はじめに!$B$19)),"○","")))</f>
        <v/>
      </c>
      <c r="T184" s="10" t="str">
        <f aca="false">IFERROR(VLOOKUP($A184,03_質問施策マッピング!$A:$B,2,0),"")</f>
        <v>AIMF-RS-CON-004</v>
      </c>
      <c r="U184" s="10" t="str">
        <f aca="false">IF($T184="","",IFERROR(VLOOKUP($T184,02_施策マスター!$A:$B,2,0),""))</f>
        <v>エージェント資格情報の即時失効・一括ローテーション</v>
      </c>
      <c r="V184" s="10" t="str">
        <f aca="false">IF($R184="","",$R184+(1000-ROW())/1000000)</f>
        <v/>
      </c>
      <c r="W184" s="10" t="str">
        <f aca="false">IF($V184="","",COUNTIF($V$2:$V$208,"&gt;"&amp;$V184)+1)</f>
        <v/>
      </c>
      <c r="X184" s="10" t="s">
        <v>116</v>
      </c>
    </row>
    <row r="185" customFormat="false" ht="39.55" hidden="false" customHeight="false" outlineLevel="0" collapsed="false">
      <c r="A185" s="10" t="s">
        <v>689</v>
      </c>
      <c r="B185" s="10" t="s">
        <v>651</v>
      </c>
      <c r="C185" s="10" t="s">
        <v>677</v>
      </c>
      <c r="D185" s="11" t="s">
        <v>690</v>
      </c>
      <c r="E185" s="11" t="s">
        <v>691</v>
      </c>
      <c r="F185" s="10" t="s">
        <v>133</v>
      </c>
      <c r="G185" s="10" t="s">
        <v>233</v>
      </c>
      <c r="H185" s="12" t="str">
        <f aca="false">IF(OR($G185="all",AND(00_はじめに!$B$24="Y",ISNUMBER(SEARCH("traditional",$G185))),AND(00_はじめに!$B$25="Y",ISNUMBER(SEARCH("generative",$G185))),AND(00_はじめに!$B$26="Y",ISNUMBER(SEARCH("ai-agent",$G185))),AND(00_はじめに!$B$27="Y",ISNUMBER(SEARCH("multi-agent",$G185)))),"○","対象外")</f>
        <v>○</v>
      </c>
      <c r="I185" s="13"/>
      <c r="J185" s="14" t="n">
        <v>3</v>
      </c>
      <c r="K185" s="12" t="str">
        <f aca="false">IF(OR($H185="対象外",$I185="",$J185=""),"",$J185-$I185)</f>
        <v/>
      </c>
      <c r="L185" s="14" t="n">
        <v>5</v>
      </c>
      <c r="M185" s="14" t="n">
        <v>3</v>
      </c>
      <c r="N185" s="14" t="n">
        <v>4</v>
      </c>
      <c r="O185" s="14" t="n">
        <v>2</v>
      </c>
      <c r="P185" s="14" t="n">
        <v>3</v>
      </c>
      <c r="Q185" s="14" t="n">
        <v>4</v>
      </c>
      <c r="R185" s="15" t="str">
        <f aca="false">IF(OR($H185="対象外",$K185="",$L185="",$M185="",$N185="",$O185="",$P185="",$Q185=""),"",($K185*$L185*$M185*$N185*$O185*$P185)/$Q185)</f>
        <v/>
      </c>
      <c r="S185" s="12" t="str">
        <f aca="false">IF($H185="対象外","",IF(OR($I185="",$J185=""),"",IF(OR($J185-$I185&gt;0,AND($R185&lt;&gt;"",$R185&gt;=00_はじめに!$B$19)),"○","")))</f>
        <v/>
      </c>
      <c r="T185" s="10" t="str">
        <f aca="false">IFERROR(VLOOKUP($A185,03_質問施策マッピング!$A:$B,2,0),"")</f>
        <v>AIMF-RS-CON-005</v>
      </c>
      <c r="U185" s="10" t="str">
        <f aca="false">IF($T185="","",IFERROR(VLOOKUP($T185,02_施策マスター!$A:$B,2,0),""))</f>
        <v>汚染RAGソース・メモリの隔離・検疫</v>
      </c>
      <c r="V185" s="10" t="str">
        <f aca="false">IF($R185="","",$R185+(1000-ROW())/1000000)</f>
        <v/>
      </c>
      <c r="W185" s="10" t="str">
        <f aca="false">IF($V185="","",COUNTIF($V$2:$V$208,"&gt;"&amp;$V185)+1)</f>
        <v/>
      </c>
      <c r="X185" s="10" t="s">
        <v>116</v>
      </c>
    </row>
    <row r="186" customFormat="false" ht="39.55" hidden="false" customHeight="false" outlineLevel="0" collapsed="false">
      <c r="A186" s="10" t="s">
        <v>692</v>
      </c>
      <c r="B186" s="10" t="s">
        <v>651</v>
      </c>
      <c r="C186" s="10" t="s">
        <v>693</v>
      </c>
      <c r="D186" s="11" t="s">
        <v>694</v>
      </c>
      <c r="E186" s="11" t="s">
        <v>695</v>
      </c>
      <c r="F186" s="10" t="s">
        <v>98</v>
      </c>
      <c r="G186" s="10" t="s">
        <v>99</v>
      </c>
      <c r="H186" s="12" t="str">
        <f aca="false">IF(OR($G186="all",AND(00_はじめに!$B$24="Y",ISNUMBER(SEARCH("traditional",$G186))),AND(00_はじめに!$B$25="Y",ISNUMBER(SEARCH("generative",$G186))),AND(00_はじめに!$B$26="Y",ISNUMBER(SEARCH("ai-agent",$G186))),AND(00_はじめに!$B$27="Y",ISNUMBER(SEARCH("multi-agent",$G186)))),"○","対象外")</f>
        <v>○</v>
      </c>
      <c r="I186" s="13"/>
      <c r="J186" s="14" t="n">
        <v>4</v>
      </c>
      <c r="K186" s="12" t="str">
        <f aca="false">IF(OR($H186="対象外",$I186="",$J186=""),"",$J186-$I186)</f>
        <v/>
      </c>
      <c r="L186" s="14" t="n">
        <v>4</v>
      </c>
      <c r="M186" s="14" t="n">
        <v>3</v>
      </c>
      <c r="N186" s="14" t="n">
        <v>5</v>
      </c>
      <c r="O186" s="14" t="n">
        <v>4</v>
      </c>
      <c r="P186" s="14" t="n">
        <v>3</v>
      </c>
      <c r="Q186" s="14" t="n">
        <v>2</v>
      </c>
      <c r="R186" s="15" t="str">
        <f aca="false">IF(OR($H186="対象外",$K186="",$L186="",$M186="",$N186="",$O186="",$P186="",$Q186=""),"",($K186*$L186*$M186*$N186*$O186*$P186)/$Q186)</f>
        <v/>
      </c>
      <c r="S186" s="12" t="str">
        <f aca="false">IF($H186="対象外","",IF(OR($I186="",$J186=""),"",IF(OR($J186-$I186&gt;0,AND($R186&lt;&gt;"",$R186&gt;=00_はじめに!$B$19)),"○","")))</f>
        <v/>
      </c>
      <c r="T186" s="10" t="str">
        <f aca="false">IFERROR(VLOOKUP($A186,03_質問施策マッピング!$A:$B,2,0),"")</f>
        <v>AIMF-RS-RPT-001</v>
      </c>
      <c r="U186" s="10" t="str">
        <f aca="false">IF($T186="","",IFERROR(VLOOKUP($T186,02_施策マスター!$A:$B,2,0),""))</f>
        <v>インシデントの外部報告・ステークホルダー通知</v>
      </c>
      <c r="V186" s="10" t="str">
        <f aca="false">IF($R186="","",$R186+(1000-ROW())/1000000)</f>
        <v/>
      </c>
      <c r="W186" s="10" t="str">
        <f aca="false">IF($V186="","",COUNTIF($V$2:$V$208,"&gt;"&amp;$V186)+1)</f>
        <v/>
      </c>
      <c r="X186" s="10" t="s">
        <v>100</v>
      </c>
    </row>
    <row r="187" customFormat="false" ht="39.55" hidden="false" customHeight="false" outlineLevel="0" collapsed="false">
      <c r="A187" s="10" t="s">
        <v>696</v>
      </c>
      <c r="B187" s="10" t="s">
        <v>651</v>
      </c>
      <c r="C187" s="10" t="s">
        <v>693</v>
      </c>
      <c r="D187" s="11" t="s">
        <v>697</v>
      </c>
      <c r="E187" s="10" t="s">
        <v>698</v>
      </c>
      <c r="F187" s="10" t="s">
        <v>98</v>
      </c>
      <c r="G187" s="10" t="s">
        <v>99</v>
      </c>
      <c r="H187" s="12" t="str">
        <f aca="false">IF(OR($G187="all",AND(00_はじめに!$B$24="Y",ISNUMBER(SEARCH("traditional",$G187))),AND(00_はじめに!$B$25="Y",ISNUMBER(SEARCH("generative",$G187))),AND(00_はじめに!$B$26="Y",ISNUMBER(SEARCH("ai-agent",$G187))),AND(00_はじめに!$B$27="Y",ISNUMBER(SEARCH("multi-agent",$G187)))),"○","対象外")</f>
        <v>○</v>
      </c>
      <c r="I187" s="13"/>
      <c r="J187" s="14" t="n">
        <v>3</v>
      </c>
      <c r="K187" s="12" t="str">
        <f aca="false">IF(OR($H187="対象外",$I187="",$J187=""),"",$J187-$I187)</f>
        <v/>
      </c>
      <c r="L187" s="14" t="n">
        <v>4</v>
      </c>
      <c r="M187" s="14" t="n">
        <v>3</v>
      </c>
      <c r="N187" s="14" t="n">
        <v>5</v>
      </c>
      <c r="O187" s="14" t="n">
        <v>4</v>
      </c>
      <c r="P187" s="14" t="n">
        <v>3</v>
      </c>
      <c r="Q187" s="14" t="n">
        <v>2</v>
      </c>
      <c r="R187" s="15" t="str">
        <f aca="false">IF(OR($H187="対象外",$K187="",$L187="",$M187="",$N187="",$O187="",$P187="",$Q187=""),"",($K187*$L187*$M187*$N187*$O187*$P187)/$Q187)</f>
        <v/>
      </c>
      <c r="S187" s="12" t="str">
        <f aca="false">IF($H187="対象外","",IF(OR($I187="",$J187=""),"",IF(OR($J187-$I187&gt;0,AND($R187&lt;&gt;"",$R187&gt;=00_はじめに!$B$19)),"○","")))</f>
        <v/>
      </c>
      <c r="T187" s="10" t="str">
        <f aca="false">IFERROR(VLOOKUP($A187,03_質問施策マッピング!$A:$B,2,0),"")</f>
        <v>AIMF-RS-RPT-002</v>
      </c>
      <c r="U187" s="10" t="str">
        <f aca="false">IF($T187="","",IFERROR(VLOOKUP($T187,02_施策マスター!$A:$B,2,0),""))</f>
        <v>個人情報漏えい等の当局報告</v>
      </c>
      <c r="V187" s="10" t="str">
        <f aca="false">IF($R187="","",$R187+(1000-ROW())/1000000)</f>
        <v/>
      </c>
      <c r="W187" s="10" t="str">
        <f aca="false">IF($V187="","",COUNTIF($V$2:$V$208,"&gt;"&amp;$V187)+1)</f>
        <v/>
      </c>
      <c r="X187" s="10" t="s">
        <v>116</v>
      </c>
    </row>
    <row r="188" customFormat="false" ht="32.8" hidden="false" customHeight="false" outlineLevel="0" collapsed="false">
      <c r="A188" s="10" t="s">
        <v>699</v>
      </c>
      <c r="B188" s="10" t="s">
        <v>651</v>
      </c>
      <c r="C188" s="10" t="s">
        <v>693</v>
      </c>
      <c r="D188" s="11" t="s">
        <v>700</v>
      </c>
      <c r="E188" s="11" t="s">
        <v>701</v>
      </c>
      <c r="F188" s="10" t="s">
        <v>98</v>
      </c>
      <c r="G188" s="10" t="s">
        <v>99</v>
      </c>
      <c r="H188" s="12" t="str">
        <f aca="false">IF(OR($G188="all",AND(00_はじめに!$B$24="Y",ISNUMBER(SEARCH("traditional",$G188))),AND(00_はじめに!$B$25="Y",ISNUMBER(SEARCH("generative",$G188))),AND(00_はじめに!$B$26="Y",ISNUMBER(SEARCH("ai-agent",$G188))),AND(00_はじめに!$B$27="Y",ISNUMBER(SEARCH("multi-agent",$G188)))),"○","対象外")</f>
        <v>○</v>
      </c>
      <c r="I188" s="13"/>
      <c r="J188" s="14" t="n">
        <v>3</v>
      </c>
      <c r="K188" s="12" t="str">
        <f aca="false">IF(OR($H188="対象外",$I188="",$J188=""),"",$J188-$I188)</f>
        <v/>
      </c>
      <c r="L188" s="14" t="n">
        <v>4</v>
      </c>
      <c r="M188" s="14" t="n">
        <v>3</v>
      </c>
      <c r="N188" s="14" t="n">
        <v>5</v>
      </c>
      <c r="O188" s="14" t="n">
        <v>4</v>
      </c>
      <c r="P188" s="14" t="n">
        <v>3</v>
      </c>
      <c r="Q188" s="14" t="n">
        <v>2</v>
      </c>
      <c r="R188" s="15" t="str">
        <f aca="false">IF(OR($H188="対象外",$K188="",$L188="",$M188="",$N188="",$O188="",$P188="",$Q188=""),"",($K188*$L188*$M188*$N188*$O188*$P188)/$Q188)</f>
        <v/>
      </c>
      <c r="S188" s="12" t="str">
        <f aca="false">IF($H188="対象外","",IF(OR($I188="",$J188=""),"",IF(OR($J188-$I188&gt;0,AND($R188&lt;&gt;"",$R188&gt;=00_はじめに!$B$19)),"○","")))</f>
        <v/>
      </c>
      <c r="T188" s="10" t="str">
        <f aca="false">IFERROR(VLOOKUP($A188,03_質問施策マッピング!$A:$B,2,0),"")</f>
        <v>AIMF-RS-RPT-003</v>
      </c>
      <c r="U188" s="10" t="str">
        <f aca="false">IF($T188="","",IFERROR(VLOOKUP($T188,02_施策マスター!$A:$B,2,0),""))</f>
        <v>顧客・利用者への通知計画</v>
      </c>
      <c r="V188" s="10" t="str">
        <f aca="false">IF($R188="","",$R188+(1000-ROW())/1000000)</f>
        <v/>
      </c>
      <c r="W188" s="10" t="str">
        <f aca="false">IF($V188="","",COUNTIF($V$2:$V$208,"&gt;"&amp;$V188)+1)</f>
        <v/>
      </c>
      <c r="X188" s="10" t="s">
        <v>116</v>
      </c>
    </row>
    <row r="189" customFormat="false" ht="32.8" hidden="false" customHeight="false" outlineLevel="0" collapsed="false">
      <c r="A189" s="10" t="s">
        <v>702</v>
      </c>
      <c r="B189" s="10" t="s">
        <v>651</v>
      </c>
      <c r="C189" s="10" t="s">
        <v>693</v>
      </c>
      <c r="D189" s="11" t="s">
        <v>703</v>
      </c>
      <c r="E189" s="11" t="s">
        <v>704</v>
      </c>
      <c r="F189" s="10" t="s">
        <v>98</v>
      </c>
      <c r="G189" s="10" t="s">
        <v>99</v>
      </c>
      <c r="H189" s="12" t="str">
        <f aca="false">IF(OR($G189="all",AND(00_はじめに!$B$24="Y",ISNUMBER(SEARCH("traditional",$G189))),AND(00_はじめに!$B$25="Y",ISNUMBER(SEARCH("generative",$G189))),AND(00_はじめに!$B$26="Y",ISNUMBER(SEARCH("ai-agent",$G189))),AND(00_はじめに!$B$27="Y",ISNUMBER(SEARCH("multi-agent",$G189)))),"○","対象外")</f>
        <v>○</v>
      </c>
      <c r="I189" s="13"/>
      <c r="J189" s="14" t="n">
        <v>3</v>
      </c>
      <c r="K189" s="12" t="str">
        <f aca="false">IF(OR($H189="対象外",$I189="",$J189=""),"",$J189-$I189)</f>
        <v/>
      </c>
      <c r="L189" s="14" t="n">
        <v>4</v>
      </c>
      <c r="M189" s="14" t="n">
        <v>3</v>
      </c>
      <c r="N189" s="14" t="n">
        <v>4</v>
      </c>
      <c r="O189" s="14" t="n">
        <v>4</v>
      </c>
      <c r="P189" s="14" t="n">
        <v>3</v>
      </c>
      <c r="Q189" s="14" t="n">
        <v>2</v>
      </c>
      <c r="R189" s="15" t="str">
        <f aca="false">IF(OR($H189="対象外",$K189="",$L189="",$M189="",$N189="",$O189="",$P189="",$Q189=""),"",($K189*$L189*$M189*$N189*$O189*$P189)/$Q189)</f>
        <v/>
      </c>
      <c r="S189" s="12" t="str">
        <f aca="false">IF($H189="対象外","",IF(OR($I189="",$J189=""),"",IF(OR($J189-$I189&gt;0,AND($R189&lt;&gt;"",$R189&gt;=00_はじめに!$B$19)),"○","")))</f>
        <v/>
      </c>
      <c r="T189" s="10" t="str">
        <f aca="false">IFERROR(VLOOKUP($A189,03_質問施策マッピング!$A:$B,2,0),"")</f>
        <v>AIMF-RS-RPT-004</v>
      </c>
      <c r="U189" s="10" t="str">
        <f aca="false">IF($T189="","",IFERROR(VLOOKUP($T189,02_施策マスター!$A:$B,2,0),""))</f>
        <v>開示・広報対応の判断基準</v>
      </c>
      <c r="V189" s="10" t="str">
        <f aca="false">IF($R189="","",$R189+(1000-ROW())/1000000)</f>
        <v/>
      </c>
      <c r="W189" s="10" t="str">
        <f aca="false">IF($V189="","",COUNTIF($V$2:$V$208,"&gt;"&amp;$V189)+1)</f>
        <v/>
      </c>
      <c r="X189" s="10" t="s">
        <v>116</v>
      </c>
    </row>
    <row r="190" customFormat="false" ht="26.85" hidden="false" customHeight="false" outlineLevel="0" collapsed="false">
      <c r="A190" s="10" t="s">
        <v>705</v>
      </c>
      <c r="B190" s="10" t="s">
        <v>651</v>
      </c>
      <c r="C190" s="10" t="s">
        <v>706</v>
      </c>
      <c r="D190" s="10" t="s">
        <v>707</v>
      </c>
      <c r="E190" s="11" t="s">
        <v>708</v>
      </c>
      <c r="F190" s="10" t="s">
        <v>133</v>
      </c>
      <c r="G190" s="10" t="s">
        <v>99</v>
      </c>
      <c r="H190" s="12" t="str">
        <f aca="false">IF(OR($G190="all",AND(00_はじめに!$B$24="Y",ISNUMBER(SEARCH("traditional",$G190))),AND(00_はじめに!$B$25="Y",ISNUMBER(SEARCH("generative",$G190))),AND(00_はじめに!$B$26="Y",ISNUMBER(SEARCH("ai-agent",$G190))),AND(00_はじめに!$B$27="Y",ISNUMBER(SEARCH("multi-agent",$G190)))),"○","対象外")</f>
        <v>○</v>
      </c>
      <c r="I190" s="13"/>
      <c r="J190" s="14" t="n">
        <v>3</v>
      </c>
      <c r="K190" s="12" t="str">
        <f aca="false">IF(OR($H190="対象外",$I190="",$J190=""),"",$J190-$I190)</f>
        <v/>
      </c>
      <c r="L190" s="14" t="n">
        <v>4</v>
      </c>
      <c r="M190" s="14" t="n">
        <v>3</v>
      </c>
      <c r="N190" s="14" t="n">
        <v>4</v>
      </c>
      <c r="O190" s="14" t="n">
        <v>2</v>
      </c>
      <c r="P190" s="14" t="n">
        <v>3</v>
      </c>
      <c r="Q190" s="14" t="n">
        <v>3</v>
      </c>
      <c r="R190" s="15" t="str">
        <f aca="false">IF(OR($H190="対象外",$K190="",$L190="",$M190="",$N190="",$O190="",$P190="",$Q190=""),"",($K190*$L190*$M190*$N190*$O190*$P190)/$Q190)</f>
        <v/>
      </c>
      <c r="S190" s="12" t="str">
        <f aca="false">IF($H190="対象外","",IF(OR($I190="",$J190=""),"",IF(OR($J190-$I190&gt;0,AND($R190&lt;&gt;"",$R190&gt;=00_はじめに!$B$19)),"○","")))</f>
        <v/>
      </c>
      <c r="T190" s="10" t="str">
        <f aca="false">IFERROR(VLOOKUP($A190,03_質問施策マッピング!$A:$B,2,0),"")</f>
        <v>AIMF-RS-ANL-001</v>
      </c>
      <c r="U190" s="10" t="str">
        <f aca="false">IF($T190="","",IFERROR(VLOOKUP($T190,02_施策マスター!$A:$B,2,0),""))</f>
        <v>AI固有の根本原因分析</v>
      </c>
      <c r="V190" s="10" t="str">
        <f aca="false">IF($R190="","",$R190+(1000-ROW())/1000000)</f>
        <v/>
      </c>
      <c r="W190" s="10" t="str">
        <f aca="false">IF($V190="","",COUNTIF($V$2:$V$208,"&gt;"&amp;$V190)+1)</f>
        <v/>
      </c>
      <c r="X190" s="10" t="s">
        <v>116</v>
      </c>
    </row>
    <row r="191" customFormat="false" ht="26.85" hidden="false" customHeight="false" outlineLevel="0" collapsed="false">
      <c r="A191" s="10" t="s">
        <v>709</v>
      </c>
      <c r="B191" s="10" t="s">
        <v>651</v>
      </c>
      <c r="C191" s="10" t="s">
        <v>706</v>
      </c>
      <c r="D191" s="11" t="s">
        <v>710</v>
      </c>
      <c r="E191" s="11" t="s">
        <v>711</v>
      </c>
      <c r="F191" s="10" t="s">
        <v>133</v>
      </c>
      <c r="G191" s="10" t="s">
        <v>99</v>
      </c>
      <c r="H191" s="12" t="str">
        <f aca="false">IF(OR($G191="all",AND(00_はじめに!$B$24="Y",ISNUMBER(SEARCH("traditional",$G191))),AND(00_はじめに!$B$25="Y",ISNUMBER(SEARCH("generative",$G191))),AND(00_はじめに!$B$26="Y",ISNUMBER(SEARCH("ai-agent",$G191))),AND(00_はじめに!$B$27="Y",ISNUMBER(SEARCH("multi-agent",$G191)))),"○","対象外")</f>
        <v>○</v>
      </c>
      <c r="I191" s="13"/>
      <c r="J191" s="14" t="n">
        <v>3</v>
      </c>
      <c r="K191" s="12" t="str">
        <f aca="false">IF(OR($H191="対象外",$I191="",$J191=""),"",$J191-$I191)</f>
        <v/>
      </c>
      <c r="L191" s="14" t="n">
        <v>4</v>
      </c>
      <c r="M191" s="14" t="n">
        <v>3</v>
      </c>
      <c r="N191" s="14" t="n">
        <v>4</v>
      </c>
      <c r="O191" s="14" t="n">
        <v>2</v>
      </c>
      <c r="P191" s="14" t="n">
        <v>3</v>
      </c>
      <c r="Q191" s="14" t="n">
        <v>3</v>
      </c>
      <c r="R191" s="15" t="str">
        <f aca="false">IF(OR($H191="対象外",$K191="",$L191="",$M191="",$N191="",$O191="",$P191="",$Q191=""),"",($K191*$L191*$M191*$N191*$O191*$P191)/$Q191)</f>
        <v/>
      </c>
      <c r="S191" s="12" t="str">
        <f aca="false">IF($H191="対象外","",IF(OR($I191="",$J191=""),"",IF(OR($J191-$I191&gt;0,AND($R191&lt;&gt;"",$R191&gt;=00_はじめに!$B$19)),"○","")))</f>
        <v/>
      </c>
      <c r="T191" s="10" t="str">
        <f aca="false">IFERROR(VLOOKUP($A191,03_質問施策マッピング!$A:$B,2,0),"")</f>
        <v>AIMF-RS-ANL-002</v>
      </c>
      <c r="U191" s="10" t="str">
        <f aca="false">IF($T191="","",IFERROR(VLOOKUP($T191,02_施策マスター!$A:$B,2,0),""))</f>
        <v>インシデントのATLASマッピング</v>
      </c>
      <c r="V191" s="10" t="str">
        <f aca="false">IF($R191="","",$R191+(1000-ROW())/1000000)</f>
        <v/>
      </c>
      <c r="W191" s="10" t="str">
        <f aca="false">IF($V191="","",COUNTIF($V$2:$V$208,"&gt;"&amp;$V191)+1)</f>
        <v/>
      </c>
      <c r="X191" s="10" t="s">
        <v>116</v>
      </c>
    </row>
    <row r="192" customFormat="false" ht="32.8" hidden="false" customHeight="false" outlineLevel="0" collapsed="false">
      <c r="A192" s="10" t="s">
        <v>712</v>
      </c>
      <c r="B192" s="10" t="s">
        <v>651</v>
      </c>
      <c r="C192" s="10" t="s">
        <v>706</v>
      </c>
      <c r="D192" s="11" t="s">
        <v>713</v>
      </c>
      <c r="E192" s="11" t="s">
        <v>714</v>
      </c>
      <c r="F192" s="10" t="s">
        <v>98</v>
      </c>
      <c r="G192" s="10" t="s">
        <v>99</v>
      </c>
      <c r="H192" s="12" t="str">
        <f aca="false">IF(OR($G192="all",AND(00_はじめに!$B$24="Y",ISNUMBER(SEARCH("traditional",$G192))),AND(00_はじめに!$B$25="Y",ISNUMBER(SEARCH("generative",$G192))),AND(00_はじめに!$B$26="Y",ISNUMBER(SEARCH("ai-agent",$G192))),AND(00_はじめに!$B$27="Y",ISNUMBER(SEARCH("multi-agent",$G192)))),"○","対象外")</f>
        <v>○</v>
      </c>
      <c r="I192" s="13"/>
      <c r="J192" s="14" t="n">
        <v>3</v>
      </c>
      <c r="K192" s="12" t="str">
        <f aca="false">IF(OR($H192="対象外",$I192="",$J192=""),"",$J192-$I192)</f>
        <v/>
      </c>
      <c r="L192" s="14" t="n">
        <v>4</v>
      </c>
      <c r="M192" s="14" t="n">
        <v>3</v>
      </c>
      <c r="N192" s="14" t="n">
        <v>4</v>
      </c>
      <c r="O192" s="14" t="n">
        <v>4</v>
      </c>
      <c r="P192" s="14" t="n">
        <v>3</v>
      </c>
      <c r="Q192" s="14" t="n">
        <v>2</v>
      </c>
      <c r="R192" s="15" t="str">
        <f aca="false">IF(OR($H192="対象外",$K192="",$L192="",$M192="",$N192="",$O192="",$P192="",$Q192=""),"",($K192*$L192*$M192*$N192*$O192*$P192)/$Q192)</f>
        <v/>
      </c>
      <c r="S192" s="12" t="str">
        <f aca="false">IF($H192="対象外","",IF(OR($I192="",$J192=""),"",IF(OR($J192-$I192&gt;0,AND($R192&lt;&gt;"",$R192&gt;=00_はじめに!$B$19)),"○","")))</f>
        <v/>
      </c>
      <c r="T192" s="10" t="str">
        <f aca="false">IFERROR(VLOOKUP($A192,03_質問施策マッピング!$A:$B,2,0),"")</f>
        <v>AIMF-RS-ANL-003</v>
      </c>
      <c r="U192" s="10" t="str">
        <f aca="false">IF($T192="","",IFERROR(VLOOKUP($T192,02_施策マスター!$A:$B,2,0),""))</f>
        <v>分析結果の防御・検知への反映</v>
      </c>
      <c r="V192" s="10" t="str">
        <f aca="false">IF($R192="","",$R192+(1000-ROW())/1000000)</f>
        <v/>
      </c>
      <c r="W192" s="10" t="str">
        <f aca="false">IF($V192="","",COUNTIF($V$2:$V$208,"&gt;"&amp;$V192)+1)</f>
        <v/>
      </c>
      <c r="X192" s="10" t="s">
        <v>116</v>
      </c>
    </row>
    <row r="193" customFormat="false" ht="39.55" hidden="false" customHeight="false" outlineLevel="0" collapsed="false">
      <c r="A193" s="10" t="s">
        <v>715</v>
      </c>
      <c r="B193" s="10" t="s">
        <v>716</v>
      </c>
      <c r="C193" s="10" t="s">
        <v>717</v>
      </c>
      <c r="D193" s="10" t="s">
        <v>718</v>
      </c>
      <c r="E193" s="11" t="s">
        <v>719</v>
      </c>
      <c r="F193" s="10" t="s">
        <v>98</v>
      </c>
      <c r="G193" s="10" t="s">
        <v>99</v>
      </c>
      <c r="H193" s="12" t="str">
        <f aca="false">IF(OR($G193="all",AND(00_はじめに!$B$24="Y",ISNUMBER(SEARCH("traditional",$G193))),AND(00_はじめに!$B$25="Y",ISNUMBER(SEARCH("generative",$G193))),AND(00_はじめに!$B$26="Y",ISNUMBER(SEARCH("ai-agent",$G193))),AND(00_はじめに!$B$27="Y",ISNUMBER(SEARCH("multi-agent",$G193)))),"○","対象外")</f>
        <v>○</v>
      </c>
      <c r="I193" s="13"/>
      <c r="J193" s="14" t="n">
        <v>4</v>
      </c>
      <c r="K193" s="12" t="str">
        <f aca="false">IF(OR($H193="対象外",$I193="",$J193=""),"",$J193-$I193)</f>
        <v/>
      </c>
      <c r="L193" s="14" t="n">
        <v>4</v>
      </c>
      <c r="M193" s="14" t="n">
        <v>3</v>
      </c>
      <c r="N193" s="14" t="n">
        <v>4</v>
      </c>
      <c r="O193" s="14" t="n">
        <v>4</v>
      </c>
      <c r="P193" s="14" t="n">
        <v>3</v>
      </c>
      <c r="Q193" s="14" t="n">
        <v>3</v>
      </c>
      <c r="R193" s="15" t="str">
        <f aca="false">IF(OR($H193="対象外",$K193="",$L193="",$M193="",$N193="",$O193="",$P193="",$Q193=""),"",($K193*$L193*$M193*$N193*$O193*$P193)/$Q193)</f>
        <v/>
      </c>
      <c r="S193" s="12" t="str">
        <f aca="false">IF($H193="対象外","",IF(OR($I193="",$J193=""),"",IF(OR($J193-$I193&gt;0,AND($R193&lt;&gt;"",$R193&gt;=00_はじめに!$B$19)),"○","")))</f>
        <v/>
      </c>
      <c r="T193" s="10" t="str">
        <f aca="false">IFERROR(VLOOKUP($A193,03_質問施策マッピング!$A:$B,2,0),"")</f>
        <v>AIMF-RC-RES-001</v>
      </c>
      <c r="U193" s="10" t="str">
        <f aca="false">IF($T193="","",IFERROR(VLOOKUP($T193,02_施策マスター!$A:$B,2,0),""))</f>
        <v>CI/CD連動のゼロタッチ・パッチ適用</v>
      </c>
      <c r="V193" s="10" t="str">
        <f aca="false">IF($R193="","",$R193+(1000-ROW())/1000000)</f>
        <v/>
      </c>
      <c r="W193" s="10" t="str">
        <f aca="false">IF($V193="","",COUNTIF($V$2:$V$208,"&gt;"&amp;$V193)+1)</f>
        <v/>
      </c>
      <c r="X193" s="10" t="s">
        <v>100</v>
      </c>
    </row>
    <row r="194" customFormat="false" ht="39.55" hidden="false" customHeight="false" outlineLevel="0" collapsed="false">
      <c r="A194" s="10" t="s">
        <v>720</v>
      </c>
      <c r="B194" s="10" t="s">
        <v>716</v>
      </c>
      <c r="C194" s="10" t="s">
        <v>717</v>
      </c>
      <c r="D194" s="10" t="s">
        <v>721</v>
      </c>
      <c r="E194" s="11" t="s">
        <v>722</v>
      </c>
      <c r="F194" s="10" t="s">
        <v>98</v>
      </c>
      <c r="G194" s="10" t="s">
        <v>134</v>
      </c>
      <c r="H194" s="12" t="str">
        <f aca="false">IF(OR($G194="all",AND(00_はじめに!$B$24="Y",ISNUMBER(SEARCH("traditional",$G194))),AND(00_はじめに!$B$25="Y",ISNUMBER(SEARCH("generative",$G194))),AND(00_はじめに!$B$26="Y",ISNUMBER(SEARCH("ai-agent",$G194))),AND(00_はじめに!$B$27="Y",ISNUMBER(SEARCH("multi-agent",$G194)))),"○","対象外")</f>
        <v>○</v>
      </c>
      <c r="I194" s="13"/>
      <c r="J194" s="14" t="n">
        <v>4</v>
      </c>
      <c r="K194" s="12" t="str">
        <f aca="false">IF(OR($H194="対象外",$I194="",$J194=""),"",$J194-$I194)</f>
        <v/>
      </c>
      <c r="L194" s="14" t="n">
        <v>4</v>
      </c>
      <c r="M194" s="14" t="n">
        <v>3</v>
      </c>
      <c r="N194" s="14" t="n">
        <v>4</v>
      </c>
      <c r="O194" s="14" t="n">
        <v>4</v>
      </c>
      <c r="P194" s="14" t="n">
        <v>3</v>
      </c>
      <c r="Q194" s="14" t="n">
        <v>3</v>
      </c>
      <c r="R194" s="15" t="str">
        <f aca="false">IF(OR($H194="対象外",$K194="",$L194="",$M194="",$N194="",$O194="",$P194="",$Q194=""),"",($K194*$L194*$M194*$N194*$O194*$P194)/$Q194)</f>
        <v/>
      </c>
      <c r="S194" s="12" t="str">
        <f aca="false">IF($H194="対象外","",IF(OR($I194="",$J194=""),"",IF(OR($J194-$I194&gt;0,AND($R194&lt;&gt;"",$R194&gt;=00_はじめに!$B$19)),"○","")))</f>
        <v/>
      </c>
      <c r="T194" s="10" t="str">
        <f aca="false">IFERROR(VLOOKUP($A194,03_質問施策マッピング!$A:$B,2,0),"")</f>
        <v>AIMF-RC-RES-002</v>
      </c>
      <c r="U194" s="10" t="str">
        <f aca="false">IF($T194="","",IFERROR(VLOOKUP($T194,02_施策マスター!$A:$B,2,0),""))</f>
        <v>RAG知識ベース・インフラ構成の高速復元</v>
      </c>
      <c r="V194" s="10" t="str">
        <f aca="false">IF($R194="","",$R194+(1000-ROW())/1000000)</f>
        <v/>
      </c>
      <c r="W194" s="10" t="str">
        <f aca="false">IF($V194="","",COUNTIF($V$2:$V$208,"&gt;"&amp;$V194)+1)</f>
        <v/>
      </c>
      <c r="X194" s="10" t="s">
        <v>100</v>
      </c>
    </row>
    <row r="195" customFormat="false" ht="39.55" hidden="false" customHeight="false" outlineLevel="0" collapsed="false">
      <c r="A195" s="10" t="s">
        <v>723</v>
      </c>
      <c r="B195" s="10" t="s">
        <v>716</v>
      </c>
      <c r="C195" s="10" t="s">
        <v>717</v>
      </c>
      <c r="D195" s="10" t="s">
        <v>724</v>
      </c>
      <c r="E195" s="11" t="s">
        <v>725</v>
      </c>
      <c r="F195" s="10" t="s">
        <v>133</v>
      </c>
      <c r="G195" s="10" t="s">
        <v>99</v>
      </c>
      <c r="H195" s="12" t="str">
        <f aca="false">IF(OR($G195="all",AND(00_はじめに!$B$24="Y",ISNUMBER(SEARCH("traditional",$G195))),AND(00_はじめに!$B$25="Y",ISNUMBER(SEARCH("generative",$G195))),AND(00_はじめに!$B$26="Y",ISNUMBER(SEARCH("ai-agent",$G195))),AND(00_はじめに!$B$27="Y",ISNUMBER(SEARCH("multi-agent",$G195)))),"○","対象外")</f>
        <v>○</v>
      </c>
      <c r="I195" s="13"/>
      <c r="J195" s="14" t="n">
        <v>4</v>
      </c>
      <c r="K195" s="12" t="str">
        <f aca="false">IF(OR($H195="対象外",$I195="",$J195=""),"",$J195-$I195)</f>
        <v/>
      </c>
      <c r="L195" s="14" t="n">
        <v>4</v>
      </c>
      <c r="M195" s="14" t="n">
        <v>3</v>
      </c>
      <c r="N195" s="14" t="n">
        <v>5</v>
      </c>
      <c r="O195" s="14" t="n">
        <v>2</v>
      </c>
      <c r="P195" s="14" t="n">
        <v>3</v>
      </c>
      <c r="Q195" s="14" t="n">
        <v>4</v>
      </c>
      <c r="R195" s="15" t="str">
        <f aca="false">IF(OR($H195="対象外",$K195="",$L195="",$M195="",$N195="",$O195="",$P195="",$Q195=""),"",($K195*$L195*$M195*$N195*$O195*$P195)/$Q195)</f>
        <v/>
      </c>
      <c r="S195" s="12" t="str">
        <f aca="false">IF($H195="対象外","",IF(OR($I195="",$J195=""),"",IF(OR($J195-$I195&gt;0,AND($R195&lt;&gt;"",$R195&gt;=00_はじめに!$B$19)),"○","")))</f>
        <v/>
      </c>
      <c r="T195" s="10" t="str">
        <f aca="false">IFERROR(VLOOKUP($A195,03_質問施策マッピング!$A:$B,2,0),"")</f>
        <v>AIMF-RC-RES-003</v>
      </c>
      <c r="U195" s="10" t="str">
        <f aca="false">IF($T195="","",IFERROR(VLOOKUP($T195,02_施策マスター!$A:$B,2,0),""))</f>
        <v>AI説明責任のためのフォレンジック体制</v>
      </c>
      <c r="V195" s="10" t="str">
        <f aca="false">IF($R195="","",$R195+(1000-ROW())/1000000)</f>
        <v/>
      </c>
      <c r="W195" s="10" t="str">
        <f aca="false">IF($V195="","",COUNTIF($V$2:$V$208,"&gt;"&amp;$V195)+1)</f>
        <v/>
      </c>
      <c r="X195" s="10" t="s">
        <v>100</v>
      </c>
    </row>
    <row r="196" customFormat="false" ht="39.55" hidden="false" customHeight="false" outlineLevel="0" collapsed="false">
      <c r="A196" s="10" t="s">
        <v>726</v>
      </c>
      <c r="B196" s="10" t="s">
        <v>716</v>
      </c>
      <c r="C196" s="10" t="s">
        <v>717</v>
      </c>
      <c r="D196" s="11" t="s">
        <v>727</v>
      </c>
      <c r="E196" s="11" t="s">
        <v>728</v>
      </c>
      <c r="F196" s="10" t="s">
        <v>133</v>
      </c>
      <c r="G196" s="10" t="s">
        <v>285</v>
      </c>
      <c r="H196" s="12" t="str">
        <f aca="false">IF(OR($G196="all",AND(00_はじめに!$B$24="Y",ISNUMBER(SEARCH("traditional",$G196))),AND(00_はじめに!$B$25="Y",ISNUMBER(SEARCH("generative",$G196))),AND(00_はじめに!$B$26="Y",ISNUMBER(SEARCH("ai-agent",$G196))),AND(00_はじめに!$B$27="Y",ISNUMBER(SEARCH("multi-agent",$G196)))),"○","対象外")</f>
        <v>○</v>
      </c>
      <c r="I196" s="13"/>
      <c r="J196" s="14" t="n">
        <v>3</v>
      </c>
      <c r="K196" s="12" t="str">
        <f aca="false">IF(OR($H196="対象外",$I196="",$J196=""),"",$J196-$I196)</f>
        <v/>
      </c>
      <c r="L196" s="14" t="n">
        <v>4</v>
      </c>
      <c r="M196" s="14" t="n">
        <v>3</v>
      </c>
      <c r="N196" s="14" t="n">
        <v>4</v>
      </c>
      <c r="O196" s="14" t="n">
        <v>2</v>
      </c>
      <c r="P196" s="14" t="n">
        <v>3</v>
      </c>
      <c r="Q196" s="14" t="n">
        <v>4</v>
      </c>
      <c r="R196" s="15" t="str">
        <f aca="false">IF(OR($H196="対象外",$K196="",$L196="",$M196="",$N196="",$O196="",$P196="",$Q196=""),"",($K196*$L196*$M196*$N196*$O196*$P196)/$Q196)</f>
        <v/>
      </c>
      <c r="S196" s="12" t="str">
        <f aca="false">IF($H196="対象外","",IF(OR($I196="",$J196=""),"",IF(OR($J196-$I196&gt;0,AND($R196&lt;&gt;"",$R196&gt;=00_はじめに!$B$19)),"○","")))</f>
        <v/>
      </c>
      <c r="T196" s="10" t="str">
        <f aca="false">IFERROR(VLOOKUP($A196,03_質問施策マッピング!$A:$B,2,0),"")</f>
        <v>AIMF-RC-RES-004</v>
      </c>
      <c r="U196" s="10" t="str">
        <f aca="false">IF($T196="","",IFERROR(VLOOKUP($T196,02_施策マスター!$A:$B,2,0),""))</f>
        <v>クリーンデータからのモデル再構築手順</v>
      </c>
      <c r="V196" s="10" t="str">
        <f aca="false">IF($R196="","",$R196+(1000-ROW())/1000000)</f>
        <v/>
      </c>
      <c r="W196" s="10" t="str">
        <f aca="false">IF($V196="","",COUNTIF($V$2:$V$208,"&gt;"&amp;$V196)+1)</f>
        <v/>
      </c>
      <c r="X196" s="10" t="s">
        <v>116</v>
      </c>
    </row>
    <row r="197" customFormat="false" ht="26.85" hidden="false" customHeight="false" outlineLevel="0" collapsed="false">
      <c r="A197" s="10" t="s">
        <v>729</v>
      </c>
      <c r="B197" s="10" t="s">
        <v>716</v>
      </c>
      <c r="C197" s="10" t="s">
        <v>717</v>
      </c>
      <c r="D197" s="11" t="s">
        <v>730</v>
      </c>
      <c r="E197" s="11" t="s">
        <v>731</v>
      </c>
      <c r="F197" s="10" t="s">
        <v>133</v>
      </c>
      <c r="G197" s="10" t="s">
        <v>99</v>
      </c>
      <c r="H197" s="12" t="str">
        <f aca="false">IF(OR($G197="all",AND(00_はじめに!$B$24="Y",ISNUMBER(SEARCH("traditional",$G197))),AND(00_はじめに!$B$25="Y",ISNUMBER(SEARCH("generative",$G197))),AND(00_はじめに!$B$26="Y",ISNUMBER(SEARCH("ai-agent",$G197))),AND(00_はじめに!$B$27="Y",ISNUMBER(SEARCH("multi-agent",$G197)))),"○","対象外")</f>
        <v>○</v>
      </c>
      <c r="I197" s="13"/>
      <c r="J197" s="14" t="n">
        <v>3</v>
      </c>
      <c r="K197" s="12" t="str">
        <f aca="false">IF(OR($H197="対象外",$I197="",$J197=""),"",$J197-$I197)</f>
        <v/>
      </c>
      <c r="L197" s="14" t="n">
        <v>4</v>
      </c>
      <c r="M197" s="14" t="n">
        <v>3</v>
      </c>
      <c r="N197" s="14" t="n">
        <v>4</v>
      </c>
      <c r="O197" s="14" t="n">
        <v>2</v>
      </c>
      <c r="P197" s="14" t="n">
        <v>3</v>
      </c>
      <c r="Q197" s="14" t="n">
        <v>4</v>
      </c>
      <c r="R197" s="15" t="str">
        <f aca="false">IF(OR($H197="対象外",$K197="",$L197="",$M197="",$N197="",$O197="",$P197="",$Q197=""),"",($K197*$L197*$M197*$N197*$O197*$P197)/$Q197)</f>
        <v/>
      </c>
      <c r="S197" s="12" t="str">
        <f aca="false">IF($H197="対象外","",IF(OR($I197="",$J197=""),"",IF(OR($J197-$I197&gt;0,AND($R197&lt;&gt;"",$R197&gt;=00_はじめに!$B$19)),"○","")))</f>
        <v/>
      </c>
      <c r="T197" s="10" t="str">
        <f aca="false">IFERROR(VLOOKUP($A197,03_質問施策マッピング!$A:$B,2,0),"")</f>
        <v>AIMF-RC-RES-005</v>
      </c>
      <c r="U197" s="10" t="str">
        <f aca="false">IF($T197="","",IFERROR(VLOOKUP($T197,02_施策マスター!$A:$B,2,0),""))</f>
        <v>代替モデル・プロバイダーへのフェイルオーバー</v>
      </c>
      <c r="V197" s="10" t="str">
        <f aca="false">IF($R197="","",$R197+(1000-ROW())/1000000)</f>
        <v/>
      </c>
      <c r="W197" s="10" t="str">
        <f aca="false">IF($V197="","",COUNTIF($V$2:$V$208,"&gt;"&amp;$V197)+1)</f>
        <v/>
      </c>
      <c r="X197" s="10" t="s">
        <v>116</v>
      </c>
    </row>
    <row r="198" customFormat="false" ht="26.85" hidden="false" customHeight="false" outlineLevel="0" collapsed="false">
      <c r="A198" s="10" t="s">
        <v>732</v>
      </c>
      <c r="B198" s="10" t="s">
        <v>716</v>
      </c>
      <c r="C198" s="10" t="s">
        <v>717</v>
      </c>
      <c r="D198" s="10" t="s">
        <v>733</v>
      </c>
      <c r="E198" s="10" t="s">
        <v>734</v>
      </c>
      <c r="F198" s="10" t="s">
        <v>133</v>
      </c>
      <c r="G198" s="10" t="s">
        <v>99</v>
      </c>
      <c r="H198" s="12" t="str">
        <f aca="false">IF(OR($G198="all",AND(00_はじめに!$B$24="Y",ISNUMBER(SEARCH("traditional",$G198))),AND(00_はじめに!$B$25="Y",ISNUMBER(SEARCH("generative",$G198))),AND(00_はじめに!$B$26="Y",ISNUMBER(SEARCH("ai-agent",$G198))),AND(00_はじめに!$B$27="Y",ISNUMBER(SEARCH("multi-agent",$G198)))),"○","対象外")</f>
        <v>○</v>
      </c>
      <c r="I198" s="13"/>
      <c r="J198" s="14" t="n">
        <v>3</v>
      </c>
      <c r="K198" s="12" t="str">
        <f aca="false">IF(OR($H198="対象外",$I198="",$J198=""),"",$J198-$I198)</f>
        <v/>
      </c>
      <c r="L198" s="14" t="n">
        <v>4</v>
      </c>
      <c r="M198" s="14" t="n">
        <v>3</v>
      </c>
      <c r="N198" s="14" t="n">
        <v>4</v>
      </c>
      <c r="O198" s="14" t="n">
        <v>2</v>
      </c>
      <c r="P198" s="14" t="n">
        <v>3</v>
      </c>
      <c r="Q198" s="14" t="n">
        <v>4</v>
      </c>
      <c r="R198" s="15" t="str">
        <f aca="false">IF(OR($H198="対象外",$K198="",$L198="",$M198="",$N198="",$O198="",$P198="",$Q198=""),"",($K198*$L198*$M198*$N198*$O198*$P198)/$Q198)</f>
        <v/>
      </c>
      <c r="S198" s="12" t="str">
        <f aca="false">IF($H198="対象外","",IF(OR($I198="",$J198=""),"",IF(OR($J198-$I198&gt;0,AND($R198&lt;&gt;"",$R198&gt;=00_はじめに!$B$19)),"○","")))</f>
        <v/>
      </c>
      <c r="T198" s="10" t="str">
        <f aca="false">IFERROR(VLOOKUP($A198,03_質問施策マッピング!$A:$B,2,0),"")</f>
        <v>AIMF-RC-RES-006</v>
      </c>
      <c r="U198" s="10" t="str">
        <f aca="false">IF($T198="","",IFERROR(VLOOKUP($T198,02_施策マスター!$A:$B,2,0),""))</f>
        <v>AI停止時の縮退運転手順</v>
      </c>
      <c r="V198" s="10" t="str">
        <f aca="false">IF($R198="","",$R198+(1000-ROW())/1000000)</f>
        <v/>
      </c>
      <c r="W198" s="10" t="str">
        <f aca="false">IF($V198="","",COUNTIF($V$2:$V$208,"&gt;"&amp;$V198)+1)</f>
        <v/>
      </c>
      <c r="X198" s="10" t="s">
        <v>116</v>
      </c>
    </row>
    <row r="199" customFormat="false" ht="39.55" hidden="false" customHeight="false" outlineLevel="0" collapsed="false">
      <c r="A199" s="10" t="s">
        <v>735</v>
      </c>
      <c r="B199" s="10" t="s">
        <v>716</v>
      </c>
      <c r="C199" s="10" t="s">
        <v>717</v>
      </c>
      <c r="D199" s="10" t="s">
        <v>736</v>
      </c>
      <c r="E199" s="10" t="s">
        <v>737</v>
      </c>
      <c r="F199" s="10" t="s">
        <v>98</v>
      </c>
      <c r="G199" s="10" t="s">
        <v>99</v>
      </c>
      <c r="H199" s="12" t="str">
        <f aca="false">IF(OR($G199="all",AND(00_はじめに!$B$24="Y",ISNUMBER(SEARCH("traditional",$G199))),AND(00_はじめに!$B$25="Y",ISNUMBER(SEARCH("generative",$G199))),AND(00_はじめに!$B$26="Y",ISNUMBER(SEARCH("ai-agent",$G199))),AND(00_はじめに!$B$27="Y",ISNUMBER(SEARCH("multi-agent",$G199)))),"○","対象外")</f>
        <v>○</v>
      </c>
      <c r="I199" s="13"/>
      <c r="J199" s="14" t="n">
        <v>3</v>
      </c>
      <c r="K199" s="12" t="str">
        <f aca="false">IF(OR($H199="対象外",$I199="",$J199=""),"",$J199-$I199)</f>
        <v/>
      </c>
      <c r="L199" s="14" t="n">
        <v>4</v>
      </c>
      <c r="M199" s="14" t="n">
        <v>3</v>
      </c>
      <c r="N199" s="14" t="n">
        <v>4</v>
      </c>
      <c r="O199" s="14" t="n">
        <v>4</v>
      </c>
      <c r="P199" s="14" t="n">
        <v>3</v>
      </c>
      <c r="Q199" s="14" t="n">
        <v>3</v>
      </c>
      <c r="R199" s="15" t="str">
        <f aca="false">IF(OR($H199="対象外",$K199="",$L199="",$M199="",$N199="",$O199="",$P199="",$Q199=""),"",($K199*$L199*$M199*$N199*$O199*$P199)/$Q199)</f>
        <v/>
      </c>
      <c r="S199" s="12" t="str">
        <f aca="false">IF($H199="対象外","",IF(OR($I199="",$J199=""),"",IF(OR($J199-$I199&gt;0,AND($R199&lt;&gt;"",$R199&gt;=00_はじめに!$B$19)),"○","")))</f>
        <v/>
      </c>
      <c r="T199" s="10" t="str">
        <f aca="false">IFERROR(VLOOKUP($A199,03_質問施策マッピング!$A:$B,2,0),"")</f>
        <v>AIMF-RC-RES-007</v>
      </c>
      <c r="U199" s="10" t="str">
        <f aca="false">IF($T199="","",IFERROR(VLOOKUP($T199,02_施策マスター!$A:$B,2,0),""))</f>
        <v>AIシステムのBCP・DR統合</v>
      </c>
      <c r="V199" s="10" t="str">
        <f aca="false">IF($R199="","",$R199+(1000-ROW())/1000000)</f>
        <v/>
      </c>
      <c r="W199" s="10" t="str">
        <f aca="false">IF($V199="","",COUNTIF($V$2:$V$208,"&gt;"&amp;$V199)+1)</f>
        <v/>
      </c>
      <c r="X199" s="10" t="s">
        <v>116</v>
      </c>
    </row>
    <row r="200" customFormat="false" ht="39.55" hidden="false" customHeight="false" outlineLevel="0" collapsed="false">
      <c r="A200" s="10" t="s">
        <v>738</v>
      </c>
      <c r="B200" s="10" t="s">
        <v>716</v>
      </c>
      <c r="C200" s="10" t="s">
        <v>739</v>
      </c>
      <c r="D200" s="10" t="s">
        <v>740</v>
      </c>
      <c r="E200" s="11" t="s">
        <v>741</v>
      </c>
      <c r="F200" s="10" t="s">
        <v>98</v>
      </c>
      <c r="G200" s="10" t="s">
        <v>99</v>
      </c>
      <c r="H200" s="12" t="str">
        <f aca="false">IF(OR($G200="all",AND(00_はじめに!$B$24="Y",ISNUMBER(SEARCH("traditional",$G200))),AND(00_はじめに!$B$25="Y",ISNUMBER(SEARCH("generative",$G200))),AND(00_はじめに!$B$26="Y",ISNUMBER(SEARCH("ai-agent",$G200))),AND(00_はじめに!$B$27="Y",ISNUMBER(SEARCH("multi-agent",$G200)))),"○","対象外")</f>
        <v>○</v>
      </c>
      <c r="I200" s="13"/>
      <c r="J200" s="14" t="n">
        <v>4</v>
      </c>
      <c r="K200" s="12" t="str">
        <f aca="false">IF(OR($H200="対象外",$I200="",$J200=""),"",$J200-$I200)</f>
        <v/>
      </c>
      <c r="L200" s="14" t="n">
        <v>3</v>
      </c>
      <c r="M200" s="14" t="n">
        <v>3</v>
      </c>
      <c r="N200" s="14" t="n">
        <v>4</v>
      </c>
      <c r="O200" s="14" t="n">
        <v>4</v>
      </c>
      <c r="P200" s="14" t="n">
        <v>3</v>
      </c>
      <c r="Q200" s="14" t="n">
        <v>2</v>
      </c>
      <c r="R200" s="15" t="str">
        <f aca="false">IF(OR($H200="対象外",$K200="",$L200="",$M200="",$N200="",$O200="",$P200="",$Q200=""),"",($K200*$L200*$M200*$N200*$O200*$P200)/$Q200)</f>
        <v/>
      </c>
      <c r="S200" s="12" t="str">
        <f aca="false">IF($H200="対象外","",IF(OR($I200="",$J200=""),"",IF(OR($J200-$I200&gt;0,AND($R200&lt;&gt;"",$R200&gt;=00_はじめに!$B$19)),"○","")))</f>
        <v/>
      </c>
      <c r="T200" s="10" t="str">
        <f aca="false">IFERROR(VLOOKUP($A200,03_質問施策マッピング!$A:$B,2,0),"")</f>
        <v>AIMF-RC-CIM-001</v>
      </c>
      <c r="U200" s="10" t="str">
        <f aca="false">IF($T200="","",IFERROR(VLOOKUP($T200,02_施策マスター!$A:$B,2,0),""))</f>
        <v>AIセキュリティKPIの設定と評価</v>
      </c>
      <c r="V200" s="10" t="str">
        <f aca="false">IF($R200="","",$R200+(1000-ROW())/1000000)</f>
        <v/>
      </c>
      <c r="W200" s="10" t="str">
        <f aca="false">IF($V200="","",COUNTIF($V$2:$V$208,"&gt;"&amp;$V200)+1)</f>
        <v/>
      </c>
      <c r="X200" s="10" t="s">
        <v>100</v>
      </c>
    </row>
    <row r="201" customFormat="false" ht="32.8" hidden="false" customHeight="false" outlineLevel="0" collapsed="false">
      <c r="A201" s="10" t="s">
        <v>742</v>
      </c>
      <c r="B201" s="10" t="s">
        <v>716</v>
      </c>
      <c r="C201" s="10" t="s">
        <v>739</v>
      </c>
      <c r="D201" s="11" t="s">
        <v>743</v>
      </c>
      <c r="E201" s="11" t="s">
        <v>744</v>
      </c>
      <c r="F201" s="10" t="s">
        <v>98</v>
      </c>
      <c r="G201" s="10" t="s">
        <v>99</v>
      </c>
      <c r="H201" s="12" t="str">
        <f aca="false">IF(OR($G201="all",AND(00_はじめに!$B$24="Y",ISNUMBER(SEARCH("traditional",$G201))),AND(00_はじめに!$B$25="Y",ISNUMBER(SEARCH("generative",$G201))),AND(00_はじめに!$B$26="Y",ISNUMBER(SEARCH("ai-agent",$G201))),AND(00_はじめに!$B$27="Y",ISNUMBER(SEARCH("multi-agent",$G201)))),"○","対象外")</f>
        <v>○</v>
      </c>
      <c r="I201" s="13"/>
      <c r="J201" s="14" t="n">
        <v>4</v>
      </c>
      <c r="K201" s="12" t="str">
        <f aca="false">IF(OR($H201="対象外",$I201="",$J201=""),"",$J201-$I201)</f>
        <v/>
      </c>
      <c r="L201" s="14" t="n">
        <v>3</v>
      </c>
      <c r="M201" s="14" t="n">
        <v>3</v>
      </c>
      <c r="N201" s="14" t="n">
        <v>4</v>
      </c>
      <c r="O201" s="14" t="n">
        <v>4</v>
      </c>
      <c r="P201" s="14" t="n">
        <v>3</v>
      </c>
      <c r="Q201" s="14" t="n">
        <v>2</v>
      </c>
      <c r="R201" s="15" t="str">
        <f aca="false">IF(OR($H201="対象外",$K201="",$L201="",$M201="",$N201="",$O201="",$P201="",$Q201=""),"",($K201*$L201*$M201*$N201*$O201*$P201)/$Q201)</f>
        <v/>
      </c>
      <c r="S201" s="12" t="str">
        <f aca="false">IF($H201="対象外","",IF(OR($I201="",$J201=""),"",IF(OR($J201-$I201&gt;0,AND($R201&lt;&gt;"",$R201&gt;=00_はじめに!$B$19)),"○","")))</f>
        <v/>
      </c>
      <c r="T201" s="10" t="str">
        <f aca="false">IFERROR(VLOOKUP($A201,03_質問施策マッピング!$A:$B,2,0),"")</f>
        <v>AIMF-RC-CIM-002</v>
      </c>
      <c r="U201" s="10" t="str">
        <f aca="false">IF($T201="","",IFERROR(VLOOKUP($T201,02_施策マスター!$A:$B,2,0),""))</f>
        <v>ベストプラクティス・教訓のドキュメント化</v>
      </c>
      <c r="V201" s="10" t="str">
        <f aca="false">IF($R201="","",$R201+(1000-ROW())/1000000)</f>
        <v/>
      </c>
      <c r="W201" s="10" t="str">
        <f aca="false">IF($V201="","",COUNTIF($V$2:$V$208,"&gt;"&amp;$V201)+1)</f>
        <v/>
      </c>
      <c r="X201" s="10" t="s">
        <v>100</v>
      </c>
    </row>
    <row r="202" customFormat="false" ht="32.8" hidden="false" customHeight="false" outlineLevel="0" collapsed="false">
      <c r="A202" s="10" t="s">
        <v>745</v>
      </c>
      <c r="B202" s="10" t="s">
        <v>716</v>
      </c>
      <c r="C202" s="10" t="s">
        <v>739</v>
      </c>
      <c r="D202" s="10" t="s">
        <v>746</v>
      </c>
      <c r="E202" s="11" t="s">
        <v>747</v>
      </c>
      <c r="F202" s="10" t="s">
        <v>98</v>
      </c>
      <c r="G202" s="10" t="s">
        <v>99</v>
      </c>
      <c r="H202" s="12" t="str">
        <f aca="false">IF(OR($G202="all",AND(00_はじめに!$B$24="Y",ISNUMBER(SEARCH("traditional",$G202))),AND(00_はじめに!$B$25="Y",ISNUMBER(SEARCH("generative",$G202))),AND(00_はじめに!$B$26="Y",ISNUMBER(SEARCH("ai-agent",$G202))),AND(00_はじめに!$B$27="Y",ISNUMBER(SEARCH("multi-agent",$G202)))),"○","対象外")</f>
        <v>○</v>
      </c>
      <c r="I202" s="13"/>
      <c r="J202" s="14" t="n">
        <v>4</v>
      </c>
      <c r="K202" s="12" t="str">
        <f aca="false">IF(OR($H202="対象外",$I202="",$J202=""),"",$J202-$I202)</f>
        <v/>
      </c>
      <c r="L202" s="14" t="n">
        <v>3</v>
      </c>
      <c r="M202" s="14" t="n">
        <v>3</v>
      </c>
      <c r="N202" s="14" t="n">
        <v>4</v>
      </c>
      <c r="O202" s="14" t="n">
        <v>4</v>
      </c>
      <c r="P202" s="14" t="n">
        <v>3</v>
      </c>
      <c r="Q202" s="14" t="n">
        <v>2</v>
      </c>
      <c r="R202" s="15" t="str">
        <f aca="false">IF(OR($H202="対象外",$K202="",$L202="",$M202="",$N202="",$O202="",$P202="",$Q202=""),"",($K202*$L202*$M202*$N202*$O202*$P202)/$Q202)</f>
        <v/>
      </c>
      <c r="S202" s="12" t="str">
        <f aca="false">IF($H202="対象外","",IF(OR($I202="",$J202=""),"",IF(OR($J202-$I202&gt;0,AND($R202&lt;&gt;"",$R202&gt;=00_はじめに!$B$19)),"○","")))</f>
        <v/>
      </c>
      <c r="T202" s="10" t="str">
        <f aca="false">IFERROR(VLOOKUP($A202,03_質問施策マッピング!$A:$B,2,0),"")</f>
        <v>AIMF-RC-CIM-003</v>
      </c>
      <c r="U202" s="10" t="str">
        <f aca="false">IF($T202="","",IFERROR(VLOOKUP($T202,02_施策マスター!$A:$B,2,0),""))</f>
        <v>AIセキュリティのトレンド分析と将来予測</v>
      </c>
      <c r="V202" s="10" t="str">
        <f aca="false">IF($R202="","",$R202+(1000-ROW())/1000000)</f>
        <v/>
      </c>
      <c r="W202" s="10" t="str">
        <f aca="false">IF($V202="","",COUNTIF($V$2:$V$208,"&gt;"&amp;$V202)+1)</f>
        <v/>
      </c>
      <c r="X202" s="10" t="s">
        <v>100</v>
      </c>
    </row>
    <row r="203" customFormat="false" ht="39.55" hidden="false" customHeight="false" outlineLevel="0" collapsed="false">
      <c r="A203" s="10" t="s">
        <v>748</v>
      </c>
      <c r="B203" s="10" t="s">
        <v>716</v>
      </c>
      <c r="C203" s="10" t="s">
        <v>739</v>
      </c>
      <c r="D203" s="11" t="s">
        <v>749</v>
      </c>
      <c r="E203" s="10" t="s">
        <v>750</v>
      </c>
      <c r="F203" s="10" t="s">
        <v>98</v>
      </c>
      <c r="G203" s="10" t="s">
        <v>99</v>
      </c>
      <c r="H203" s="12" t="str">
        <f aca="false">IF(OR($G203="all",AND(00_はじめに!$B$24="Y",ISNUMBER(SEARCH("traditional",$G203))),AND(00_はじめに!$B$25="Y",ISNUMBER(SEARCH("generative",$G203))),AND(00_はじめに!$B$26="Y",ISNUMBER(SEARCH("ai-agent",$G203))),AND(00_はじめに!$B$27="Y",ISNUMBER(SEARCH("multi-agent",$G203)))),"○","対象外")</f>
        <v>○</v>
      </c>
      <c r="I203" s="13"/>
      <c r="J203" s="14" t="n">
        <v>4</v>
      </c>
      <c r="K203" s="12" t="str">
        <f aca="false">IF(OR($H203="対象外",$I203="",$J203=""),"",$J203-$I203)</f>
        <v/>
      </c>
      <c r="L203" s="14" t="n">
        <v>3</v>
      </c>
      <c r="M203" s="14" t="n">
        <v>3</v>
      </c>
      <c r="N203" s="14" t="n">
        <v>5</v>
      </c>
      <c r="O203" s="14" t="n">
        <v>4</v>
      </c>
      <c r="P203" s="14" t="n">
        <v>3</v>
      </c>
      <c r="Q203" s="14" t="n">
        <v>2</v>
      </c>
      <c r="R203" s="15" t="str">
        <f aca="false">IF(OR($H203="対象外",$K203="",$L203="",$M203="",$N203="",$O203="",$P203="",$Q203=""),"",($K203*$L203*$M203*$N203*$O203*$P203)/$Q203)</f>
        <v/>
      </c>
      <c r="S203" s="12" t="str">
        <f aca="false">IF($H203="対象外","",IF(OR($I203="",$J203=""),"",IF(OR($J203-$I203&gt;0,AND($R203&lt;&gt;"",$R203&gt;=00_はじめに!$B$19)),"○","")))</f>
        <v/>
      </c>
      <c r="T203" s="10" t="str">
        <f aca="false">IFERROR(VLOOKUP($A203,03_質問施策マッピング!$A:$B,2,0),"")</f>
        <v>AIMF-RC-CIM-004</v>
      </c>
      <c r="U203" s="10" t="str">
        <f aca="false">IF($T203="","",IFERROR(VLOOKUP($T203,02_施策マスター!$A:$B,2,0),""))</f>
        <v>セキュリティメトリクスによる定期ガバナンスレビュー</v>
      </c>
      <c r="V203" s="10" t="str">
        <f aca="false">IF($R203="","",$R203+(1000-ROW())/1000000)</f>
        <v/>
      </c>
      <c r="W203" s="10" t="str">
        <f aca="false">IF($V203="","",COUNTIF($V$2:$V$208,"&gt;"&amp;$V203)+1)</f>
        <v/>
      </c>
      <c r="X203" s="10" t="s">
        <v>100</v>
      </c>
    </row>
    <row r="204" customFormat="false" ht="39.55" hidden="false" customHeight="false" outlineLevel="0" collapsed="false">
      <c r="A204" s="10" t="s">
        <v>751</v>
      </c>
      <c r="B204" s="10" t="s">
        <v>716</v>
      </c>
      <c r="C204" s="10" t="s">
        <v>739</v>
      </c>
      <c r="D204" s="11" t="s">
        <v>752</v>
      </c>
      <c r="E204" s="11" t="s">
        <v>753</v>
      </c>
      <c r="F204" s="10" t="s">
        <v>133</v>
      </c>
      <c r="G204" s="10" t="s">
        <v>99</v>
      </c>
      <c r="H204" s="12" t="str">
        <f aca="false">IF(OR($G204="all",AND(00_はじめに!$B$24="Y",ISNUMBER(SEARCH("traditional",$G204))),AND(00_はじめに!$B$25="Y",ISNUMBER(SEARCH("generative",$G204))),AND(00_はじめに!$B$26="Y",ISNUMBER(SEARCH("ai-agent",$G204))),AND(00_はじめに!$B$27="Y",ISNUMBER(SEARCH("multi-agent",$G204)))),"○","対象外")</f>
        <v>○</v>
      </c>
      <c r="I204" s="13"/>
      <c r="J204" s="14" t="n">
        <v>3</v>
      </c>
      <c r="K204" s="12" t="str">
        <f aca="false">IF(OR($H204="対象外",$I204="",$J204=""),"",$J204-$I204)</f>
        <v/>
      </c>
      <c r="L204" s="14" t="n">
        <v>3</v>
      </c>
      <c r="M204" s="14" t="n">
        <v>3</v>
      </c>
      <c r="N204" s="14" t="n">
        <v>4</v>
      </c>
      <c r="O204" s="14" t="n">
        <v>2</v>
      </c>
      <c r="P204" s="14" t="n">
        <v>3</v>
      </c>
      <c r="Q204" s="14" t="n">
        <v>4</v>
      </c>
      <c r="R204" s="15" t="str">
        <f aca="false">IF(OR($H204="対象外",$K204="",$L204="",$M204="",$N204="",$O204="",$P204="",$Q204=""),"",($K204*$L204*$M204*$N204*$O204*$P204)/$Q204)</f>
        <v/>
      </c>
      <c r="S204" s="12" t="str">
        <f aca="false">IF($H204="対象外","",IF(OR($I204="",$J204=""),"",IF(OR($J204-$I204&gt;0,AND($R204&lt;&gt;"",$R204&gt;=00_はじめに!$B$19)),"○","")))</f>
        <v/>
      </c>
      <c r="T204" s="10" t="str">
        <f aca="false">IFERROR(VLOOKUP($A204,03_質問施策マッピング!$A:$B,2,0),"")</f>
        <v>AIMF-RC-CIM-005</v>
      </c>
      <c r="U204" s="10" t="str">
        <f aca="false">IF($T204="","",IFERROR(VLOOKUP($T204,02_施策マスター!$A:$B,2,0),""))</f>
        <v>教訓の防御機構への自動反映</v>
      </c>
      <c r="V204" s="10" t="str">
        <f aca="false">IF($R204="","",$R204+(1000-ROW())/1000000)</f>
        <v/>
      </c>
      <c r="W204" s="10" t="str">
        <f aca="false">IF($V204="","",COUNTIF($V$2:$V$208,"&gt;"&amp;$V204)+1)</f>
        <v/>
      </c>
      <c r="X204" s="10" t="s">
        <v>116</v>
      </c>
    </row>
    <row r="205" customFormat="false" ht="39.55" hidden="false" customHeight="false" outlineLevel="0" collapsed="false">
      <c r="A205" s="10" t="s">
        <v>754</v>
      </c>
      <c r="B205" s="10" t="s">
        <v>716</v>
      </c>
      <c r="C205" s="10" t="s">
        <v>739</v>
      </c>
      <c r="D205" s="11" t="s">
        <v>755</v>
      </c>
      <c r="E205" s="10" t="s">
        <v>756</v>
      </c>
      <c r="F205" s="10" t="s">
        <v>98</v>
      </c>
      <c r="G205" s="10" t="s">
        <v>99</v>
      </c>
      <c r="H205" s="12" t="str">
        <f aca="false">IF(OR($G205="all",AND(00_はじめに!$B$24="Y",ISNUMBER(SEARCH("traditional",$G205))),AND(00_はじめに!$B$25="Y",ISNUMBER(SEARCH("generative",$G205))),AND(00_はじめに!$B$26="Y",ISNUMBER(SEARCH("ai-agent",$G205))),AND(00_はじめに!$B$27="Y",ISNUMBER(SEARCH("multi-agent",$G205)))),"○","対象外")</f>
        <v>○</v>
      </c>
      <c r="I205" s="13"/>
      <c r="J205" s="14" t="n">
        <v>3</v>
      </c>
      <c r="K205" s="12" t="str">
        <f aca="false">IF(OR($H205="対象外",$I205="",$J205=""),"",$J205-$I205)</f>
        <v/>
      </c>
      <c r="L205" s="14" t="n">
        <v>3</v>
      </c>
      <c r="M205" s="14" t="n">
        <v>3</v>
      </c>
      <c r="N205" s="14" t="n">
        <v>4</v>
      </c>
      <c r="O205" s="14" t="n">
        <v>4</v>
      </c>
      <c r="P205" s="14" t="n">
        <v>3</v>
      </c>
      <c r="Q205" s="14" t="n">
        <v>2</v>
      </c>
      <c r="R205" s="15" t="str">
        <f aca="false">IF(OR($H205="対象外",$K205="",$L205="",$M205="",$N205="",$O205="",$P205="",$Q205=""),"",($K205*$L205*$M205*$N205*$O205*$P205)/$Q205)</f>
        <v/>
      </c>
      <c r="S205" s="12" t="str">
        <f aca="false">IF($H205="対象外","",IF(OR($I205="",$J205=""),"",IF(OR($J205-$I205&gt;0,AND($R205&lt;&gt;"",$R205&gt;=00_はじめに!$B$19)),"○","")))</f>
        <v/>
      </c>
      <c r="T205" s="10" t="str">
        <f aca="false">IFERROR(VLOOKUP($A205,03_質問施策マッピング!$A:$B,2,0),"")</f>
        <v>AIMF-RC-CIM-006</v>
      </c>
      <c r="U205" s="10" t="str">
        <f aca="false">IF($T205="","",IFERROR(VLOOKUP($T205,02_施策マスター!$A:$B,2,0),""))</f>
        <v>参照基準・脅威情報の改訂追随</v>
      </c>
      <c r="V205" s="10" t="str">
        <f aca="false">IF($R205="","",$R205+(1000-ROW())/1000000)</f>
        <v/>
      </c>
      <c r="W205" s="10" t="str">
        <f aca="false">IF($V205="","",COUNTIF($V$2:$V$208,"&gt;"&amp;$V205)+1)</f>
        <v/>
      </c>
      <c r="X205" s="10" t="s">
        <v>116</v>
      </c>
    </row>
    <row r="206" customFormat="false" ht="39.55" hidden="false" customHeight="false" outlineLevel="0" collapsed="false">
      <c r="A206" s="10" t="s">
        <v>757</v>
      </c>
      <c r="B206" s="10" t="s">
        <v>716</v>
      </c>
      <c r="C206" s="10" t="s">
        <v>758</v>
      </c>
      <c r="D206" s="11" t="s">
        <v>759</v>
      </c>
      <c r="E206" s="11" t="s">
        <v>760</v>
      </c>
      <c r="F206" s="10" t="s">
        <v>133</v>
      </c>
      <c r="G206" s="10" t="s">
        <v>99</v>
      </c>
      <c r="H206" s="12" t="str">
        <f aca="false">IF(OR($G206="all",AND(00_はじめに!$B$24="Y",ISNUMBER(SEARCH("traditional",$G206))),AND(00_はじめに!$B$25="Y",ISNUMBER(SEARCH("generative",$G206))),AND(00_はじめに!$B$26="Y",ISNUMBER(SEARCH("ai-agent",$G206))),AND(00_はじめに!$B$27="Y",ISNUMBER(SEARCH("multi-agent",$G206)))),"○","対象外")</f>
        <v>○</v>
      </c>
      <c r="I206" s="13"/>
      <c r="J206" s="14" t="n">
        <v>4</v>
      </c>
      <c r="K206" s="12" t="str">
        <f aca="false">IF(OR($H206="対象外",$I206="",$J206=""),"",$J206-$I206)</f>
        <v/>
      </c>
      <c r="L206" s="14" t="n">
        <v>4</v>
      </c>
      <c r="M206" s="14" t="n">
        <v>3</v>
      </c>
      <c r="N206" s="14" t="n">
        <v>4</v>
      </c>
      <c r="O206" s="14" t="n">
        <v>2</v>
      </c>
      <c r="P206" s="14" t="n">
        <v>3</v>
      </c>
      <c r="Q206" s="14" t="n">
        <v>4</v>
      </c>
      <c r="R206" s="15" t="str">
        <f aca="false">IF(OR($H206="対象外",$K206="",$L206="",$M206="",$N206="",$O206="",$P206="",$Q206=""),"",($K206*$L206*$M206*$N206*$O206*$P206)/$Q206)</f>
        <v/>
      </c>
      <c r="S206" s="12" t="str">
        <f aca="false">IF($H206="対象外","",IF(OR($I206="",$J206=""),"",IF(OR($J206-$I206&gt;0,AND($R206&lt;&gt;"",$R206&gt;=00_はじめに!$B$19)),"○","")))</f>
        <v/>
      </c>
      <c r="T206" s="10" t="str">
        <f aca="false">IFERROR(VLOOKUP($A206,03_質問施策マッピング!$A:$B,2,0),"")</f>
        <v>AIMF-RC-DCM-001</v>
      </c>
      <c r="U206" s="10" t="str">
        <f aca="false">IF($T206="","",IFERROR(VLOOKUP($T206,02_施策マスター!$A:$B,2,0),""))</f>
        <v>モデル・データの安全な廃棄（デコミッション）</v>
      </c>
      <c r="V206" s="10" t="str">
        <f aca="false">IF($R206="","",$R206+(1000-ROW())/1000000)</f>
        <v/>
      </c>
      <c r="W206" s="10" t="str">
        <f aca="false">IF($V206="","",COUNTIF($V$2:$V$208,"&gt;"&amp;$V206)+1)</f>
        <v/>
      </c>
      <c r="X206" s="10" t="s">
        <v>100</v>
      </c>
    </row>
    <row r="207" customFormat="false" ht="39.55" hidden="false" customHeight="false" outlineLevel="0" collapsed="false">
      <c r="A207" s="10" t="s">
        <v>761</v>
      </c>
      <c r="B207" s="10" t="s">
        <v>716</v>
      </c>
      <c r="C207" s="10" t="s">
        <v>758</v>
      </c>
      <c r="D207" s="11" t="s">
        <v>762</v>
      </c>
      <c r="E207" s="11" t="s">
        <v>763</v>
      </c>
      <c r="F207" s="10" t="s">
        <v>133</v>
      </c>
      <c r="G207" s="10" t="s">
        <v>99</v>
      </c>
      <c r="H207" s="12" t="str">
        <f aca="false">IF(OR($G207="all",AND(00_はじめに!$B$24="Y",ISNUMBER(SEARCH("traditional",$G207))),AND(00_はじめに!$B$25="Y",ISNUMBER(SEARCH("generative",$G207))),AND(00_はじめに!$B$26="Y",ISNUMBER(SEARCH("ai-agent",$G207))),AND(00_はじめに!$B$27="Y",ISNUMBER(SEARCH("multi-agent",$G207)))),"○","対象外")</f>
        <v>○</v>
      </c>
      <c r="I207" s="13"/>
      <c r="J207" s="14" t="n">
        <v>3</v>
      </c>
      <c r="K207" s="12" t="str">
        <f aca="false">IF(OR($H207="対象外",$I207="",$J207=""),"",$J207-$I207)</f>
        <v/>
      </c>
      <c r="L207" s="14" t="n">
        <v>4</v>
      </c>
      <c r="M207" s="14" t="n">
        <v>3</v>
      </c>
      <c r="N207" s="14" t="n">
        <v>5</v>
      </c>
      <c r="O207" s="14" t="n">
        <v>2</v>
      </c>
      <c r="P207" s="14" t="n">
        <v>3</v>
      </c>
      <c r="Q207" s="14" t="n">
        <v>4</v>
      </c>
      <c r="R207" s="15" t="str">
        <f aca="false">IF(OR($H207="対象外",$K207="",$L207="",$M207="",$N207="",$O207="",$P207="",$Q207=""),"",($K207*$L207*$M207*$N207*$O207*$P207)/$Q207)</f>
        <v/>
      </c>
      <c r="S207" s="12" t="str">
        <f aca="false">IF($H207="対象外","",IF(OR($I207="",$J207=""),"",IF(OR($J207-$I207&gt;0,AND($R207&lt;&gt;"",$R207&gt;=00_はじめに!$B$19)),"○","")))</f>
        <v/>
      </c>
      <c r="T207" s="10" t="str">
        <f aca="false">IFERROR(VLOOKUP($A207,03_質問施策マッピング!$A:$B,2,0),"")</f>
        <v>AIMF-RC-DCM-002</v>
      </c>
      <c r="U207" s="10" t="str">
        <f aca="false">IF($T207="","",IFERROR(VLOOKUP($T207,02_施策マスター!$A:$B,2,0),""))</f>
        <v>データ削除・機械的忘却（Unlearning）の実施と検証</v>
      </c>
      <c r="V207" s="10" t="str">
        <f aca="false">IF($R207="","",$R207+(1000-ROW())/1000000)</f>
        <v/>
      </c>
      <c r="W207" s="10" t="str">
        <f aca="false">IF($V207="","",COUNTIF($V$2:$V$208,"&gt;"&amp;$V207)+1)</f>
        <v/>
      </c>
      <c r="X207" s="10" t="s">
        <v>116</v>
      </c>
    </row>
    <row r="208" customFormat="false" ht="39.55" hidden="false" customHeight="false" outlineLevel="0" collapsed="false">
      <c r="A208" s="10" t="s">
        <v>764</v>
      </c>
      <c r="B208" s="10" t="s">
        <v>716</v>
      </c>
      <c r="C208" s="10" t="s">
        <v>765</v>
      </c>
      <c r="D208" s="11" t="s">
        <v>766</v>
      </c>
      <c r="E208" s="11" t="s">
        <v>767</v>
      </c>
      <c r="F208" s="10" t="s">
        <v>133</v>
      </c>
      <c r="G208" s="10" t="s">
        <v>99</v>
      </c>
      <c r="H208" s="12" t="str">
        <f aca="false">IF(OR($G208="all",AND(00_はじめに!$B$24="Y",ISNUMBER(SEARCH("traditional",$G208))),AND(00_はじめに!$B$25="Y",ISNUMBER(SEARCH("generative",$G208))),AND(00_はじめに!$B$26="Y",ISNUMBER(SEARCH("ai-agent",$G208))),AND(00_はじめに!$B$27="Y",ISNUMBER(SEARCH("multi-agent",$G208)))),"○","対象外")</f>
        <v>○</v>
      </c>
      <c r="I208" s="13"/>
      <c r="J208" s="14" t="n">
        <v>4</v>
      </c>
      <c r="K208" s="12" t="str">
        <f aca="false">IF(OR($H208="対象外",$I208="",$J208=""),"",$J208-$I208)</f>
        <v/>
      </c>
      <c r="L208" s="14" t="n">
        <v>4</v>
      </c>
      <c r="M208" s="14" t="n">
        <v>3</v>
      </c>
      <c r="N208" s="14" t="n">
        <v>5</v>
      </c>
      <c r="O208" s="14" t="n">
        <v>2</v>
      </c>
      <c r="P208" s="14" t="n">
        <v>3</v>
      </c>
      <c r="Q208" s="14" t="n">
        <v>3</v>
      </c>
      <c r="R208" s="15" t="str">
        <f aca="false">IF(OR($H208="対象外",$K208="",$L208="",$M208="",$N208="",$O208="",$P208="",$Q208=""),"",($K208*$L208*$M208*$N208*$O208*$P208)/$Q208)</f>
        <v/>
      </c>
      <c r="S208" s="12" t="str">
        <f aca="false">IF($H208="対象外","",IF(OR($I208="",$J208=""),"",IF(OR($J208-$I208&gt;0,AND($R208&lt;&gt;"",$R208&gt;=00_はじめに!$B$19)),"○","")))</f>
        <v/>
      </c>
      <c r="T208" s="10" t="str">
        <f aca="false">IFERROR(VLOOKUP($A208,03_質問施策マッピング!$A:$B,2,0),"")</f>
        <v>AIMF-RC-PMM-001</v>
      </c>
      <c r="U208" s="10" t="str">
        <f aca="false">IF($T208="","",IFERROR(VLOOKUP($T208,02_施策マスター!$A:$B,2,0),""))</f>
        <v>市販後モニタリング計画（Post-market Monitoring）</v>
      </c>
      <c r="V208" s="10" t="str">
        <f aca="false">IF($R208="","",$R208+(1000-ROW())/1000000)</f>
        <v/>
      </c>
      <c r="W208" s="10" t="str">
        <f aca="false">IF($V208="","",COUNTIF($V$2:$V$208,"&gt;"&amp;$V208)+1)</f>
        <v/>
      </c>
      <c r="X208" s="10" t="s">
        <v>100</v>
      </c>
    </row>
  </sheetData>
  <conditionalFormatting sqref="S2:S208">
    <cfRule type="cellIs" priority="2" operator="equal" aboveAverage="0" equalAverage="0" bottom="0" percent="0" rank="0" text="" dxfId="0">
      <formula>"○"</formula>
    </cfRule>
  </conditionalFormatting>
  <conditionalFormatting sqref="H2:H208">
    <cfRule type="cellIs" priority="3" operator="equal" aboveAverage="0" equalAverage="0" bottom="0" percent="0" rank="0" text="" dxfId="1">
      <formula>"対象外"</formula>
    </cfRule>
  </conditionalFormatting>
  <dataValidations count="2">
    <dataValidation allowBlank="true" errorStyle="stop" operator="between" showDropDown="false" showErrorMessage="false" showInputMessage="false" sqref="I2:J208" type="list">
      <formula1>"0,1,2,3,4"</formula1>
      <formula2>0</formula2>
    </dataValidation>
    <dataValidation allowBlank="true" errorStyle="stop" operator="between" showDropDown="false" showErrorMessage="false" showInputMessage="false" sqref="L2:Q208"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6"/>
    <col collapsed="false" customWidth="true" hidden="false" outlineLevel="0" max="3" min="3" style="0" width="5"/>
    <col collapsed="false" customWidth="true" hidden="false" outlineLevel="0" max="4" min="4" style="0" width="6"/>
    <col collapsed="false" customWidth="true" hidden="false" outlineLevel="0" max="5" min="5" style="0" width="52"/>
    <col collapsed="false" customWidth="true" hidden="false" outlineLevel="0" max="6" min="6" style="0" width="34"/>
    <col collapsed="false" customWidth="true" hidden="false" outlineLevel="0" max="11" min="7" style="0" width="8"/>
    <col collapsed="false" customWidth="true" hidden="false" outlineLevel="0" max="12" min="12" style="0" width="15"/>
    <col collapsed="false" customWidth="true" hidden="false" outlineLevel="0" max="13" min="13" style="0" width="12"/>
    <col collapsed="false" customWidth="true" hidden="false" outlineLevel="0" max="14" min="14" style="0" width="34"/>
    <col collapsed="false" customWidth="true" hidden="false" outlineLevel="0" max="15" min="15" style="0" width="9"/>
    <col collapsed="false" customWidth="true" hidden="false" outlineLevel="0" max="16" min="16" style="0" width="8"/>
    <col collapsed="false" customWidth="true" hidden="false" outlineLevel="0" max="17" min="17" style="0" width="20"/>
    <col collapsed="false" customWidth="true" hidden="false" outlineLevel="0" max="18" min="18" style="0" width="26"/>
    <col collapsed="false" customWidth="true" hidden="false" outlineLevel="0" max="19" min="19" style="0" width="34"/>
    <col collapsed="false" customWidth="true" hidden="false" outlineLevel="0" max="20" min="20" style="0" width="22"/>
    <col collapsed="false" customWidth="true" hidden="false" outlineLevel="0" max="21" min="21" style="0" width="15"/>
    <col collapsed="false" customWidth="true" hidden="false" outlineLevel="0" max="22" min="22" style="0" width="10"/>
  </cols>
  <sheetData>
    <row r="1" customFormat="false" ht="41" hidden="false" customHeight="false" outlineLevel="0" collapsed="false">
      <c r="A1" s="8" t="s">
        <v>768</v>
      </c>
      <c r="B1" s="8" t="s">
        <v>769</v>
      </c>
      <c r="C1" s="8" t="s">
        <v>70</v>
      </c>
      <c r="D1" s="8" t="s">
        <v>71</v>
      </c>
      <c r="E1" s="8" t="s">
        <v>770</v>
      </c>
      <c r="F1" s="8" t="s">
        <v>771</v>
      </c>
      <c r="G1" s="8" t="s">
        <v>772</v>
      </c>
      <c r="H1" s="8" t="s">
        <v>773</v>
      </c>
      <c r="I1" s="8" t="s">
        <v>774</v>
      </c>
      <c r="J1" s="8" t="s">
        <v>775</v>
      </c>
      <c r="K1" s="9" t="s">
        <v>776</v>
      </c>
      <c r="L1" s="8" t="s">
        <v>777</v>
      </c>
      <c r="M1" s="9" t="s">
        <v>61</v>
      </c>
      <c r="N1" s="8" t="s">
        <v>778</v>
      </c>
      <c r="O1" s="8" t="s">
        <v>779</v>
      </c>
      <c r="P1" s="8" t="s">
        <v>780</v>
      </c>
      <c r="Q1" s="8" t="s">
        <v>781</v>
      </c>
      <c r="R1" s="8" t="s">
        <v>782</v>
      </c>
      <c r="S1" s="8" t="s">
        <v>783</v>
      </c>
      <c r="T1" s="8" t="s">
        <v>784</v>
      </c>
      <c r="U1" s="8" t="s">
        <v>785</v>
      </c>
      <c r="V1" s="9" t="s">
        <v>786</v>
      </c>
    </row>
    <row r="2" customFormat="false" ht="39.55" hidden="false" customHeight="false" outlineLevel="0" collapsed="false">
      <c r="A2" s="10" t="s">
        <v>93</v>
      </c>
      <c r="B2" s="10" t="s">
        <v>96</v>
      </c>
      <c r="C2" s="10" t="s">
        <v>94</v>
      </c>
      <c r="D2" s="10" t="s">
        <v>95</v>
      </c>
      <c r="E2" s="11" t="s">
        <v>787</v>
      </c>
      <c r="F2" s="11" t="s">
        <v>788</v>
      </c>
      <c r="G2" s="10" t="n">
        <v>4</v>
      </c>
      <c r="H2" s="10" t="n">
        <v>2</v>
      </c>
      <c r="I2" s="10" t="n">
        <v>3</v>
      </c>
      <c r="J2" s="11" t="s">
        <v>789</v>
      </c>
      <c r="K2" s="10" t="n">
        <v>1.5</v>
      </c>
      <c r="L2" s="10"/>
      <c r="M2" s="10" t="s">
        <v>98</v>
      </c>
      <c r="N2" s="10" t="s">
        <v>790</v>
      </c>
      <c r="O2" s="11" t="s">
        <v>791</v>
      </c>
      <c r="P2" s="10" t="n">
        <v>1.2</v>
      </c>
      <c r="Q2" s="11" t="s">
        <v>792</v>
      </c>
      <c r="R2" s="11" t="s">
        <v>793</v>
      </c>
      <c r="S2" s="10" t="s">
        <v>794</v>
      </c>
      <c r="T2" s="11" t="s">
        <v>795</v>
      </c>
      <c r="U2" s="10" t="s">
        <v>93</v>
      </c>
      <c r="V2" s="10" t="s">
        <v>100</v>
      </c>
    </row>
    <row r="3" customFormat="false" ht="39.55" hidden="false" customHeight="false" outlineLevel="0" collapsed="false">
      <c r="A3" s="10" t="s">
        <v>101</v>
      </c>
      <c r="B3" s="10" t="s">
        <v>102</v>
      </c>
      <c r="C3" s="10" t="s">
        <v>94</v>
      </c>
      <c r="D3" s="10" t="s">
        <v>95</v>
      </c>
      <c r="E3" s="11" t="s">
        <v>796</v>
      </c>
      <c r="F3" s="11" t="s">
        <v>788</v>
      </c>
      <c r="G3" s="10" t="n">
        <v>4</v>
      </c>
      <c r="H3" s="10" t="n">
        <v>2</v>
      </c>
      <c r="I3" s="10" t="n">
        <v>3</v>
      </c>
      <c r="J3" s="11" t="s">
        <v>789</v>
      </c>
      <c r="K3" s="10" t="n">
        <v>1.5</v>
      </c>
      <c r="L3" s="10"/>
      <c r="M3" s="10" t="s">
        <v>98</v>
      </c>
      <c r="N3" s="10" t="s">
        <v>797</v>
      </c>
      <c r="O3" s="11" t="s">
        <v>791</v>
      </c>
      <c r="P3" s="10" t="n">
        <v>1</v>
      </c>
      <c r="Q3" s="11" t="s">
        <v>792</v>
      </c>
      <c r="R3" s="11" t="s">
        <v>793</v>
      </c>
      <c r="S3" s="10" t="s">
        <v>798</v>
      </c>
      <c r="T3" s="11" t="s">
        <v>795</v>
      </c>
      <c r="U3" s="10" t="s">
        <v>101</v>
      </c>
      <c r="V3" s="10" t="s">
        <v>100</v>
      </c>
    </row>
    <row r="4" customFormat="false" ht="39.55" hidden="false" customHeight="false" outlineLevel="0" collapsed="false">
      <c r="A4" s="10" t="s">
        <v>104</v>
      </c>
      <c r="B4" s="10" t="s">
        <v>105</v>
      </c>
      <c r="C4" s="10" t="s">
        <v>94</v>
      </c>
      <c r="D4" s="10" t="s">
        <v>95</v>
      </c>
      <c r="E4" s="11" t="s">
        <v>799</v>
      </c>
      <c r="F4" s="11" t="s">
        <v>788</v>
      </c>
      <c r="G4" s="10" t="n">
        <v>4</v>
      </c>
      <c r="H4" s="10" t="n">
        <v>2</v>
      </c>
      <c r="I4" s="10" t="n">
        <v>3</v>
      </c>
      <c r="J4" s="11" t="s">
        <v>789</v>
      </c>
      <c r="K4" s="10" t="n">
        <v>1.5</v>
      </c>
      <c r="L4" s="10"/>
      <c r="M4" s="10" t="s">
        <v>98</v>
      </c>
      <c r="N4" s="10" t="s">
        <v>800</v>
      </c>
      <c r="O4" s="11" t="s">
        <v>791</v>
      </c>
      <c r="P4" s="10" t="n">
        <v>1.2</v>
      </c>
      <c r="Q4" s="11" t="s">
        <v>792</v>
      </c>
      <c r="R4" s="11" t="s">
        <v>793</v>
      </c>
      <c r="S4" s="10" t="s">
        <v>801</v>
      </c>
      <c r="T4" s="11" t="s">
        <v>795</v>
      </c>
      <c r="U4" s="10" t="s">
        <v>104</v>
      </c>
      <c r="V4" s="10" t="s">
        <v>100</v>
      </c>
    </row>
    <row r="5" customFormat="false" ht="39.55" hidden="false" customHeight="false" outlineLevel="0" collapsed="false">
      <c r="A5" s="10" t="s">
        <v>107</v>
      </c>
      <c r="B5" s="10" t="s">
        <v>108</v>
      </c>
      <c r="C5" s="10" t="s">
        <v>94</v>
      </c>
      <c r="D5" s="10" t="s">
        <v>95</v>
      </c>
      <c r="E5" s="11" t="s">
        <v>802</v>
      </c>
      <c r="F5" s="11" t="s">
        <v>788</v>
      </c>
      <c r="G5" s="10" t="n">
        <v>4</v>
      </c>
      <c r="H5" s="10" t="n">
        <v>2</v>
      </c>
      <c r="I5" s="10" t="n">
        <v>3</v>
      </c>
      <c r="J5" s="11" t="s">
        <v>789</v>
      </c>
      <c r="K5" s="10" t="n">
        <v>1.5</v>
      </c>
      <c r="L5" s="10"/>
      <c r="M5" s="10" t="s">
        <v>98</v>
      </c>
      <c r="N5" s="10" t="s">
        <v>803</v>
      </c>
      <c r="O5" s="11" t="s">
        <v>791</v>
      </c>
      <c r="P5" s="10" t="n">
        <v>1.2</v>
      </c>
      <c r="Q5" s="11" t="s">
        <v>792</v>
      </c>
      <c r="R5" s="11" t="s">
        <v>793</v>
      </c>
      <c r="S5" s="10" t="s">
        <v>804</v>
      </c>
      <c r="T5" s="11" t="s">
        <v>795</v>
      </c>
      <c r="U5" s="10" t="s">
        <v>107</v>
      </c>
      <c r="V5" s="10" t="s">
        <v>100</v>
      </c>
    </row>
    <row r="6" customFormat="false" ht="39.55" hidden="false" customHeight="false" outlineLevel="0" collapsed="false">
      <c r="A6" s="10" t="s">
        <v>110</v>
      </c>
      <c r="B6" s="10" t="s">
        <v>111</v>
      </c>
      <c r="C6" s="10" t="s">
        <v>94</v>
      </c>
      <c r="D6" s="10" t="s">
        <v>95</v>
      </c>
      <c r="E6" s="10" t="s">
        <v>805</v>
      </c>
      <c r="F6" s="11" t="s">
        <v>788</v>
      </c>
      <c r="G6" s="10" t="n">
        <v>4</v>
      </c>
      <c r="H6" s="10" t="n">
        <v>2</v>
      </c>
      <c r="I6" s="10" t="n">
        <v>3</v>
      </c>
      <c r="J6" s="11" t="s">
        <v>789</v>
      </c>
      <c r="K6" s="10" t="n">
        <v>1.5</v>
      </c>
      <c r="L6" s="10"/>
      <c r="M6" s="10" t="s">
        <v>98</v>
      </c>
      <c r="N6" s="10" t="s">
        <v>806</v>
      </c>
      <c r="O6" s="11" t="s">
        <v>791</v>
      </c>
      <c r="P6" s="10" t="n">
        <v>1</v>
      </c>
      <c r="Q6" s="11" t="s">
        <v>792</v>
      </c>
      <c r="R6" s="11" t="s">
        <v>793</v>
      </c>
      <c r="S6" s="10" t="s">
        <v>807</v>
      </c>
      <c r="T6" s="11" t="s">
        <v>795</v>
      </c>
      <c r="U6" s="10" t="s">
        <v>110</v>
      </c>
      <c r="V6" s="10" t="s">
        <v>100</v>
      </c>
    </row>
    <row r="7" customFormat="false" ht="39.55" hidden="false" customHeight="false" outlineLevel="0" collapsed="false">
      <c r="A7" s="10" t="s">
        <v>113</v>
      </c>
      <c r="B7" s="10" t="s">
        <v>114</v>
      </c>
      <c r="C7" s="10" t="s">
        <v>94</v>
      </c>
      <c r="D7" s="10" t="s">
        <v>95</v>
      </c>
      <c r="E7" s="10" t="s">
        <v>808</v>
      </c>
      <c r="F7" s="11" t="s">
        <v>788</v>
      </c>
      <c r="G7" s="10" t="n">
        <v>4</v>
      </c>
      <c r="H7" s="10" t="n">
        <v>2</v>
      </c>
      <c r="I7" s="10" t="n">
        <v>3</v>
      </c>
      <c r="J7" s="11" t="s">
        <v>789</v>
      </c>
      <c r="K7" s="10" t="n">
        <v>1.5</v>
      </c>
      <c r="L7" s="10"/>
      <c r="M7" s="10" t="s">
        <v>98</v>
      </c>
      <c r="N7" s="10" t="s">
        <v>809</v>
      </c>
      <c r="O7" s="11" t="s">
        <v>791</v>
      </c>
      <c r="P7" s="10" t="n">
        <v>1</v>
      </c>
      <c r="Q7" s="11" t="s">
        <v>792</v>
      </c>
      <c r="R7" s="11" t="s">
        <v>793</v>
      </c>
      <c r="S7" s="10" t="s">
        <v>810</v>
      </c>
      <c r="T7" s="11" t="s">
        <v>795</v>
      </c>
      <c r="U7" s="10" t="s">
        <v>113</v>
      </c>
      <c r="V7" s="10" t="s">
        <v>116</v>
      </c>
    </row>
    <row r="8" customFormat="false" ht="39.55" hidden="false" customHeight="false" outlineLevel="0" collapsed="false">
      <c r="A8" s="10" t="s">
        <v>117</v>
      </c>
      <c r="B8" s="10" t="s">
        <v>118</v>
      </c>
      <c r="C8" s="10" t="s">
        <v>94</v>
      </c>
      <c r="D8" s="10" t="s">
        <v>95</v>
      </c>
      <c r="E8" s="10" t="s">
        <v>811</v>
      </c>
      <c r="F8" s="11" t="s">
        <v>788</v>
      </c>
      <c r="G8" s="10" t="n">
        <v>4</v>
      </c>
      <c r="H8" s="10" t="n">
        <v>2</v>
      </c>
      <c r="I8" s="10" t="n">
        <v>3</v>
      </c>
      <c r="J8" s="11" t="s">
        <v>789</v>
      </c>
      <c r="K8" s="10" t="n">
        <v>1.5</v>
      </c>
      <c r="L8" s="10"/>
      <c r="M8" s="10" t="s">
        <v>98</v>
      </c>
      <c r="N8" s="10" t="s">
        <v>812</v>
      </c>
      <c r="O8" s="11" t="s">
        <v>791</v>
      </c>
      <c r="P8" s="10" t="n">
        <v>1</v>
      </c>
      <c r="Q8" s="11" t="s">
        <v>792</v>
      </c>
      <c r="R8" s="11" t="s">
        <v>793</v>
      </c>
      <c r="S8" s="10" t="s">
        <v>813</v>
      </c>
      <c r="T8" s="11" t="s">
        <v>795</v>
      </c>
      <c r="U8" s="10" t="s">
        <v>117</v>
      </c>
      <c r="V8" s="10" t="s">
        <v>116</v>
      </c>
    </row>
    <row r="9" customFormat="false" ht="39.55" hidden="false" customHeight="false" outlineLevel="0" collapsed="false">
      <c r="A9" s="10" t="s">
        <v>120</v>
      </c>
      <c r="B9" s="10" t="s">
        <v>121</v>
      </c>
      <c r="C9" s="10" t="s">
        <v>94</v>
      </c>
      <c r="D9" s="10" t="s">
        <v>95</v>
      </c>
      <c r="E9" s="11" t="s">
        <v>814</v>
      </c>
      <c r="F9" s="11" t="s">
        <v>788</v>
      </c>
      <c r="G9" s="10" t="n">
        <v>4</v>
      </c>
      <c r="H9" s="10" t="n">
        <v>2</v>
      </c>
      <c r="I9" s="10" t="n">
        <v>3</v>
      </c>
      <c r="J9" s="11" t="s">
        <v>789</v>
      </c>
      <c r="K9" s="10" t="n">
        <v>1.5</v>
      </c>
      <c r="L9" s="10"/>
      <c r="M9" s="10" t="s">
        <v>98</v>
      </c>
      <c r="N9" s="10" t="s">
        <v>815</v>
      </c>
      <c r="O9" s="11" t="s">
        <v>791</v>
      </c>
      <c r="P9" s="10" t="n">
        <v>1</v>
      </c>
      <c r="Q9" s="11" t="s">
        <v>792</v>
      </c>
      <c r="R9" s="11" t="s">
        <v>793</v>
      </c>
      <c r="S9" s="10" t="s">
        <v>816</v>
      </c>
      <c r="T9" s="11" t="s">
        <v>795</v>
      </c>
      <c r="U9" s="10" t="s">
        <v>120</v>
      </c>
      <c r="V9" s="10" t="s">
        <v>116</v>
      </c>
    </row>
    <row r="10" customFormat="false" ht="39.55" hidden="false" customHeight="false" outlineLevel="0" collapsed="false">
      <c r="A10" s="10" t="s">
        <v>123</v>
      </c>
      <c r="B10" s="10" t="s">
        <v>124</v>
      </c>
      <c r="C10" s="10" t="s">
        <v>94</v>
      </c>
      <c r="D10" s="10" t="s">
        <v>95</v>
      </c>
      <c r="E10" s="11" t="s">
        <v>817</v>
      </c>
      <c r="F10" s="11" t="s">
        <v>788</v>
      </c>
      <c r="G10" s="10" t="n">
        <v>4</v>
      </c>
      <c r="H10" s="10" t="n">
        <v>2</v>
      </c>
      <c r="I10" s="10" t="n">
        <v>3</v>
      </c>
      <c r="J10" s="11" t="s">
        <v>789</v>
      </c>
      <c r="K10" s="10" t="n">
        <v>1.5</v>
      </c>
      <c r="L10" s="10"/>
      <c r="M10" s="10" t="s">
        <v>98</v>
      </c>
      <c r="N10" s="10" t="s">
        <v>818</v>
      </c>
      <c r="O10" s="11" t="s">
        <v>791</v>
      </c>
      <c r="P10" s="10" t="n">
        <v>1</v>
      </c>
      <c r="Q10" s="11" t="s">
        <v>792</v>
      </c>
      <c r="R10" s="11" t="s">
        <v>793</v>
      </c>
      <c r="S10" s="10" t="s">
        <v>819</v>
      </c>
      <c r="T10" s="11" t="s">
        <v>795</v>
      </c>
      <c r="U10" s="10" t="s">
        <v>123</v>
      </c>
      <c r="V10" s="10" t="s">
        <v>116</v>
      </c>
    </row>
    <row r="11" customFormat="false" ht="39.55" hidden="false" customHeight="false" outlineLevel="0" collapsed="false">
      <c r="A11" s="10" t="s">
        <v>126</v>
      </c>
      <c r="B11" s="10" t="s">
        <v>128</v>
      </c>
      <c r="C11" s="10" t="s">
        <v>94</v>
      </c>
      <c r="D11" s="10" t="s">
        <v>127</v>
      </c>
      <c r="E11" s="10" t="s">
        <v>820</v>
      </c>
      <c r="F11" s="10" t="s">
        <v>821</v>
      </c>
      <c r="G11" s="10" t="n">
        <v>4</v>
      </c>
      <c r="H11" s="10" t="n">
        <v>2</v>
      </c>
      <c r="I11" s="10" t="n">
        <v>3</v>
      </c>
      <c r="J11" s="11" t="s">
        <v>789</v>
      </c>
      <c r="K11" s="10" t="n">
        <v>1.5</v>
      </c>
      <c r="L11" s="10"/>
      <c r="M11" s="10" t="s">
        <v>98</v>
      </c>
      <c r="N11" s="10" t="s">
        <v>822</v>
      </c>
      <c r="O11" s="11" t="s">
        <v>791</v>
      </c>
      <c r="P11" s="10" t="n">
        <v>1</v>
      </c>
      <c r="Q11" s="11" t="s">
        <v>792</v>
      </c>
      <c r="R11" s="11" t="s">
        <v>793</v>
      </c>
      <c r="S11" s="10" t="s">
        <v>823</v>
      </c>
      <c r="T11" s="11" t="s">
        <v>795</v>
      </c>
      <c r="U11" s="10" t="s">
        <v>126</v>
      </c>
      <c r="V11" s="10" t="s">
        <v>116</v>
      </c>
    </row>
    <row r="12" customFormat="false" ht="39.55" hidden="false" customHeight="false" outlineLevel="0" collapsed="false">
      <c r="A12" s="10" t="s">
        <v>130</v>
      </c>
      <c r="B12" s="11" t="s">
        <v>131</v>
      </c>
      <c r="C12" s="10" t="s">
        <v>94</v>
      </c>
      <c r="D12" s="10" t="s">
        <v>127</v>
      </c>
      <c r="E12" s="11" t="s">
        <v>824</v>
      </c>
      <c r="F12" s="10" t="s">
        <v>821</v>
      </c>
      <c r="G12" s="10" t="n">
        <v>4</v>
      </c>
      <c r="H12" s="10" t="n">
        <v>3</v>
      </c>
      <c r="I12" s="10" t="n">
        <v>6</v>
      </c>
      <c r="J12" s="11" t="s">
        <v>825</v>
      </c>
      <c r="K12" s="10" t="n">
        <v>1.2</v>
      </c>
      <c r="L12" s="10"/>
      <c r="M12" s="10" t="s">
        <v>133</v>
      </c>
      <c r="N12" s="11" t="s">
        <v>826</v>
      </c>
      <c r="O12" s="11" t="s">
        <v>827</v>
      </c>
      <c r="P12" s="10" t="n">
        <v>1</v>
      </c>
      <c r="Q12" s="11" t="s">
        <v>792</v>
      </c>
      <c r="R12" s="11" t="s">
        <v>793</v>
      </c>
      <c r="S12" s="11" t="s">
        <v>828</v>
      </c>
      <c r="T12" s="11" t="s">
        <v>795</v>
      </c>
      <c r="U12" s="10" t="s">
        <v>130</v>
      </c>
      <c r="V12" s="10" t="s">
        <v>116</v>
      </c>
    </row>
    <row r="13" customFormat="false" ht="39.55" hidden="false" customHeight="false" outlineLevel="0" collapsed="false">
      <c r="A13" s="10" t="s">
        <v>135</v>
      </c>
      <c r="B13" s="11" t="s">
        <v>136</v>
      </c>
      <c r="C13" s="10" t="s">
        <v>94</v>
      </c>
      <c r="D13" s="10" t="s">
        <v>127</v>
      </c>
      <c r="E13" s="11" t="s">
        <v>829</v>
      </c>
      <c r="F13" s="10" t="s">
        <v>821</v>
      </c>
      <c r="G13" s="10" t="n">
        <v>4</v>
      </c>
      <c r="H13" s="10" t="n">
        <v>2</v>
      </c>
      <c r="I13" s="10" t="n">
        <v>3</v>
      </c>
      <c r="J13" s="11" t="s">
        <v>789</v>
      </c>
      <c r="K13" s="10" t="n">
        <v>1.5</v>
      </c>
      <c r="L13" s="10"/>
      <c r="M13" s="10" t="s">
        <v>98</v>
      </c>
      <c r="N13" s="10" t="s">
        <v>830</v>
      </c>
      <c r="O13" s="11" t="s">
        <v>791</v>
      </c>
      <c r="P13" s="10" t="n">
        <v>1</v>
      </c>
      <c r="Q13" s="11" t="s">
        <v>792</v>
      </c>
      <c r="R13" s="11" t="s">
        <v>793</v>
      </c>
      <c r="S13" s="11" t="s">
        <v>831</v>
      </c>
      <c r="T13" s="11" t="s">
        <v>795</v>
      </c>
      <c r="U13" s="10" t="s">
        <v>135</v>
      </c>
      <c r="V13" s="10" t="s">
        <v>116</v>
      </c>
    </row>
    <row r="14" customFormat="false" ht="39.55" hidden="false" customHeight="false" outlineLevel="0" collapsed="false">
      <c r="A14" s="10" t="s">
        <v>138</v>
      </c>
      <c r="B14" s="10" t="s">
        <v>139</v>
      </c>
      <c r="C14" s="10" t="s">
        <v>94</v>
      </c>
      <c r="D14" s="10" t="s">
        <v>127</v>
      </c>
      <c r="E14" s="11" t="s">
        <v>832</v>
      </c>
      <c r="F14" s="10" t="s">
        <v>821</v>
      </c>
      <c r="G14" s="10" t="n">
        <v>4</v>
      </c>
      <c r="H14" s="10" t="n">
        <v>2</v>
      </c>
      <c r="I14" s="10" t="n">
        <v>3</v>
      </c>
      <c r="J14" s="11" t="s">
        <v>789</v>
      </c>
      <c r="K14" s="10" t="n">
        <v>1.5</v>
      </c>
      <c r="L14" s="10"/>
      <c r="M14" s="10" t="s">
        <v>98</v>
      </c>
      <c r="N14" s="10" t="s">
        <v>833</v>
      </c>
      <c r="O14" s="11" t="s">
        <v>791</v>
      </c>
      <c r="P14" s="10" t="n">
        <v>1</v>
      </c>
      <c r="Q14" s="11" t="s">
        <v>792</v>
      </c>
      <c r="R14" s="11" t="s">
        <v>793</v>
      </c>
      <c r="S14" s="10" t="s">
        <v>834</v>
      </c>
      <c r="T14" s="11" t="s">
        <v>795</v>
      </c>
      <c r="U14" s="10" t="s">
        <v>138</v>
      </c>
      <c r="V14" s="10" t="s">
        <v>116</v>
      </c>
    </row>
    <row r="15" customFormat="false" ht="39.55" hidden="false" customHeight="false" outlineLevel="0" collapsed="false">
      <c r="A15" s="10" t="s">
        <v>141</v>
      </c>
      <c r="B15" s="11" t="s">
        <v>142</v>
      </c>
      <c r="C15" s="10" t="s">
        <v>94</v>
      </c>
      <c r="D15" s="10" t="s">
        <v>127</v>
      </c>
      <c r="E15" s="11" t="s">
        <v>835</v>
      </c>
      <c r="F15" s="10" t="s">
        <v>821</v>
      </c>
      <c r="G15" s="10" t="n">
        <v>4</v>
      </c>
      <c r="H15" s="10" t="n">
        <v>2</v>
      </c>
      <c r="I15" s="10" t="n">
        <v>3</v>
      </c>
      <c r="J15" s="11" t="s">
        <v>789</v>
      </c>
      <c r="K15" s="10" t="n">
        <v>1.5</v>
      </c>
      <c r="L15" s="10"/>
      <c r="M15" s="10" t="s">
        <v>98</v>
      </c>
      <c r="N15" s="10" t="s">
        <v>836</v>
      </c>
      <c r="O15" s="11" t="s">
        <v>791</v>
      </c>
      <c r="P15" s="10" t="n">
        <v>1</v>
      </c>
      <c r="Q15" s="11" t="s">
        <v>792</v>
      </c>
      <c r="R15" s="11" t="s">
        <v>793</v>
      </c>
      <c r="S15" s="11" t="s">
        <v>837</v>
      </c>
      <c r="T15" s="11" t="s">
        <v>795</v>
      </c>
      <c r="U15" s="10" t="s">
        <v>141</v>
      </c>
      <c r="V15" s="10" t="s">
        <v>116</v>
      </c>
    </row>
    <row r="16" customFormat="false" ht="39.55" hidden="false" customHeight="false" outlineLevel="0" collapsed="false">
      <c r="A16" s="10" t="s">
        <v>144</v>
      </c>
      <c r="B16" s="10" t="s">
        <v>146</v>
      </c>
      <c r="C16" s="10" t="s">
        <v>94</v>
      </c>
      <c r="D16" s="10" t="s">
        <v>145</v>
      </c>
      <c r="E16" s="11" t="s">
        <v>838</v>
      </c>
      <c r="F16" s="10" t="s">
        <v>839</v>
      </c>
      <c r="G16" s="10" t="n">
        <v>5</v>
      </c>
      <c r="H16" s="10" t="n">
        <v>2</v>
      </c>
      <c r="I16" s="10" t="n">
        <v>3</v>
      </c>
      <c r="J16" s="11" t="s">
        <v>789</v>
      </c>
      <c r="K16" s="10" t="n">
        <v>1.5</v>
      </c>
      <c r="L16" s="10"/>
      <c r="M16" s="10" t="s">
        <v>98</v>
      </c>
      <c r="N16" s="10" t="s">
        <v>840</v>
      </c>
      <c r="O16" s="11" t="s">
        <v>791</v>
      </c>
      <c r="P16" s="10" t="n">
        <v>1.2</v>
      </c>
      <c r="Q16" s="11" t="s">
        <v>792</v>
      </c>
      <c r="R16" s="11" t="s">
        <v>793</v>
      </c>
      <c r="S16" s="10" t="s">
        <v>841</v>
      </c>
      <c r="T16" s="11" t="s">
        <v>795</v>
      </c>
      <c r="U16" s="10" t="s">
        <v>144</v>
      </c>
      <c r="V16" s="10" t="s">
        <v>100</v>
      </c>
    </row>
    <row r="17" customFormat="false" ht="39.55" hidden="false" customHeight="false" outlineLevel="0" collapsed="false">
      <c r="A17" s="10" t="s">
        <v>148</v>
      </c>
      <c r="B17" s="10" t="s">
        <v>149</v>
      </c>
      <c r="C17" s="10" t="s">
        <v>94</v>
      </c>
      <c r="D17" s="10" t="s">
        <v>145</v>
      </c>
      <c r="E17" s="11" t="s">
        <v>842</v>
      </c>
      <c r="F17" s="10" t="s">
        <v>839</v>
      </c>
      <c r="G17" s="10" t="n">
        <v>5</v>
      </c>
      <c r="H17" s="10" t="n">
        <v>3</v>
      </c>
      <c r="I17" s="10" t="n">
        <v>6</v>
      </c>
      <c r="J17" s="11" t="s">
        <v>825</v>
      </c>
      <c r="K17" s="10" t="n">
        <v>1</v>
      </c>
      <c r="L17" s="10"/>
      <c r="M17" s="10" t="s">
        <v>133</v>
      </c>
      <c r="N17" s="10" t="s">
        <v>843</v>
      </c>
      <c r="O17" s="11" t="s">
        <v>827</v>
      </c>
      <c r="P17" s="10" t="n">
        <v>1.2</v>
      </c>
      <c r="Q17" s="11" t="s">
        <v>792</v>
      </c>
      <c r="R17" s="11" t="s">
        <v>793</v>
      </c>
      <c r="S17" s="10" t="s">
        <v>844</v>
      </c>
      <c r="T17" s="11" t="s">
        <v>795</v>
      </c>
      <c r="U17" s="10" t="s">
        <v>148</v>
      </c>
      <c r="V17" s="10" t="s">
        <v>100</v>
      </c>
    </row>
    <row r="18" customFormat="false" ht="39.55" hidden="false" customHeight="false" outlineLevel="0" collapsed="false">
      <c r="A18" s="10" t="s">
        <v>151</v>
      </c>
      <c r="B18" s="10" t="s">
        <v>152</v>
      </c>
      <c r="C18" s="10" t="s">
        <v>94</v>
      </c>
      <c r="D18" s="10" t="s">
        <v>145</v>
      </c>
      <c r="E18" s="11" t="s">
        <v>845</v>
      </c>
      <c r="F18" s="10" t="s">
        <v>839</v>
      </c>
      <c r="G18" s="10" t="n">
        <v>5</v>
      </c>
      <c r="H18" s="10" t="n">
        <v>3</v>
      </c>
      <c r="I18" s="10" t="n">
        <v>6</v>
      </c>
      <c r="J18" s="11" t="s">
        <v>825</v>
      </c>
      <c r="K18" s="10" t="n">
        <v>1</v>
      </c>
      <c r="L18" s="10"/>
      <c r="M18" s="10" t="s">
        <v>133</v>
      </c>
      <c r="N18" s="10" t="s">
        <v>846</v>
      </c>
      <c r="O18" s="11" t="s">
        <v>827</v>
      </c>
      <c r="P18" s="10" t="n">
        <v>1.2</v>
      </c>
      <c r="Q18" s="11" t="s">
        <v>792</v>
      </c>
      <c r="R18" s="11" t="s">
        <v>793</v>
      </c>
      <c r="S18" s="10" t="s">
        <v>847</v>
      </c>
      <c r="T18" s="11" t="s">
        <v>795</v>
      </c>
      <c r="U18" s="10" t="s">
        <v>151</v>
      </c>
      <c r="V18" s="10" t="s">
        <v>100</v>
      </c>
    </row>
    <row r="19" customFormat="false" ht="39.55" hidden="false" customHeight="false" outlineLevel="0" collapsed="false">
      <c r="A19" s="10" t="s">
        <v>154</v>
      </c>
      <c r="B19" s="10" t="s">
        <v>155</v>
      </c>
      <c r="C19" s="10" t="s">
        <v>94</v>
      </c>
      <c r="D19" s="10" t="s">
        <v>145</v>
      </c>
      <c r="E19" s="11" t="s">
        <v>848</v>
      </c>
      <c r="F19" s="10" t="s">
        <v>839</v>
      </c>
      <c r="G19" s="10" t="n">
        <v>5</v>
      </c>
      <c r="H19" s="10" t="n">
        <v>2</v>
      </c>
      <c r="I19" s="10" t="n">
        <v>3</v>
      </c>
      <c r="J19" s="11" t="s">
        <v>789</v>
      </c>
      <c r="K19" s="10" t="n">
        <v>1.5</v>
      </c>
      <c r="L19" s="10"/>
      <c r="M19" s="10" t="s">
        <v>98</v>
      </c>
      <c r="N19" s="10" t="s">
        <v>849</v>
      </c>
      <c r="O19" s="11" t="s">
        <v>791</v>
      </c>
      <c r="P19" s="10" t="n">
        <v>1</v>
      </c>
      <c r="Q19" s="11" t="s">
        <v>792</v>
      </c>
      <c r="R19" s="11" t="s">
        <v>793</v>
      </c>
      <c r="S19" s="10" t="s">
        <v>850</v>
      </c>
      <c r="T19" s="11" t="s">
        <v>795</v>
      </c>
      <c r="U19" s="10" t="s">
        <v>154</v>
      </c>
      <c r="V19" s="10" t="s">
        <v>116</v>
      </c>
    </row>
    <row r="20" customFormat="false" ht="39.55" hidden="false" customHeight="false" outlineLevel="0" collapsed="false">
      <c r="A20" s="10" t="s">
        <v>157</v>
      </c>
      <c r="B20" s="11" t="s">
        <v>158</v>
      </c>
      <c r="C20" s="10" t="s">
        <v>94</v>
      </c>
      <c r="D20" s="10" t="s">
        <v>145</v>
      </c>
      <c r="E20" s="11" t="s">
        <v>851</v>
      </c>
      <c r="F20" s="10" t="s">
        <v>839</v>
      </c>
      <c r="G20" s="10" t="n">
        <v>5</v>
      </c>
      <c r="H20" s="10" t="n">
        <v>2</v>
      </c>
      <c r="I20" s="10" t="n">
        <v>3</v>
      </c>
      <c r="J20" s="11" t="s">
        <v>789</v>
      </c>
      <c r="K20" s="10" t="n">
        <v>1.5</v>
      </c>
      <c r="L20" s="10"/>
      <c r="M20" s="10" t="s">
        <v>98</v>
      </c>
      <c r="N20" s="10" t="s">
        <v>852</v>
      </c>
      <c r="O20" s="11" t="s">
        <v>791</v>
      </c>
      <c r="P20" s="10" t="n">
        <v>1.2</v>
      </c>
      <c r="Q20" s="11" t="s">
        <v>792</v>
      </c>
      <c r="R20" s="11" t="s">
        <v>793</v>
      </c>
      <c r="S20" s="11" t="s">
        <v>853</v>
      </c>
      <c r="T20" s="11" t="s">
        <v>795</v>
      </c>
      <c r="U20" s="10" t="s">
        <v>157</v>
      </c>
      <c r="V20" s="10" t="s">
        <v>116</v>
      </c>
    </row>
    <row r="21" customFormat="false" ht="39.55" hidden="false" customHeight="false" outlineLevel="0" collapsed="false">
      <c r="A21" s="10" t="s">
        <v>160</v>
      </c>
      <c r="B21" s="11" t="s">
        <v>161</v>
      </c>
      <c r="C21" s="10" t="s">
        <v>94</v>
      </c>
      <c r="D21" s="10" t="s">
        <v>145</v>
      </c>
      <c r="E21" s="10" t="s">
        <v>854</v>
      </c>
      <c r="F21" s="10" t="s">
        <v>839</v>
      </c>
      <c r="G21" s="10" t="n">
        <v>5</v>
      </c>
      <c r="H21" s="10" t="n">
        <v>3</v>
      </c>
      <c r="I21" s="10" t="n">
        <v>6</v>
      </c>
      <c r="J21" s="11" t="s">
        <v>825</v>
      </c>
      <c r="K21" s="10" t="n">
        <v>1</v>
      </c>
      <c r="L21" s="10"/>
      <c r="M21" s="10" t="s">
        <v>133</v>
      </c>
      <c r="N21" s="10" t="s">
        <v>855</v>
      </c>
      <c r="O21" s="11" t="s">
        <v>827</v>
      </c>
      <c r="P21" s="10" t="n">
        <v>1</v>
      </c>
      <c r="Q21" s="11" t="s">
        <v>792</v>
      </c>
      <c r="R21" s="11" t="s">
        <v>793</v>
      </c>
      <c r="S21" s="11" t="s">
        <v>856</v>
      </c>
      <c r="T21" s="11" t="s">
        <v>795</v>
      </c>
      <c r="U21" s="10" t="s">
        <v>160</v>
      </c>
      <c r="V21" s="10" t="s">
        <v>116</v>
      </c>
    </row>
    <row r="22" customFormat="false" ht="39.55" hidden="false" customHeight="false" outlineLevel="0" collapsed="false">
      <c r="A22" s="10" t="s">
        <v>163</v>
      </c>
      <c r="B22" s="11" t="s">
        <v>164</v>
      </c>
      <c r="C22" s="10" t="s">
        <v>94</v>
      </c>
      <c r="D22" s="10" t="s">
        <v>145</v>
      </c>
      <c r="E22" s="11" t="s">
        <v>857</v>
      </c>
      <c r="F22" s="10" t="s">
        <v>839</v>
      </c>
      <c r="G22" s="10" t="n">
        <v>5</v>
      </c>
      <c r="H22" s="10" t="n">
        <v>3</v>
      </c>
      <c r="I22" s="10" t="n">
        <v>6</v>
      </c>
      <c r="J22" s="11" t="s">
        <v>825</v>
      </c>
      <c r="K22" s="10" t="n">
        <v>1</v>
      </c>
      <c r="L22" s="10"/>
      <c r="M22" s="10" t="s">
        <v>133</v>
      </c>
      <c r="N22" s="10" t="s">
        <v>858</v>
      </c>
      <c r="O22" s="11" t="s">
        <v>827</v>
      </c>
      <c r="P22" s="10" t="n">
        <v>1</v>
      </c>
      <c r="Q22" s="11" t="s">
        <v>792</v>
      </c>
      <c r="R22" s="11" t="s">
        <v>793</v>
      </c>
      <c r="S22" s="11" t="s">
        <v>859</v>
      </c>
      <c r="T22" s="11" t="s">
        <v>795</v>
      </c>
      <c r="U22" s="10" t="s">
        <v>163</v>
      </c>
      <c r="V22" s="10" t="s">
        <v>116</v>
      </c>
    </row>
    <row r="23" customFormat="false" ht="39.55" hidden="false" customHeight="false" outlineLevel="0" collapsed="false">
      <c r="A23" s="10" t="s">
        <v>167</v>
      </c>
      <c r="B23" s="10" t="s">
        <v>168</v>
      </c>
      <c r="C23" s="10" t="s">
        <v>94</v>
      </c>
      <c r="D23" s="10" t="s">
        <v>145</v>
      </c>
      <c r="E23" s="10" t="s">
        <v>860</v>
      </c>
      <c r="F23" s="10" t="s">
        <v>839</v>
      </c>
      <c r="G23" s="10" t="n">
        <v>5</v>
      </c>
      <c r="H23" s="10" t="n">
        <v>2</v>
      </c>
      <c r="I23" s="10" t="n">
        <v>3</v>
      </c>
      <c r="J23" s="11" t="s">
        <v>789</v>
      </c>
      <c r="K23" s="10" t="n">
        <v>1.5</v>
      </c>
      <c r="L23" s="10"/>
      <c r="M23" s="10" t="s">
        <v>98</v>
      </c>
      <c r="N23" s="10" t="s">
        <v>861</v>
      </c>
      <c r="O23" s="11" t="s">
        <v>791</v>
      </c>
      <c r="P23" s="10" t="n">
        <v>1</v>
      </c>
      <c r="Q23" s="11" t="s">
        <v>792</v>
      </c>
      <c r="R23" s="11" t="s">
        <v>793</v>
      </c>
      <c r="S23" s="10" t="s">
        <v>862</v>
      </c>
      <c r="T23" s="11" t="s">
        <v>795</v>
      </c>
      <c r="U23" s="10" t="s">
        <v>167</v>
      </c>
      <c r="V23" s="10" t="s">
        <v>116</v>
      </c>
    </row>
    <row r="24" customFormat="false" ht="39.55" hidden="false" customHeight="false" outlineLevel="0" collapsed="false">
      <c r="A24" s="10" t="s">
        <v>170</v>
      </c>
      <c r="B24" s="10" t="s">
        <v>172</v>
      </c>
      <c r="C24" s="10" t="s">
        <v>94</v>
      </c>
      <c r="D24" s="10" t="s">
        <v>171</v>
      </c>
      <c r="E24" s="10" t="s">
        <v>863</v>
      </c>
      <c r="F24" s="11" t="s">
        <v>864</v>
      </c>
      <c r="G24" s="10" t="n">
        <v>4</v>
      </c>
      <c r="H24" s="10" t="n">
        <v>2</v>
      </c>
      <c r="I24" s="10" t="n">
        <v>3</v>
      </c>
      <c r="J24" s="11" t="s">
        <v>789</v>
      </c>
      <c r="K24" s="10" t="n">
        <v>1.5</v>
      </c>
      <c r="L24" s="10"/>
      <c r="M24" s="10" t="s">
        <v>98</v>
      </c>
      <c r="N24" s="10" t="s">
        <v>865</v>
      </c>
      <c r="O24" s="11" t="s">
        <v>791</v>
      </c>
      <c r="P24" s="10" t="n">
        <v>1.2</v>
      </c>
      <c r="Q24" s="11" t="s">
        <v>792</v>
      </c>
      <c r="R24" s="11" t="s">
        <v>793</v>
      </c>
      <c r="S24" s="10" t="s">
        <v>866</v>
      </c>
      <c r="T24" s="11" t="s">
        <v>795</v>
      </c>
      <c r="U24" s="10" t="s">
        <v>170</v>
      </c>
      <c r="V24" s="10" t="s">
        <v>100</v>
      </c>
    </row>
    <row r="25" customFormat="false" ht="39.55" hidden="false" customHeight="false" outlineLevel="0" collapsed="false">
      <c r="A25" s="10" t="s">
        <v>174</v>
      </c>
      <c r="B25" s="11" t="s">
        <v>175</v>
      </c>
      <c r="C25" s="10" t="s">
        <v>94</v>
      </c>
      <c r="D25" s="10" t="s">
        <v>171</v>
      </c>
      <c r="E25" s="10" t="s">
        <v>867</v>
      </c>
      <c r="F25" s="11" t="s">
        <v>864</v>
      </c>
      <c r="G25" s="10" t="n">
        <v>4</v>
      </c>
      <c r="H25" s="10" t="n">
        <v>3</v>
      </c>
      <c r="I25" s="10" t="n">
        <v>6</v>
      </c>
      <c r="J25" s="11" t="s">
        <v>825</v>
      </c>
      <c r="K25" s="10" t="n">
        <v>1</v>
      </c>
      <c r="L25" s="10"/>
      <c r="M25" s="10" t="s">
        <v>133</v>
      </c>
      <c r="N25" s="10" t="s">
        <v>818</v>
      </c>
      <c r="O25" s="11" t="s">
        <v>827</v>
      </c>
      <c r="P25" s="10" t="n">
        <v>1</v>
      </c>
      <c r="Q25" s="11" t="s">
        <v>792</v>
      </c>
      <c r="R25" s="11" t="s">
        <v>793</v>
      </c>
      <c r="S25" s="11" t="s">
        <v>868</v>
      </c>
      <c r="T25" s="11" t="s">
        <v>795</v>
      </c>
      <c r="U25" s="10" t="s">
        <v>174</v>
      </c>
      <c r="V25" s="10" t="s">
        <v>100</v>
      </c>
    </row>
    <row r="26" customFormat="false" ht="39.55" hidden="false" customHeight="false" outlineLevel="0" collapsed="false">
      <c r="A26" s="10" t="s">
        <v>177</v>
      </c>
      <c r="B26" s="11" t="s">
        <v>178</v>
      </c>
      <c r="C26" s="10" t="s">
        <v>94</v>
      </c>
      <c r="D26" s="10" t="s">
        <v>171</v>
      </c>
      <c r="E26" s="11" t="s">
        <v>869</v>
      </c>
      <c r="F26" s="11" t="s">
        <v>864</v>
      </c>
      <c r="G26" s="10" t="n">
        <v>4</v>
      </c>
      <c r="H26" s="10" t="n">
        <v>2</v>
      </c>
      <c r="I26" s="10" t="n">
        <v>3</v>
      </c>
      <c r="J26" s="11" t="s">
        <v>789</v>
      </c>
      <c r="K26" s="10" t="n">
        <v>1.5</v>
      </c>
      <c r="L26" s="10"/>
      <c r="M26" s="10" t="s">
        <v>98</v>
      </c>
      <c r="N26" s="10" t="s">
        <v>870</v>
      </c>
      <c r="O26" s="11" t="s">
        <v>791</v>
      </c>
      <c r="P26" s="10" t="n">
        <v>1</v>
      </c>
      <c r="Q26" s="11" t="s">
        <v>792</v>
      </c>
      <c r="R26" s="11" t="s">
        <v>793</v>
      </c>
      <c r="S26" s="11" t="s">
        <v>871</v>
      </c>
      <c r="T26" s="11" t="s">
        <v>795</v>
      </c>
      <c r="U26" s="10" t="s">
        <v>177</v>
      </c>
      <c r="V26" s="10" t="s">
        <v>100</v>
      </c>
    </row>
    <row r="27" customFormat="false" ht="39.55" hidden="false" customHeight="false" outlineLevel="0" collapsed="false">
      <c r="A27" s="10" t="s">
        <v>180</v>
      </c>
      <c r="B27" s="10" t="s">
        <v>181</v>
      </c>
      <c r="C27" s="10" t="s">
        <v>94</v>
      </c>
      <c r="D27" s="10" t="s">
        <v>171</v>
      </c>
      <c r="E27" s="11" t="s">
        <v>872</v>
      </c>
      <c r="F27" s="11" t="s">
        <v>864</v>
      </c>
      <c r="G27" s="10" t="n">
        <v>4</v>
      </c>
      <c r="H27" s="10" t="n">
        <v>3</v>
      </c>
      <c r="I27" s="10" t="n">
        <v>6</v>
      </c>
      <c r="J27" s="11" t="s">
        <v>825</v>
      </c>
      <c r="K27" s="10" t="n">
        <v>1</v>
      </c>
      <c r="L27" s="10"/>
      <c r="M27" s="10" t="s">
        <v>133</v>
      </c>
      <c r="N27" s="10" t="s">
        <v>873</v>
      </c>
      <c r="O27" s="11" t="s">
        <v>827</v>
      </c>
      <c r="P27" s="10" t="n">
        <v>1.2</v>
      </c>
      <c r="Q27" s="11" t="s">
        <v>792</v>
      </c>
      <c r="R27" s="11" t="s">
        <v>793</v>
      </c>
      <c r="S27" s="10" t="s">
        <v>874</v>
      </c>
      <c r="T27" s="11" t="s">
        <v>795</v>
      </c>
      <c r="U27" s="10" t="s">
        <v>180</v>
      </c>
      <c r="V27" s="10" t="s">
        <v>116</v>
      </c>
    </row>
    <row r="28" customFormat="false" ht="39.55" hidden="false" customHeight="false" outlineLevel="0" collapsed="false">
      <c r="A28" s="10" t="s">
        <v>183</v>
      </c>
      <c r="B28" s="11" t="s">
        <v>184</v>
      </c>
      <c r="C28" s="10" t="s">
        <v>94</v>
      </c>
      <c r="D28" s="10" t="s">
        <v>171</v>
      </c>
      <c r="E28" s="10" t="s">
        <v>875</v>
      </c>
      <c r="F28" s="11" t="s">
        <v>864</v>
      </c>
      <c r="G28" s="10" t="n">
        <v>4</v>
      </c>
      <c r="H28" s="10" t="n">
        <v>2</v>
      </c>
      <c r="I28" s="10" t="n">
        <v>3</v>
      </c>
      <c r="J28" s="11" t="s">
        <v>789</v>
      </c>
      <c r="K28" s="10" t="n">
        <v>1.5</v>
      </c>
      <c r="L28" s="10"/>
      <c r="M28" s="10" t="s">
        <v>98</v>
      </c>
      <c r="N28" s="10" t="s">
        <v>876</v>
      </c>
      <c r="O28" s="11" t="s">
        <v>791</v>
      </c>
      <c r="P28" s="10" t="n">
        <v>1.2</v>
      </c>
      <c r="Q28" s="11" t="s">
        <v>792</v>
      </c>
      <c r="R28" s="11" t="s">
        <v>793</v>
      </c>
      <c r="S28" s="11" t="s">
        <v>877</v>
      </c>
      <c r="T28" s="11" t="s">
        <v>795</v>
      </c>
      <c r="U28" s="10" t="s">
        <v>183</v>
      </c>
      <c r="V28" s="10" t="s">
        <v>116</v>
      </c>
    </row>
    <row r="29" customFormat="false" ht="39.55" hidden="false" customHeight="false" outlineLevel="0" collapsed="false">
      <c r="A29" s="10" t="s">
        <v>186</v>
      </c>
      <c r="B29" s="11" t="s">
        <v>188</v>
      </c>
      <c r="C29" s="10" t="s">
        <v>94</v>
      </c>
      <c r="D29" s="10" t="s">
        <v>187</v>
      </c>
      <c r="E29" s="10" t="s">
        <v>878</v>
      </c>
      <c r="F29" s="11" t="s">
        <v>879</v>
      </c>
      <c r="G29" s="10" t="n">
        <v>4</v>
      </c>
      <c r="H29" s="10" t="n">
        <v>2</v>
      </c>
      <c r="I29" s="10" t="n">
        <v>3</v>
      </c>
      <c r="J29" s="11" t="s">
        <v>789</v>
      </c>
      <c r="K29" s="10" t="n">
        <v>1.5</v>
      </c>
      <c r="L29" s="10"/>
      <c r="M29" s="10" t="s">
        <v>98</v>
      </c>
      <c r="N29" s="10" t="s">
        <v>880</v>
      </c>
      <c r="O29" s="11" t="s">
        <v>791</v>
      </c>
      <c r="P29" s="10" t="n">
        <v>1.2</v>
      </c>
      <c r="Q29" s="11" t="s">
        <v>792</v>
      </c>
      <c r="R29" s="11" t="s">
        <v>793</v>
      </c>
      <c r="S29" s="11" t="s">
        <v>881</v>
      </c>
      <c r="T29" s="11" t="s">
        <v>795</v>
      </c>
      <c r="U29" s="10" t="s">
        <v>186</v>
      </c>
      <c r="V29" s="10" t="s">
        <v>100</v>
      </c>
    </row>
    <row r="30" customFormat="false" ht="39.55" hidden="false" customHeight="false" outlineLevel="0" collapsed="false">
      <c r="A30" s="10" t="s">
        <v>190</v>
      </c>
      <c r="B30" s="10" t="s">
        <v>191</v>
      </c>
      <c r="C30" s="10" t="s">
        <v>94</v>
      </c>
      <c r="D30" s="10" t="s">
        <v>187</v>
      </c>
      <c r="E30" s="11" t="s">
        <v>882</v>
      </c>
      <c r="F30" s="11" t="s">
        <v>879</v>
      </c>
      <c r="G30" s="10" t="n">
        <v>4</v>
      </c>
      <c r="H30" s="10" t="n">
        <v>2</v>
      </c>
      <c r="I30" s="10" t="n">
        <v>3</v>
      </c>
      <c r="J30" s="11" t="s">
        <v>789</v>
      </c>
      <c r="K30" s="10" t="n">
        <v>1.5</v>
      </c>
      <c r="L30" s="10"/>
      <c r="M30" s="10" t="s">
        <v>98</v>
      </c>
      <c r="N30" s="10" t="s">
        <v>883</v>
      </c>
      <c r="O30" s="11" t="s">
        <v>791</v>
      </c>
      <c r="P30" s="10" t="n">
        <v>1</v>
      </c>
      <c r="Q30" s="11" t="s">
        <v>792</v>
      </c>
      <c r="R30" s="11" t="s">
        <v>793</v>
      </c>
      <c r="S30" s="10" t="s">
        <v>884</v>
      </c>
      <c r="T30" s="11" t="s">
        <v>795</v>
      </c>
      <c r="U30" s="10" t="s">
        <v>190</v>
      </c>
      <c r="V30" s="10" t="s">
        <v>116</v>
      </c>
    </row>
    <row r="31" customFormat="false" ht="39.55" hidden="false" customHeight="false" outlineLevel="0" collapsed="false">
      <c r="A31" s="10" t="s">
        <v>193</v>
      </c>
      <c r="B31" s="11" t="s">
        <v>194</v>
      </c>
      <c r="C31" s="10" t="s">
        <v>94</v>
      </c>
      <c r="D31" s="10" t="s">
        <v>187</v>
      </c>
      <c r="E31" s="10" t="s">
        <v>885</v>
      </c>
      <c r="F31" s="11" t="s">
        <v>879</v>
      </c>
      <c r="G31" s="10" t="n">
        <v>4</v>
      </c>
      <c r="H31" s="10" t="n">
        <v>2</v>
      </c>
      <c r="I31" s="10" t="n">
        <v>3</v>
      </c>
      <c r="J31" s="11" t="s">
        <v>789</v>
      </c>
      <c r="K31" s="10" t="n">
        <v>1.5</v>
      </c>
      <c r="L31" s="10"/>
      <c r="M31" s="10" t="s">
        <v>98</v>
      </c>
      <c r="N31" s="10" t="s">
        <v>886</v>
      </c>
      <c r="O31" s="11" t="s">
        <v>791</v>
      </c>
      <c r="P31" s="10" t="n">
        <v>1</v>
      </c>
      <c r="Q31" s="11" t="s">
        <v>792</v>
      </c>
      <c r="R31" s="11" t="s">
        <v>793</v>
      </c>
      <c r="S31" s="11" t="s">
        <v>887</v>
      </c>
      <c r="T31" s="11" t="s">
        <v>795</v>
      </c>
      <c r="U31" s="10" t="s">
        <v>193</v>
      </c>
      <c r="V31" s="10" t="s">
        <v>116</v>
      </c>
    </row>
    <row r="32" customFormat="false" ht="39.55" hidden="false" customHeight="false" outlineLevel="0" collapsed="false">
      <c r="A32" s="10" t="s">
        <v>196</v>
      </c>
      <c r="B32" s="10" t="s">
        <v>197</v>
      </c>
      <c r="C32" s="10" t="s">
        <v>94</v>
      </c>
      <c r="D32" s="10" t="s">
        <v>187</v>
      </c>
      <c r="E32" s="10" t="s">
        <v>888</v>
      </c>
      <c r="F32" s="11" t="s">
        <v>879</v>
      </c>
      <c r="G32" s="10" t="n">
        <v>4</v>
      </c>
      <c r="H32" s="10" t="n">
        <v>3</v>
      </c>
      <c r="I32" s="10" t="n">
        <v>6</v>
      </c>
      <c r="J32" s="11" t="s">
        <v>825</v>
      </c>
      <c r="K32" s="10" t="n">
        <v>1</v>
      </c>
      <c r="L32" s="10"/>
      <c r="M32" s="10" t="s">
        <v>133</v>
      </c>
      <c r="N32" s="10" t="s">
        <v>889</v>
      </c>
      <c r="O32" s="11" t="s">
        <v>827</v>
      </c>
      <c r="P32" s="10" t="n">
        <v>1</v>
      </c>
      <c r="Q32" s="11" t="s">
        <v>792</v>
      </c>
      <c r="R32" s="11" t="s">
        <v>793</v>
      </c>
      <c r="S32" s="10" t="s">
        <v>890</v>
      </c>
      <c r="T32" s="11" t="s">
        <v>795</v>
      </c>
      <c r="U32" s="10" t="s">
        <v>196</v>
      </c>
      <c r="V32" s="10" t="s">
        <v>116</v>
      </c>
    </row>
    <row r="33" customFormat="false" ht="39.55" hidden="false" customHeight="false" outlineLevel="0" collapsed="false">
      <c r="A33" s="10" t="s">
        <v>199</v>
      </c>
      <c r="B33" s="11" t="s">
        <v>201</v>
      </c>
      <c r="C33" s="10" t="s">
        <v>94</v>
      </c>
      <c r="D33" s="10" t="s">
        <v>200</v>
      </c>
      <c r="E33" s="10" t="s">
        <v>891</v>
      </c>
      <c r="F33" s="11" t="s">
        <v>892</v>
      </c>
      <c r="G33" s="10" t="n">
        <v>3</v>
      </c>
      <c r="H33" s="10" t="n">
        <v>3</v>
      </c>
      <c r="I33" s="10" t="n">
        <v>6</v>
      </c>
      <c r="J33" s="11" t="s">
        <v>825</v>
      </c>
      <c r="K33" s="10" t="n">
        <v>1</v>
      </c>
      <c r="L33" s="10"/>
      <c r="M33" s="10" t="s">
        <v>133</v>
      </c>
      <c r="N33" s="10" t="s">
        <v>893</v>
      </c>
      <c r="O33" s="11" t="s">
        <v>827</v>
      </c>
      <c r="P33" s="10" t="n">
        <v>1.2</v>
      </c>
      <c r="Q33" s="11" t="s">
        <v>792</v>
      </c>
      <c r="R33" s="11" t="s">
        <v>793</v>
      </c>
      <c r="S33" s="11" t="s">
        <v>894</v>
      </c>
      <c r="T33" s="11" t="s">
        <v>795</v>
      </c>
      <c r="U33" s="10" t="s">
        <v>199</v>
      </c>
      <c r="V33" s="10" t="s">
        <v>100</v>
      </c>
    </row>
    <row r="34" customFormat="false" ht="39.55" hidden="false" customHeight="false" outlineLevel="0" collapsed="false">
      <c r="A34" s="10" t="s">
        <v>204</v>
      </c>
      <c r="B34" s="11" t="s">
        <v>205</v>
      </c>
      <c r="C34" s="10" t="s">
        <v>94</v>
      </c>
      <c r="D34" s="10" t="s">
        <v>200</v>
      </c>
      <c r="E34" s="10" t="s">
        <v>895</v>
      </c>
      <c r="F34" s="11" t="s">
        <v>892</v>
      </c>
      <c r="G34" s="10" t="n">
        <v>3</v>
      </c>
      <c r="H34" s="10" t="n">
        <v>3</v>
      </c>
      <c r="I34" s="10" t="n">
        <v>6</v>
      </c>
      <c r="J34" s="11" t="s">
        <v>825</v>
      </c>
      <c r="K34" s="10" t="n">
        <v>1</v>
      </c>
      <c r="L34" s="10"/>
      <c r="M34" s="10" t="s">
        <v>133</v>
      </c>
      <c r="N34" s="10" t="s">
        <v>896</v>
      </c>
      <c r="O34" s="11" t="s">
        <v>827</v>
      </c>
      <c r="P34" s="10" t="n">
        <v>1.2</v>
      </c>
      <c r="Q34" s="11" t="s">
        <v>792</v>
      </c>
      <c r="R34" s="11" t="s">
        <v>793</v>
      </c>
      <c r="S34" s="11" t="s">
        <v>897</v>
      </c>
      <c r="T34" s="11" t="s">
        <v>795</v>
      </c>
      <c r="U34" s="10" t="s">
        <v>204</v>
      </c>
      <c r="V34" s="10" t="s">
        <v>100</v>
      </c>
    </row>
    <row r="35" customFormat="false" ht="39.55" hidden="false" customHeight="false" outlineLevel="0" collapsed="false">
      <c r="A35" s="10" t="s">
        <v>207</v>
      </c>
      <c r="B35" s="10" t="s">
        <v>208</v>
      </c>
      <c r="C35" s="10" t="s">
        <v>94</v>
      </c>
      <c r="D35" s="10" t="s">
        <v>200</v>
      </c>
      <c r="E35" s="10" t="s">
        <v>898</v>
      </c>
      <c r="F35" s="11" t="s">
        <v>892</v>
      </c>
      <c r="G35" s="10" t="n">
        <v>3</v>
      </c>
      <c r="H35" s="10" t="n">
        <v>3</v>
      </c>
      <c r="I35" s="10" t="n">
        <v>6</v>
      </c>
      <c r="J35" s="11" t="s">
        <v>825</v>
      </c>
      <c r="K35" s="10" t="n">
        <v>1</v>
      </c>
      <c r="L35" s="10"/>
      <c r="M35" s="10" t="s">
        <v>133</v>
      </c>
      <c r="N35" s="10" t="s">
        <v>873</v>
      </c>
      <c r="O35" s="11" t="s">
        <v>827</v>
      </c>
      <c r="P35" s="10" t="n">
        <v>1.2</v>
      </c>
      <c r="Q35" s="11" t="s">
        <v>792</v>
      </c>
      <c r="R35" s="11" t="s">
        <v>793</v>
      </c>
      <c r="S35" s="10" t="s">
        <v>899</v>
      </c>
      <c r="T35" s="11" t="s">
        <v>795</v>
      </c>
      <c r="U35" s="10" t="s">
        <v>207</v>
      </c>
      <c r="V35" s="10" t="s">
        <v>116</v>
      </c>
    </row>
    <row r="36" customFormat="false" ht="39.55" hidden="false" customHeight="false" outlineLevel="0" collapsed="false">
      <c r="A36" s="10" t="s">
        <v>210</v>
      </c>
      <c r="B36" s="11" t="s">
        <v>211</v>
      </c>
      <c r="C36" s="10" t="s">
        <v>94</v>
      </c>
      <c r="D36" s="10" t="s">
        <v>200</v>
      </c>
      <c r="E36" s="10" t="s">
        <v>900</v>
      </c>
      <c r="F36" s="11" t="s">
        <v>892</v>
      </c>
      <c r="G36" s="10" t="n">
        <v>3</v>
      </c>
      <c r="H36" s="10" t="n">
        <v>2</v>
      </c>
      <c r="I36" s="10" t="n">
        <v>3</v>
      </c>
      <c r="J36" s="11" t="s">
        <v>789</v>
      </c>
      <c r="K36" s="10" t="n">
        <v>1.5</v>
      </c>
      <c r="L36" s="10"/>
      <c r="M36" s="10" t="s">
        <v>98</v>
      </c>
      <c r="N36" s="10" t="s">
        <v>901</v>
      </c>
      <c r="O36" s="11" t="s">
        <v>791</v>
      </c>
      <c r="P36" s="10" t="n">
        <v>1.2</v>
      </c>
      <c r="Q36" s="11" t="s">
        <v>792</v>
      </c>
      <c r="R36" s="11" t="s">
        <v>793</v>
      </c>
      <c r="S36" s="11" t="s">
        <v>902</v>
      </c>
      <c r="T36" s="11" t="s">
        <v>795</v>
      </c>
      <c r="U36" s="10" t="s">
        <v>210</v>
      </c>
      <c r="V36" s="10" t="s">
        <v>116</v>
      </c>
    </row>
    <row r="37" customFormat="false" ht="39.55" hidden="false" customHeight="false" outlineLevel="0" collapsed="false">
      <c r="A37" s="10" t="s">
        <v>213</v>
      </c>
      <c r="B37" s="11" t="s">
        <v>214</v>
      </c>
      <c r="C37" s="10" t="s">
        <v>94</v>
      </c>
      <c r="D37" s="10" t="s">
        <v>200</v>
      </c>
      <c r="E37" s="10" t="s">
        <v>903</v>
      </c>
      <c r="F37" s="11" t="s">
        <v>892</v>
      </c>
      <c r="G37" s="10" t="n">
        <v>3</v>
      </c>
      <c r="H37" s="10" t="n">
        <v>2</v>
      </c>
      <c r="I37" s="10" t="n">
        <v>3</v>
      </c>
      <c r="J37" s="11" t="s">
        <v>789</v>
      </c>
      <c r="K37" s="10" t="n">
        <v>1.5</v>
      </c>
      <c r="L37" s="10"/>
      <c r="M37" s="10" t="s">
        <v>98</v>
      </c>
      <c r="N37" s="10" t="s">
        <v>904</v>
      </c>
      <c r="O37" s="11" t="s">
        <v>791</v>
      </c>
      <c r="P37" s="10" t="n">
        <v>1</v>
      </c>
      <c r="Q37" s="11" t="s">
        <v>792</v>
      </c>
      <c r="R37" s="11" t="s">
        <v>793</v>
      </c>
      <c r="S37" s="11" t="s">
        <v>905</v>
      </c>
      <c r="T37" s="11" t="s">
        <v>795</v>
      </c>
      <c r="U37" s="10" t="s">
        <v>213</v>
      </c>
      <c r="V37" s="10" t="s">
        <v>116</v>
      </c>
    </row>
    <row r="38" customFormat="false" ht="39.55" hidden="false" customHeight="false" outlineLevel="0" collapsed="false">
      <c r="A38" s="10" t="s">
        <v>216</v>
      </c>
      <c r="B38" s="10" t="s">
        <v>219</v>
      </c>
      <c r="C38" s="10" t="s">
        <v>217</v>
      </c>
      <c r="D38" s="10" t="s">
        <v>218</v>
      </c>
      <c r="E38" s="11" t="s">
        <v>906</v>
      </c>
      <c r="F38" s="10" t="s">
        <v>907</v>
      </c>
      <c r="G38" s="10" t="n">
        <v>4</v>
      </c>
      <c r="H38" s="10" t="n">
        <v>3</v>
      </c>
      <c r="I38" s="10" t="n">
        <v>6</v>
      </c>
      <c r="J38" s="11" t="s">
        <v>825</v>
      </c>
      <c r="K38" s="10" t="n">
        <v>1.5</v>
      </c>
      <c r="L38" s="10"/>
      <c r="M38" s="10" t="s">
        <v>98</v>
      </c>
      <c r="N38" s="10" t="s">
        <v>908</v>
      </c>
      <c r="O38" s="11" t="s">
        <v>827</v>
      </c>
      <c r="P38" s="10" t="n">
        <v>1</v>
      </c>
      <c r="Q38" s="11" t="s">
        <v>909</v>
      </c>
      <c r="R38" s="11" t="s">
        <v>910</v>
      </c>
      <c r="S38" s="10" t="s">
        <v>911</v>
      </c>
      <c r="T38" s="11" t="s">
        <v>912</v>
      </c>
      <c r="U38" s="10" t="s">
        <v>216</v>
      </c>
      <c r="V38" s="10" t="s">
        <v>100</v>
      </c>
    </row>
    <row r="39" customFormat="false" ht="39.55" hidden="false" customHeight="false" outlineLevel="0" collapsed="false">
      <c r="A39" s="10" t="s">
        <v>221</v>
      </c>
      <c r="B39" s="10" t="s">
        <v>222</v>
      </c>
      <c r="C39" s="10" t="s">
        <v>217</v>
      </c>
      <c r="D39" s="10" t="s">
        <v>218</v>
      </c>
      <c r="E39" s="10" t="s">
        <v>913</v>
      </c>
      <c r="F39" s="10" t="s">
        <v>907</v>
      </c>
      <c r="G39" s="10" t="n">
        <v>4</v>
      </c>
      <c r="H39" s="10" t="n">
        <v>3</v>
      </c>
      <c r="I39" s="10" t="n">
        <v>6</v>
      </c>
      <c r="J39" s="11" t="s">
        <v>825</v>
      </c>
      <c r="K39" s="10" t="n">
        <v>1.5</v>
      </c>
      <c r="L39" s="10"/>
      <c r="M39" s="10" t="s">
        <v>98</v>
      </c>
      <c r="N39" s="10" t="s">
        <v>914</v>
      </c>
      <c r="O39" s="11" t="s">
        <v>827</v>
      </c>
      <c r="P39" s="10" t="n">
        <v>1</v>
      </c>
      <c r="Q39" s="11" t="s">
        <v>909</v>
      </c>
      <c r="R39" s="11" t="s">
        <v>910</v>
      </c>
      <c r="S39" s="10" t="s">
        <v>915</v>
      </c>
      <c r="T39" s="11" t="s">
        <v>912</v>
      </c>
      <c r="U39" s="10" t="s">
        <v>221</v>
      </c>
      <c r="V39" s="10" t="s">
        <v>100</v>
      </c>
    </row>
    <row r="40" customFormat="false" ht="39.55" hidden="false" customHeight="false" outlineLevel="0" collapsed="false">
      <c r="A40" s="10" t="s">
        <v>224</v>
      </c>
      <c r="B40" s="10" t="s">
        <v>225</v>
      </c>
      <c r="C40" s="10" t="s">
        <v>217</v>
      </c>
      <c r="D40" s="10" t="s">
        <v>218</v>
      </c>
      <c r="E40" s="11" t="s">
        <v>916</v>
      </c>
      <c r="F40" s="10" t="s">
        <v>907</v>
      </c>
      <c r="G40" s="10" t="n">
        <v>4</v>
      </c>
      <c r="H40" s="10" t="n">
        <v>4</v>
      </c>
      <c r="I40" s="10" t="n">
        <v>9</v>
      </c>
      <c r="J40" s="11" t="s">
        <v>917</v>
      </c>
      <c r="K40" s="10" t="n">
        <v>1</v>
      </c>
      <c r="L40" s="10"/>
      <c r="M40" s="10" t="s">
        <v>133</v>
      </c>
      <c r="N40" s="10" t="s">
        <v>918</v>
      </c>
      <c r="O40" s="11" t="s">
        <v>919</v>
      </c>
      <c r="P40" s="10" t="n">
        <v>1</v>
      </c>
      <c r="Q40" s="11" t="s">
        <v>909</v>
      </c>
      <c r="R40" s="11" t="s">
        <v>910</v>
      </c>
      <c r="S40" s="10" t="s">
        <v>920</v>
      </c>
      <c r="T40" s="11" t="s">
        <v>912</v>
      </c>
      <c r="U40" s="10" t="s">
        <v>224</v>
      </c>
      <c r="V40" s="10" t="s">
        <v>100</v>
      </c>
    </row>
    <row r="41" customFormat="false" ht="39.55" hidden="false" customHeight="false" outlineLevel="0" collapsed="false">
      <c r="A41" s="10" t="s">
        <v>227</v>
      </c>
      <c r="B41" s="10" t="s">
        <v>228</v>
      </c>
      <c r="C41" s="10" t="s">
        <v>217</v>
      </c>
      <c r="D41" s="10" t="s">
        <v>218</v>
      </c>
      <c r="E41" s="11" t="s">
        <v>921</v>
      </c>
      <c r="F41" s="10" t="s">
        <v>907</v>
      </c>
      <c r="G41" s="10" t="n">
        <v>4</v>
      </c>
      <c r="H41" s="10" t="n">
        <v>3</v>
      </c>
      <c r="I41" s="10" t="n">
        <v>6</v>
      </c>
      <c r="J41" s="11" t="s">
        <v>825</v>
      </c>
      <c r="K41" s="10" t="n">
        <v>1.5</v>
      </c>
      <c r="L41" s="10"/>
      <c r="M41" s="10" t="s">
        <v>98</v>
      </c>
      <c r="N41" s="10" t="s">
        <v>922</v>
      </c>
      <c r="O41" s="11" t="s">
        <v>827</v>
      </c>
      <c r="P41" s="10" t="n">
        <v>1</v>
      </c>
      <c r="Q41" s="11" t="s">
        <v>909</v>
      </c>
      <c r="R41" s="11" t="s">
        <v>910</v>
      </c>
      <c r="S41" s="10" t="s">
        <v>923</v>
      </c>
      <c r="T41" s="11" t="s">
        <v>912</v>
      </c>
      <c r="U41" s="10" t="s">
        <v>227</v>
      </c>
      <c r="V41" s="10" t="s">
        <v>100</v>
      </c>
    </row>
    <row r="42" customFormat="false" ht="39.55" hidden="false" customHeight="false" outlineLevel="0" collapsed="false">
      <c r="A42" s="10" t="s">
        <v>230</v>
      </c>
      <c r="B42" s="11" t="s">
        <v>231</v>
      </c>
      <c r="C42" s="10" t="s">
        <v>217</v>
      </c>
      <c r="D42" s="10" t="s">
        <v>218</v>
      </c>
      <c r="E42" s="11" t="s">
        <v>924</v>
      </c>
      <c r="F42" s="10" t="s">
        <v>907</v>
      </c>
      <c r="G42" s="10" t="n">
        <v>4</v>
      </c>
      <c r="H42" s="10" t="n">
        <v>4</v>
      </c>
      <c r="I42" s="10" t="n">
        <v>9</v>
      </c>
      <c r="J42" s="11" t="s">
        <v>917</v>
      </c>
      <c r="K42" s="10" t="n">
        <v>1</v>
      </c>
      <c r="L42" s="10"/>
      <c r="M42" s="10" t="s">
        <v>133</v>
      </c>
      <c r="N42" s="10" t="s">
        <v>925</v>
      </c>
      <c r="O42" s="11" t="s">
        <v>919</v>
      </c>
      <c r="P42" s="10" t="n">
        <v>1</v>
      </c>
      <c r="Q42" s="11" t="s">
        <v>909</v>
      </c>
      <c r="R42" s="11" t="s">
        <v>910</v>
      </c>
      <c r="S42" s="11" t="s">
        <v>926</v>
      </c>
      <c r="T42" s="11" t="s">
        <v>912</v>
      </c>
      <c r="U42" s="10" t="s">
        <v>230</v>
      </c>
      <c r="V42" s="10" t="s">
        <v>116</v>
      </c>
    </row>
    <row r="43" customFormat="false" ht="39.55" hidden="false" customHeight="false" outlineLevel="0" collapsed="false">
      <c r="A43" s="10" t="s">
        <v>234</v>
      </c>
      <c r="B43" s="10" t="s">
        <v>235</v>
      </c>
      <c r="C43" s="10" t="s">
        <v>217</v>
      </c>
      <c r="D43" s="10" t="s">
        <v>218</v>
      </c>
      <c r="E43" s="11" t="s">
        <v>927</v>
      </c>
      <c r="F43" s="10" t="s">
        <v>907</v>
      </c>
      <c r="G43" s="10" t="n">
        <v>4</v>
      </c>
      <c r="H43" s="10" t="n">
        <v>3</v>
      </c>
      <c r="I43" s="10" t="n">
        <v>6</v>
      </c>
      <c r="J43" s="11" t="s">
        <v>825</v>
      </c>
      <c r="K43" s="10" t="n">
        <v>1.5</v>
      </c>
      <c r="L43" s="10"/>
      <c r="M43" s="10" t="s">
        <v>98</v>
      </c>
      <c r="N43" s="10" t="s">
        <v>928</v>
      </c>
      <c r="O43" s="11" t="s">
        <v>827</v>
      </c>
      <c r="P43" s="10" t="n">
        <v>1</v>
      </c>
      <c r="Q43" s="11" t="s">
        <v>909</v>
      </c>
      <c r="R43" s="11" t="s">
        <v>910</v>
      </c>
      <c r="S43" s="10" t="s">
        <v>929</v>
      </c>
      <c r="T43" s="11" t="s">
        <v>912</v>
      </c>
      <c r="U43" s="10" t="s">
        <v>234</v>
      </c>
      <c r="V43" s="10" t="s">
        <v>116</v>
      </c>
    </row>
    <row r="44" customFormat="false" ht="39.55" hidden="false" customHeight="false" outlineLevel="0" collapsed="false">
      <c r="A44" s="10" t="s">
        <v>237</v>
      </c>
      <c r="B44" s="11" t="s">
        <v>238</v>
      </c>
      <c r="C44" s="10" t="s">
        <v>217</v>
      </c>
      <c r="D44" s="10" t="s">
        <v>218</v>
      </c>
      <c r="E44" s="11" t="s">
        <v>930</v>
      </c>
      <c r="F44" s="10" t="s">
        <v>907</v>
      </c>
      <c r="G44" s="10" t="n">
        <v>4</v>
      </c>
      <c r="H44" s="10" t="n">
        <v>3</v>
      </c>
      <c r="I44" s="10" t="n">
        <v>6</v>
      </c>
      <c r="J44" s="11" t="s">
        <v>825</v>
      </c>
      <c r="K44" s="10" t="n">
        <v>1.5</v>
      </c>
      <c r="L44" s="10"/>
      <c r="M44" s="10" t="s">
        <v>98</v>
      </c>
      <c r="N44" s="10" t="s">
        <v>830</v>
      </c>
      <c r="O44" s="11" t="s">
        <v>827</v>
      </c>
      <c r="P44" s="10" t="n">
        <v>1</v>
      </c>
      <c r="Q44" s="11" t="s">
        <v>909</v>
      </c>
      <c r="R44" s="11" t="s">
        <v>910</v>
      </c>
      <c r="S44" s="11" t="s">
        <v>931</v>
      </c>
      <c r="T44" s="11" t="s">
        <v>912</v>
      </c>
      <c r="U44" s="10" t="s">
        <v>237</v>
      </c>
      <c r="V44" s="10" t="s">
        <v>116</v>
      </c>
    </row>
    <row r="45" customFormat="false" ht="39.55" hidden="false" customHeight="false" outlineLevel="0" collapsed="false">
      <c r="A45" s="10" t="s">
        <v>240</v>
      </c>
      <c r="B45" s="11" t="s">
        <v>241</v>
      </c>
      <c r="C45" s="10" t="s">
        <v>217</v>
      </c>
      <c r="D45" s="10" t="s">
        <v>218</v>
      </c>
      <c r="E45" s="11" t="s">
        <v>932</v>
      </c>
      <c r="F45" s="10" t="s">
        <v>907</v>
      </c>
      <c r="G45" s="10" t="n">
        <v>4</v>
      </c>
      <c r="H45" s="10" t="n">
        <v>3</v>
      </c>
      <c r="I45" s="10" t="n">
        <v>6</v>
      </c>
      <c r="J45" s="11" t="s">
        <v>825</v>
      </c>
      <c r="K45" s="10" t="n">
        <v>1.5</v>
      </c>
      <c r="L45" s="10"/>
      <c r="M45" s="10" t="s">
        <v>98</v>
      </c>
      <c r="N45" s="10" t="s">
        <v>933</v>
      </c>
      <c r="O45" s="11" t="s">
        <v>827</v>
      </c>
      <c r="P45" s="10" t="n">
        <v>1</v>
      </c>
      <c r="Q45" s="11" t="s">
        <v>909</v>
      </c>
      <c r="R45" s="11" t="s">
        <v>910</v>
      </c>
      <c r="S45" s="11" t="s">
        <v>934</v>
      </c>
      <c r="T45" s="11" t="s">
        <v>912</v>
      </c>
      <c r="U45" s="10" t="s">
        <v>240</v>
      </c>
      <c r="V45" s="10" t="s">
        <v>116</v>
      </c>
    </row>
    <row r="46" customFormat="false" ht="39.55" hidden="false" customHeight="false" outlineLevel="0" collapsed="false">
      <c r="A46" s="10" t="s">
        <v>243</v>
      </c>
      <c r="B46" s="10" t="s">
        <v>245</v>
      </c>
      <c r="C46" s="10" t="s">
        <v>217</v>
      </c>
      <c r="D46" s="10" t="s">
        <v>244</v>
      </c>
      <c r="E46" s="11" t="s">
        <v>935</v>
      </c>
      <c r="F46" s="11" t="s">
        <v>936</v>
      </c>
      <c r="G46" s="10" t="n">
        <v>3</v>
      </c>
      <c r="H46" s="10" t="n">
        <v>2</v>
      </c>
      <c r="I46" s="10" t="n">
        <v>3</v>
      </c>
      <c r="J46" s="11" t="s">
        <v>789</v>
      </c>
      <c r="K46" s="10" t="n">
        <v>1.5</v>
      </c>
      <c r="L46" s="10"/>
      <c r="M46" s="10" t="s">
        <v>98</v>
      </c>
      <c r="N46" s="10" t="s">
        <v>937</v>
      </c>
      <c r="O46" s="11" t="s">
        <v>791</v>
      </c>
      <c r="P46" s="10" t="n">
        <v>1</v>
      </c>
      <c r="Q46" s="11" t="s">
        <v>909</v>
      </c>
      <c r="R46" s="11" t="s">
        <v>910</v>
      </c>
      <c r="S46" s="10" t="s">
        <v>938</v>
      </c>
      <c r="T46" s="11" t="s">
        <v>912</v>
      </c>
      <c r="U46" s="10" t="s">
        <v>243</v>
      </c>
      <c r="V46" s="10" t="s">
        <v>116</v>
      </c>
    </row>
    <row r="47" customFormat="false" ht="39.55" hidden="false" customHeight="false" outlineLevel="0" collapsed="false">
      <c r="A47" s="10" t="s">
        <v>247</v>
      </c>
      <c r="B47" s="11" t="s">
        <v>248</v>
      </c>
      <c r="C47" s="10" t="s">
        <v>217</v>
      </c>
      <c r="D47" s="10" t="s">
        <v>244</v>
      </c>
      <c r="E47" s="11" t="s">
        <v>939</v>
      </c>
      <c r="F47" s="11" t="s">
        <v>936</v>
      </c>
      <c r="G47" s="10" t="n">
        <v>3</v>
      </c>
      <c r="H47" s="10" t="n">
        <v>2</v>
      </c>
      <c r="I47" s="10" t="n">
        <v>3</v>
      </c>
      <c r="J47" s="11" t="s">
        <v>789</v>
      </c>
      <c r="K47" s="10" t="n">
        <v>1.5</v>
      </c>
      <c r="L47" s="10"/>
      <c r="M47" s="10" t="s">
        <v>98</v>
      </c>
      <c r="N47" s="10" t="s">
        <v>940</v>
      </c>
      <c r="O47" s="11" t="s">
        <v>791</v>
      </c>
      <c r="P47" s="10" t="n">
        <v>1</v>
      </c>
      <c r="Q47" s="11" t="s">
        <v>909</v>
      </c>
      <c r="R47" s="11" t="s">
        <v>910</v>
      </c>
      <c r="S47" s="11" t="s">
        <v>941</v>
      </c>
      <c r="T47" s="11" t="s">
        <v>912</v>
      </c>
      <c r="U47" s="10" t="s">
        <v>247</v>
      </c>
      <c r="V47" s="10" t="s">
        <v>116</v>
      </c>
    </row>
    <row r="48" customFormat="false" ht="39.55" hidden="false" customHeight="false" outlineLevel="0" collapsed="false">
      <c r="A48" s="10" t="s">
        <v>250</v>
      </c>
      <c r="B48" s="10" t="s">
        <v>251</v>
      </c>
      <c r="C48" s="10" t="s">
        <v>217</v>
      </c>
      <c r="D48" s="10" t="s">
        <v>244</v>
      </c>
      <c r="E48" s="10" t="s">
        <v>942</v>
      </c>
      <c r="F48" s="11" t="s">
        <v>936</v>
      </c>
      <c r="G48" s="10" t="n">
        <v>3</v>
      </c>
      <c r="H48" s="10" t="n">
        <v>2</v>
      </c>
      <c r="I48" s="10" t="n">
        <v>3</v>
      </c>
      <c r="J48" s="11" t="s">
        <v>789</v>
      </c>
      <c r="K48" s="10" t="n">
        <v>1.5</v>
      </c>
      <c r="L48" s="10"/>
      <c r="M48" s="10" t="s">
        <v>98</v>
      </c>
      <c r="N48" s="10" t="s">
        <v>943</v>
      </c>
      <c r="O48" s="11" t="s">
        <v>791</v>
      </c>
      <c r="P48" s="10" t="n">
        <v>1</v>
      </c>
      <c r="Q48" s="11" t="s">
        <v>909</v>
      </c>
      <c r="R48" s="11" t="s">
        <v>910</v>
      </c>
      <c r="S48" s="10" t="s">
        <v>944</v>
      </c>
      <c r="T48" s="11" t="s">
        <v>912</v>
      </c>
      <c r="U48" s="10" t="s">
        <v>250</v>
      </c>
      <c r="V48" s="10" t="s">
        <v>116</v>
      </c>
    </row>
    <row r="49" customFormat="false" ht="39.55" hidden="false" customHeight="false" outlineLevel="0" collapsed="false">
      <c r="A49" s="10" t="s">
        <v>253</v>
      </c>
      <c r="B49" s="11" t="s">
        <v>254</v>
      </c>
      <c r="C49" s="10" t="s">
        <v>217</v>
      </c>
      <c r="D49" s="10" t="s">
        <v>244</v>
      </c>
      <c r="E49" s="10" t="s">
        <v>945</v>
      </c>
      <c r="F49" s="11" t="s">
        <v>936</v>
      </c>
      <c r="G49" s="10" t="n">
        <v>3</v>
      </c>
      <c r="H49" s="10" t="n">
        <v>3</v>
      </c>
      <c r="I49" s="10" t="n">
        <v>6</v>
      </c>
      <c r="J49" s="11" t="s">
        <v>825</v>
      </c>
      <c r="K49" s="10" t="n">
        <v>1</v>
      </c>
      <c r="L49" s="10"/>
      <c r="M49" s="10" t="s">
        <v>133</v>
      </c>
      <c r="N49" s="10" t="s">
        <v>946</v>
      </c>
      <c r="O49" s="11" t="s">
        <v>827</v>
      </c>
      <c r="P49" s="10" t="n">
        <v>1</v>
      </c>
      <c r="Q49" s="11" t="s">
        <v>909</v>
      </c>
      <c r="R49" s="11" t="s">
        <v>910</v>
      </c>
      <c r="S49" s="11" t="s">
        <v>947</v>
      </c>
      <c r="T49" s="11" t="s">
        <v>912</v>
      </c>
      <c r="U49" s="10" t="s">
        <v>253</v>
      </c>
      <c r="V49" s="10" t="s">
        <v>116</v>
      </c>
    </row>
    <row r="50" customFormat="false" ht="39.55" hidden="false" customHeight="false" outlineLevel="0" collapsed="false">
      <c r="A50" s="10" t="s">
        <v>256</v>
      </c>
      <c r="B50" s="10" t="s">
        <v>258</v>
      </c>
      <c r="C50" s="10" t="s">
        <v>217</v>
      </c>
      <c r="D50" s="10" t="s">
        <v>257</v>
      </c>
      <c r="E50" s="11" t="s">
        <v>948</v>
      </c>
      <c r="F50" s="11" t="s">
        <v>949</v>
      </c>
      <c r="G50" s="10" t="n">
        <v>4</v>
      </c>
      <c r="H50" s="10" t="n">
        <v>3</v>
      </c>
      <c r="I50" s="10" t="n">
        <v>6</v>
      </c>
      <c r="J50" s="11" t="s">
        <v>825</v>
      </c>
      <c r="K50" s="10" t="n">
        <v>1.5</v>
      </c>
      <c r="L50" s="10"/>
      <c r="M50" s="10" t="s">
        <v>98</v>
      </c>
      <c r="N50" s="10" t="s">
        <v>950</v>
      </c>
      <c r="O50" s="11" t="s">
        <v>827</v>
      </c>
      <c r="P50" s="10" t="n">
        <v>1.2</v>
      </c>
      <c r="Q50" s="11" t="s">
        <v>909</v>
      </c>
      <c r="R50" s="11" t="s">
        <v>910</v>
      </c>
      <c r="S50" s="10" t="s">
        <v>951</v>
      </c>
      <c r="T50" s="11" t="s">
        <v>912</v>
      </c>
      <c r="U50" s="10" t="s">
        <v>256</v>
      </c>
      <c r="V50" s="10" t="s">
        <v>100</v>
      </c>
    </row>
    <row r="51" customFormat="false" ht="39.55" hidden="false" customHeight="false" outlineLevel="0" collapsed="false">
      <c r="A51" s="10" t="s">
        <v>260</v>
      </c>
      <c r="B51" s="10" t="s">
        <v>261</v>
      </c>
      <c r="C51" s="10" t="s">
        <v>217</v>
      </c>
      <c r="D51" s="10" t="s">
        <v>257</v>
      </c>
      <c r="E51" s="10" t="s">
        <v>952</v>
      </c>
      <c r="F51" s="11" t="s">
        <v>949</v>
      </c>
      <c r="G51" s="10" t="n">
        <v>4</v>
      </c>
      <c r="H51" s="10" t="n">
        <v>3</v>
      </c>
      <c r="I51" s="10" t="n">
        <v>6</v>
      </c>
      <c r="J51" s="11" t="s">
        <v>825</v>
      </c>
      <c r="K51" s="10" t="n">
        <v>1.5</v>
      </c>
      <c r="L51" s="10"/>
      <c r="M51" s="10" t="s">
        <v>98</v>
      </c>
      <c r="N51" s="10" t="s">
        <v>953</v>
      </c>
      <c r="O51" s="11" t="s">
        <v>827</v>
      </c>
      <c r="P51" s="10" t="n">
        <v>1</v>
      </c>
      <c r="Q51" s="11" t="s">
        <v>909</v>
      </c>
      <c r="R51" s="11" t="s">
        <v>910</v>
      </c>
      <c r="S51" s="10" t="s">
        <v>954</v>
      </c>
      <c r="T51" s="11" t="s">
        <v>912</v>
      </c>
      <c r="U51" s="10" t="s">
        <v>260</v>
      </c>
      <c r="V51" s="10" t="s">
        <v>100</v>
      </c>
    </row>
    <row r="52" customFormat="false" ht="39.55" hidden="false" customHeight="false" outlineLevel="0" collapsed="false">
      <c r="A52" s="10" t="s">
        <v>263</v>
      </c>
      <c r="B52" s="10" t="s">
        <v>264</v>
      </c>
      <c r="C52" s="10" t="s">
        <v>217</v>
      </c>
      <c r="D52" s="10" t="s">
        <v>257</v>
      </c>
      <c r="E52" s="11" t="s">
        <v>955</v>
      </c>
      <c r="F52" s="11" t="s">
        <v>949</v>
      </c>
      <c r="G52" s="10" t="n">
        <v>4</v>
      </c>
      <c r="H52" s="10" t="n">
        <v>4</v>
      </c>
      <c r="I52" s="10" t="n">
        <v>9</v>
      </c>
      <c r="J52" s="11" t="s">
        <v>917</v>
      </c>
      <c r="K52" s="10" t="n">
        <v>1</v>
      </c>
      <c r="L52" s="10"/>
      <c r="M52" s="10" t="s">
        <v>133</v>
      </c>
      <c r="N52" s="10" t="s">
        <v>956</v>
      </c>
      <c r="O52" s="11" t="s">
        <v>919</v>
      </c>
      <c r="P52" s="10" t="n">
        <v>1.2</v>
      </c>
      <c r="Q52" s="11" t="s">
        <v>909</v>
      </c>
      <c r="R52" s="11" t="s">
        <v>910</v>
      </c>
      <c r="S52" s="10" t="s">
        <v>957</v>
      </c>
      <c r="T52" s="11" t="s">
        <v>912</v>
      </c>
      <c r="U52" s="10" t="s">
        <v>263</v>
      </c>
      <c r="V52" s="10" t="s">
        <v>100</v>
      </c>
    </row>
    <row r="53" customFormat="false" ht="39.55" hidden="false" customHeight="false" outlineLevel="0" collapsed="false">
      <c r="A53" s="10" t="s">
        <v>266</v>
      </c>
      <c r="B53" s="11" t="s">
        <v>267</v>
      </c>
      <c r="C53" s="10" t="s">
        <v>217</v>
      </c>
      <c r="D53" s="10" t="s">
        <v>257</v>
      </c>
      <c r="E53" s="11" t="s">
        <v>958</v>
      </c>
      <c r="F53" s="11" t="s">
        <v>949</v>
      </c>
      <c r="G53" s="10" t="n">
        <v>4</v>
      </c>
      <c r="H53" s="10" t="n">
        <v>4</v>
      </c>
      <c r="I53" s="10" t="n">
        <v>9</v>
      </c>
      <c r="J53" s="11" t="s">
        <v>917</v>
      </c>
      <c r="K53" s="10" t="n">
        <v>1</v>
      </c>
      <c r="L53" s="10"/>
      <c r="M53" s="10" t="s">
        <v>133</v>
      </c>
      <c r="N53" s="10" t="s">
        <v>959</v>
      </c>
      <c r="O53" s="11" t="s">
        <v>919</v>
      </c>
      <c r="P53" s="10" t="n">
        <v>1</v>
      </c>
      <c r="Q53" s="11" t="s">
        <v>909</v>
      </c>
      <c r="R53" s="11" t="s">
        <v>910</v>
      </c>
      <c r="S53" s="11" t="s">
        <v>960</v>
      </c>
      <c r="T53" s="11" t="s">
        <v>912</v>
      </c>
      <c r="U53" s="10" t="s">
        <v>266</v>
      </c>
      <c r="V53" s="10" t="s">
        <v>116</v>
      </c>
    </row>
    <row r="54" customFormat="false" ht="39.55" hidden="false" customHeight="false" outlineLevel="0" collapsed="false">
      <c r="A54" s="10" t="s">
        <v>269</v>
      </c>
      <c r="B54" s="10" t="s">
        <v>270</v>
      </c>
      <c r="C54" s="10" t="s">
        <v>217</v>
      </c>
      <c r="D54" s="10" t="s">
        <v>257</v>
      </c>
      <c r="E54" s="11" t="s">
        <v>961</v>
      </c>
      <c r="F54" s="11" t="s">
        <v>949</v>
      </c>
      <c r="G54" s="10" t="n">
        <v>4</v>
      </c>
      <c r="H54" s="10" t="n">
        <v>4</v>
      </c>
      <c r="I54" s="10" t="n">
        <v>9</v>
      </c>
      <c r="J54" s="11" t="s">
        <v>917</v>
      </c>
      <c r="K54" s="10" t="n">
        <v>1</v>
      </c>
      <c r="L54" s="10"/>
      <c r="M54" s="10" t="s">
        <v>133</v>
      </c>
      <c r="N54" s="10" t="s">
        <v>962</v>
      </c>
      <c r="O54" s="11" t="s">
        <v>919</v>
      </c>
      <c r="P54" s="10" t="n">
        <v>1</v>
      </c>
      <c r="Q54" s="11" t="s">
        <v>909</v>
      </c>
      <c r="R54" s="11" t="s">
        <v>910</v>
      </c>
      <c r="S54" s="10" t="s">
        <v>963</v>
      </c>
      <c r="T54" s="11" t="s">
        <v>912</v>
      </c>
      <c r="U54" s="10" t="s">
        <v>269</v>
      </c>
      <c r="V54" s="10" t="s">
        <v>116</v>
      </c>
    </row>
    <row r="55" customFormat="false" ht="39.55" hidden="false" customHeight="false" outlineLevel="0" collapsed="false">
      <c r="A55" s="10" t="s">
        <v>272</v>
      </c>
      <c r="B55" s="10" t="s">
        <v>273</v>
      </c>
      <c r="C55" s="10" t="s">
        <v>217</v>
      </c>
      <c r="D55" s="10" t="s">
        <v>257</v>
      </c>
      <c r="E55" s="11" t="s">
        <v>964</v>
      </c>
      <c r="F55" s="11" t="s">
        <v>949</v>
      </c>
      <c r="G55" s="10" t="n">
        <v>4</v>
      </c>
      <c r="H55" s="10" t="n">
        <v>3</v>
      </c>
      <c r="I55" s="10" t="n">
        <v>6</v>
      </c>
      <c r="J55" s="11" t="s">
        <v>825</v>
      </c>
      <c r="K55" s="10" t="n">
        <v>1.5</v>
      </c>
      <c r="L55" s="10"/>
      <c r="M55" s="10" t="s">
        <v>98</v>
      </c>
      <c r="N55" s="10" t="s">
        <v>965</v>
      </c>
      <c r="O55" s="11" t="s">
        <v>827</v>
      </c>
      <c r="P55" s="10" t="n">
        <v>1</v>
      </c>
      <c r="Q55" s="11" t="s">
        <v>909</v>
      </c>
      <c r="R55" s="11" t="s">
        <v>910</v>
      </c>
      <c r="S55" s="10" t="s">
        <v>966</v>
      </c>
      <c r="T55" s="11" t="s">
        <v>912</v>
      </c>
      <c r="U55" s="10" t="s">
        <v>272</v>
      </c>
      <c r="V55" s="10" t="s">
        <v>116</v>
      </c>
    </row>
    <row r="56" customFormat="false" ht="39.55" hidden="false" customHeight="false" outlineLevel="0" collapsed="false">
      <c r="A56" s="10" t="s">
        <v>275</v>
      </c>
      <c r="B56" s="10" t="s">
        <v>276</v>
      </c>
      <c r="C56" s="10" t="s">
        <v>217</v>
      </c>
      <c r="D56" s="10" t="s">
        <v>257</v>
      </c>
      <c r="E56" s="11" t="s">
        <v>967</v>
      </c>
      <c r="F56" s="11" t="s">
        <v>949</v>
      </c>
      <c r="G56" s="10" t="n">
        <v>4</v>
      </c>
      <c r="H56" s="10" t="n">
        <v>3</v>
      </c>
      <c r="I56" s="10" t="n">
        <v>6</v>
      </c>
      <c r="J56" s="11" t="s">
        <v>825</v>
      </c>
      <c r="K56" s="10" t="n">
        <v>1.5</v>
      </c>
      <c r="L56" s="10"/>
      <c r="M56" s="10" t="s">
        <v>98</v>
      </c>
      <c r="N56" s="10" t="s">
        <v>968</v>
      </c>
      <c r="O56" s="11" t="s">
        <v>827</v>
      </c>
      <c r="P56" s="10" t="n">
        <v>1.2</v>
      </c>
      <c r="Q56" s="11" t="s">
        <v>909</v>
      </c>
      <c r="R56" s="11" t="s">
        <v>910</v>
      </c>
      <c r="S56" s="10" t="s">
        <v>969</v>
      </c>
      <c r="T56" s="11" t="s">
        <v>912</v>
      </c>
      <c r="U56" s="10" t="s">
        <v>275</v>
      </c>
      <c r="V56" s="10" t="s">
        <v>116</v>
      </c>
    </row>
    <row r="57" customFormat="false" ht="39.55" hidden="false" customHeight="false" outlineLevel="0" collapsed="false">
      <c r="A57" s="10" t="s">
        <v>278</v>
      </c>
      <c r="B57" s="11" t="s">
        <v>279</v>
      </c>
      <c r="C57" s="10" t="s">
        <v>217</v>
      </c>
      <c r="D57" s="10" t="s">
        <v>257</v>
      </c>
      <c r="E57" s="11" t="s">
        <v>970</v>
      </c>
      <c r="F57" s="11" t="s">
        <v>949</v>
      </c>
      <c r="G57" s="10" t="n">
        <v>4</v>
      </c>
      <c r="H57" s="10" t="n">
        <v>4</v>
      </c>
      <c r="I57" s="10" t="n">
        <v>9</v>
      </c>
      <c r="J57" s="11" t="s">
        <v>917</v>
      </c>
      <c r="K57" s="10" t="n">
        <v>1</v>
      </c>
      <c r="L57" s="10"/>
      <c r="M57" s="10" t="s">
        <v>133</v>
      </c>
      <c r="N57" s="10" t="s">
        <v>971</v>
      </c>
      <c r="O57" s="11" t="s">
        <v>919</v>
      </c>
      <c r="P57" s="10" t="n">
        <v>1</v>
      </c>
      <c r="Q57" s="11" t="s">
        <v>909</v>
      </c>
      <c r="R57" s="11" t="s">
        <v>910</v>
      </c>
      <c r="S57" s="11" t="s">
        <v>972</v>
      </c>
      <c r="T57" s="11" t="s">
        <v>912</v>
      </c>
      <c r="U57" s="10" t="s">
        <v>278</v>
      </c>
      <c r="V57" s="10" t="s">
        <v>116</v>
      </c>
    </row>
    <row r="58" customFormat="false" ht="39.55" hidden="false" customHeight="false" outlineLevel="0" collapsed="false">
      <c r="A58" s="10" t="s">
        <v>281</v>
      </c>
      <c r="B58" s="11" t="s">
        <v>283</v>
      </c>
      <c r="C58" s="10" t="s">
        <v>217</v>
      </c>
      <c r="D58" s="10" t="s">
        <v>282</v>
      </c>
      <c r="E58" s="11" t="s">
        <v>973</v>
      </c>
      <c r="F58" s="11" t="s">
        <v>974</v>
      </c>
      <c r="G58" s="10" t="n">
        <v>4</v>
      </c>
      <c r="H58" s="10" t="n">
        <v>3</v>
      </c>
      <c r="I58" s="10" t="n">
        <v>6</v>
      </c>
      <c r="J58" s="11" t="s">
        <v>825</v>
      </c>
      <c r="K58" s="10" t="n">
        <v>1</v>
      </c>
      <c r="L58" s="10"/>
      <c r="M58" s="10" t="s">
        <v>133</v>
      </c>
      <c r="N58" s="10" t="s">
        <v>975</v>
      </c>
      <c r="O58" s="11" t="s">
        <v>827</v>
      </c>
      <c r="P58" s="10" t="n">
        <v>1.2</v>
      </c>
      <c r="Q58" s="11" t="s">
        <v>909</v>
      </c>
      <c r="R58" s="11" t="s">
        <v>910</v>
      </c>
      <c r="S58" s="11" t="s">
        <v>976</v>
      </c>
      <c r="T58" s="11" t="s">
        <v>912</v>
      </c>
      <c r="U58" s="10" t="s">
        <v>281</v>
      </c>
      <c r="V58" s="10" t="s">
        <v>100</v>
      </c>
    </row>
    <row r="59" customFormat="false" ht="39.55" hidden="false" customHeight="false" outlineLevel="0" collapsed="false">
      <c r="A59" s="10" t="s">
        <v>286</v>
      </c>
      <c r="B59" s="11" t="s">
        <v>287</v>
      </c>
      <c r="C59" s="10" t="s">
        <v>217</v>
      </c>
      <c r="D59" s="10" t="s">
        <v>282</v>
      </c>
      <c r="E59" s="11" t="s">
        <v>977</v>
      </c>
      <c r="F59" s="11" t="s">
        <v>974</v>
      </c>
      <c r="G59" s="10" t="n">
        <v>4</v>
      </c>
      <c r="H59" s="10" t="n">
        <v>2</v>
      </c>
      <c r="I59" s="10" t="n">
        <v>3</v>
      </c>
      <c r="J59" s="11" t="s">
        <v>789</v>
      </c>
      <c r="K59" s="10" t="n">
        <v>1.5</v>
      </c>
      <c r="L59" s="10"/>
      <c r="M59" s="10" t="s">
        <v>98</v>
      </c>
      <c r="N59" s="10" t="s">
        <v>978</v>
      </c>
      <c r="O59" s="11" t="s">
        <v>791</v>
      </c>
      <c r="P59" s="10" t="n">
        <v>1</v>
      </c>
      <c r="Q59" s="11" t="s">
        <v>909</v>
      </c>
      <c r="R59" s="11" t="s">
        <v>910</v>
      </c>
      <c r="S59" s="11" t="s">
        <v>979</v>
      </c>
      <c r="T59" s="11" t="s">
        <v>912</v>
      </c>
      <c r="U59" s="10" t="s">
        <v>286</v>
      </c>
      <c r="V59" s="10" t="s">
        <v>116</v>
      </c>
    </row>
    <row r="60" customFormat="false" ht="39.55" hidden="false" customHeight="false" outlineLevel="0" collapsed="false">
      <c r="A60" s="10" t="s">
        <v>289</v>
      </c>
      <c r="B60" s="11" t="s">
        <v>290</v>
      </c>
      <c r="C60" s="10" t="s">
        <v>217</v>
      </c>
      <c r="D60" s="10" t="s">
        <v>282</v>
      </c>
      <c r="E60" s="11" t="s">
        <v>980</v>
      </c>
      <c r="F60" s="11" t="s">
        <v>974</v>
      </c>
      <c r="G60" s="10" t="n">
        <v>4</v>
      </c>
      <c r="H60" s="10" t="n">
        <v>3</v>
      </c>
      <c r="I60" s="10" t="n">
        <v>6</v>
      </c>
      <c r="J60" s="11" t="s">
        <v>825</v>
      </c>
      <c r="K60" s="10" t="n">
        <v>1</v>
      </c>
      <c r="L60" s="10"/>
      <c r="M60" s="10" t="s">
        <v>133</v>
      </c>
      <c r="N60" s="10" t="s">
        <v>981</v>
      </c>
      <c r="O60" s="11" t="s">
        <v>827</v>
      </c>
      <c r="P60" s="10" t="n">
        <v>1.2</v>
      </c>
      <c r="Q60" s="11" t="s">
        <v>909</v>
      </c>
      <c r="R60" s="11" t="s">
        <v>910</v>
      </c>
      <c r="S60" s="11" t="s">
        <v>982</v>
      </c>
      <c r="T60" s="11" t="s">
        <v>912</v>
      </c>
      <c r="U60" s="10" t="s">
        <v>289</v>
      </c>
      <c r="V60" s="10" t="s">
        <v>116</v>
      </c>
    </row>
    <row r="61" customFormat="false" ht="39.55" hidden="false" customHeight="false" outlineLevel="0" collapsed="false">
      <c r="A61" s="10" t="s">
        <v>292</v>
      </c>
      <c r="B61" s="11" t="s">
        <v>293</v>
      </c>
      <c r="C61" s="10" t="s">
        <v>217</v>
      </c>
      <c r="D61" s="10" t="s">
        <v>282</v>
      </c>
      <c r="E61" s="11" t="s">
        <v>983</v>
      </c>
      <c r="F61" s="11" t="s">
        <v>974</v>
      </c>
      <c r="G61" s="10" t="n">
        <v>4</v>
      </c>
      <c r="H61" s="10" t="n">
        <v>3</v>
      </c>
      <c r="I61" s="10" t="n">
        <v>6</v>
      </c>
      <c r="J61" s="11" t="s">
        <v>825</v>
      </c>
      <c r="K61" s="10" t="n">
        <v>1</v>
      </c>
      <c r="L61" s="10"/>
      <c r="M61" s="10" t="s">
        <v>133</v>
      </c>
      <c r="N61" s="10" t="s">
        <v>984</v>
      </c>
      <c r="O61" s="11" t="s">
        <v>827</v>
      </c>
      <c r="P61" s="10" t="n">
        <v>1</v>
      </c>
      <c r="Q61" s="11" t="s">
        <v>909</v>
      </c>
      <c r="R61" s="11" t="s">
        <v>910</v>
      </c>
      <c r="S61" s="11" t="s">
        <v>985</v>
      </c>
      <c r="T61" s="11" t="s">
        <v>912</v>
      </c>
      <c r="U61" s="10" t="s">
        <v>292</v>
      </c>
      <c r="V61" s="10" t="s">
        <v>116</v>
      </c>
    </row>
    <row r="62" customFormat="false" ht="39.55" hidden="false" customHeight="false" outlineLevel="0" collapsed="false">
      <c r="A62" s="10" t="s">
        <v>295</v>
      </c>
      <c r="B62" s="11" t="s">
        <v>296</v>
      </c>
      <c r="C62" s="10" t="s">
        <v>217</v>
      </c>
      <c r="D62" s="10" t="s">
        <v>282</v>
      </c>
      <c r="E62" s="11" t="s">
        <v>986</v>
      </c>
      <c r="F62" s="11" t="s">
        <v>974</v>
      </c>
      <c r="G62" s="10" t="n">
        <v>4</v>
      </c>
      <c r="H62" s="10" t="n">
        <v>2</v>
      </c>
      <c r="I62" s="10" t="n">
        <v>3</v>
      </c>
      <c r="J62" s="11" t="s">
        <v>789</v>
      </c>
      <c r="K62" s="10" t="n">
        <v>1.5</v>
      </c>
      <c r="L62" s="10"/>
      <c r="M62" s="10" t="s">
        <v>98</v>
      </c>
      <c r="N62" s="10" t="s">
        <v>987</v>
      </c>
      <c r="O62" s="11" t="s">
        <v>791</v>
      </c>
      <c r="P62" s="10" t="n">
        <v>1.2</v>
      </c>
      <c r="Q62" s="11" t="s">
        <v>909</v>
      </c>
      <c r="R62" s="11" t="s">
        <v>910</v>
      </c>
      <c r="S62" s="11" t="s">
        <v>988</v>
      </c>
      <c r="T62" s="11" t="s">
        <v>912</v>
      </c>
      <c r="U62" s="10" t="s">
        <v>295</v>
      </c>
      <c r="V62" s="10" t="s">
        <v>116</v>
      </c>
    </row>
    <row r="63" customFormat="false" ht="39.55" hidden="false" customHeight="false" outlineLevel="0" collapsed="false">
      <c r="A63" s="10" t="s">
        <v>298</v>
      </c>
      <c r="B63" s="10" t="s">
        <v>300</v>
      </c>
      <c r="C63" s="10" t="s">
        <v>217</v>
      </c>
      <c r="D63" s="10" t="s">
        <v>299</v>
      </c>
      <c r="E63" s="11" t="s">
        <v>989</v>
      </c>
      <c r="F63" s="10" t="s">
        <v>990</v>
      </c>
      <c r="G63" s="10" t="n">
        <v>4</v>
      </c>
      <c r="H63" s="10" t="n">
        <v>3</v>
      </c>
      <c r="I63" s="10" t="n">
        <v>6</v>
      </c>
      <c r="J63" s="11" t="s">
        <v>825</v>
      </c>
      <c r="K63" s="10" t="n">
        <v>1</v>
      </c>
      <c r="L63" s="10"/>
      <c r="M63" s="10" t="s">
        <v>133</v>
      </c>
      <c r="N63" s="10" t="s">
        <v>991</v>
      </c>
      <c r="O63" s="11" t="s">
        <v>827</v>
      </c>
      <c r="P63" s="10" t="n">
        <v>1</v>
      </c>
      <c r="Q63" s="11" t="s">
        <v>909</v>
      </c>
      <c r="R63" s="11" t="s">
        <v>910</v>
      </c>
      <c r="S63" s="10" t="s">
        <v>992</v>
      </c>
      <c r="T63" s="11" t="s">
        <v>912</v>
      </c>
      <c r="U63" s="10" t="s">
        <v>298</v>
      </c>
      <c r="V63" s="10" t="s">
        <v>116</v>
      </c>
    </row>
    <row r="64" customFormat="false" ht="39.55" hidden="false" customHeight="false" outlineLevel="0" collapsed="false">
      <c r="A64" s="10" t="s">
        <v>302</v>
      </c>
      <c r="B64" s="11" t="s">
        <v>303</v>
      </c>
      <c r="C64" s="10" t="s">
        <v>217</v>
      </c>
      <c r="D64" s="10" t="s">
        <v>299</v>
      </c>
      <c r="E64" s="11" t="s">
        <v>993</v>
      </c>
      <c r="F64" s="10" t="s">
        <v>990</v>
      </c>
      <c r="G64" s="10" t="n">
        <v>4</v>
      </c>
      <c r="H64" s="10" t="n">
        <v>3</v>
      </c>
      <c r="I64" s="10" t="n">
        <v>6</v>
      </c>
      <c r="J64" s="11" t="s">
        <v>825</v>
      </c>
      <c r="K64" s="10" t="n">
        <v>1</v>
      </c>
      <c r="L64" s="10"/>
      <c r="M64" s="10" t="s">
        <v>133</v>
      </c>
      <c r="N64" s="10" t="s">
        <v>994</v>
      </c>
      <c r="O64" s="11" t="s">
        <v>827</v>
      </c>
      <c r="P64" s="10" t="n">
        <v>1</v>
      </c>
      <c r="Q64" s="11" t="s">
        <v>909</v>
      </c>
      <c r="R64" s="11" t="s">
        <v>910</v>
      </c>
      <c r="S64" s="11" t="s">
        <v>995</v>
      </c>
      <c r="T64" s="11" t="s">
        <v>912</v>
      </c>
      <c r="U64" s="10" t="s">
        <v>302</v>
      </c>
      <c r="V64" s="10" t="s">
        <v>116</v>
      </c>
    </row>
    <row r="65" customFormat="false" ht="39.55" hidden="false" customHeight="false" outlineLevel="0" collapsed="false">
      <c r="A65" s="10" t="s">
        <v>305</v>
      </c>
      <c r="B65" s="10" t="s">
        <v>306</v>
      </c>
      <c r="C65" s="10" t="s">
        <v>217</v>
      </c>
      <c r="D65" s="10" t="s">
        <v>299</v>
      </c>
      <c r="E65" s="10" t="s">
        <v>996</v>
      </c>
      <c r="F65" s="10" t="s">
        <v>990</v>
      </c>
      <c r="G65" s="10" t="n">
        <v>4</v>
      </c>
      <c r="H65" s="10" t="n">
        <v>2</v>
      </c>
      <c r="I65" s="10" t="n">
        <v>3</v>
      </c>
      <c r="J65" s="11" t="s">
        <v>789</v>
      </c>
      <c r="K65" s="10" t="n">
        <v>1.5</v>
      </c>
      <c r="L65" s="10"/>
      <c r="M65" s="10" t="s">
        <v>98</v>
      </c>
      <c r="N65" s="10" t="s">
        <v>997</v>
      </c>
      <c r="O65" s="11" t="s">
        <v>791</v>
      </c>
      <c r="P65" s="10" t="n">
        <v>1</v>
      </c>
      <c r="Q65" s="11" t="s">
        <v>909</v>
      </c>
      <c r="R65" s="11" t="s">
        <v>910</v>
      </c>
      <c r="S65" s="10" t="s">
        <v>998</v>
      </c>
      <c r="T65" s="11" t="s">
        <v>912</v>
      </c>
      <c r="U65" s="10" t="s">
        <v>305</v>
      </c>
      <c r="V65" s="10" t="s">
        <v>116</v>
      </c>
    </row>
    <row r="66" customFormat="false" ht="39.55" hidden="false" customHeight="false" outlineLevel="0" collapsed="false">
      <c r="A66" s="10" t="s">
        <v>308</v>
      </c>
      <c r="B66" s="10" t="s">
        <v>309</v>
      </c>
      <c r="C66" s="10" t="s">
        <v>217</v>
      </c>
      <c r="D66" s="10" t="s">
        <v>299</v>
      </c>
      <c r="E66" s="11" t="s">
        <v>999</v>
      </c>
      <c r="F66" s="10" t="s">
        <v>990</v>
      </c>
      <c r="G66" s="10" t="n">
        <v>4</v>
      </c>
      <c r="H66" s="10" t="n">
        <v>3</v>
      </c>
      <c r="I66" s="10" t="n">
        <v>6</v>
      </c>
      <c r="J66" s="11" t="s">
        <v>825</v>
      </c>
      <c r="K66" s="10" t="n">
        <v>1</v>
      </c>
      <c r="L66" s="10"/>
      <c r="M66" s="10" t="s">
        <v>133</v>
      </c>
      <c r="N66" s="10" t="s">
        <v>1000</v>
      </c>
      <c r="O66" s="11" t="s">
        <v>827</v>
      </c>
      <c r="P66" s="10" t="n">
        <v>1</v>
      </c>
      <c r="Q66" s="11" t="s">
        <v>909</v>
      </c>
      <c r="R66" s="11" t="s">
        <v>910</v>
      </c>
      <c r="S66" s="10" t="s">
        <v>1001</v>
      </c>
      <c r="T66" s="11" t="s">
        <v>912</v>
      </c>
      <c r="U66" s="10" t="s">
        <v>308</v>
      </c>
      <c r="V66" s="10" t="s">
        <v>116</v>
      </c>
    </row>
    <row r="67" customFormat="false" ht="39.55" hidden="false" customHeight="false" outlineLevel="0" collapsed="false">
      <c r="A67" s="10" t="s">
        <v>311</v>
      </c>
      <c r="B67" s="11" t="s">
        <v>314</v>
      </c>
      <c r="C67" s="10" t="s">
        <v>312</v>
      </c>
      <c r="D67" s="10" t="s">
        <v>313</v>
      </c>
      <c r="E67" s="10" t="s">
        <v>1002</v>
      </c>
      <c r="F67" s="11" t="s">
        <v>1003</v>
      </c>
      <c r="G67" s="10" t="n">
        <v>4</v>
      </c>
      <c r="H67" s="10" t="n">
        <v>3</v>
      </c>
      <c r="I67" s="10" t="n">
        <v>6</v>
      </c>
      <c r="J67" s="11" t="s">
        <v>825</v>
      </c>
      <c r="K67" s="10" t="n">
        <v>1.5</v>
      </c>
      <c r="L67" s="10"/>
      <c r="M67" s="10" t="s">
        <v>98</v>
      </c>
      <c r="N67" s="10" t="s">
        <v>1004</v>
      </c>
      <c r="O67" s="11" t="s">
        <v>827</v>
      </c>
      <c r="P67" s="10" t="n">
        <v>1</v>
      </c>
      <c r="Q67" s="11" t="s">
        <v>1005</v>
      </c>
      <c r="R67" s="11" t="s">
        <v>1006</v>
      </c>
      <c r="S67" s="11" t="s">
        <v>1007</v>
      </c>
      <c r="T67" s="11" t="s">
        <v>1008</v>
      </c>
      <c r="U67" s="10" t="s">
        <v>311</v>
      </c>
      <c r="V67" s="10" t="s">
        <v>100</v>
      </c>
    </row>
    <row r="68" customFormat="false" ht="39.55" hidden="false" customHeight="false" outlineLevel="0" collapsed="false">
      <c r="A68" s="10" t="s">
        <v>316</v>
      </c>
      <c r="B68" s="10" t="s">
        <v>317</v>
      </c>
      <c r="C68" s="10" t="s">
        <v>312</v>
      </c>
      <c r="D68" s="10" t="s">
        <v>313</v>
      </c>
      <c r="E68" s="10" t="s">
        <v>1009</v>
      </c>
      <c r="F68" s="11" t="s">
        <v>1003</v>
      </c>
      <c r="G68" s="10" t="n">
        <v>4</v>
      </c>
      <c r="H68" s="10" t="n">
        <v>3</v>
      </c>
      <c r="I68" s="10" t="n">
        <v>6</v>
      </c>
      <c r="J68" s="11" t="s">
        <v>825</v>
      </c>
      <c r="K68" s="10" t="n">
        <v>1.5</v>
      </c>
      <c r="L68" s="10"/>
      <c r="M68" s="10" t="s">
        <v>98</v>
      </c>
      <c r="N68" s="10" t="s">
        <v>1010</v>
      </c>
      <c r="O68" s="11" t="s">
        <v>827</v>
      </c>
      <c r="P68" s="10" t="n">
        <v>1</v>
      </c>
      <c r="Q68" s="11" t="s">
        <v>1005</v>
      </c>
      <c r="R68" s="11" t="s">
        <v>1006</v>
      </c>
      <c r="S68" s="10" t="s">
        <v>1011</v>
      </c>
      <c r="T68" s="11" t="s">
        <v>1008</v>
      </c>
      <c r="U68" s="10" t="s">
        <v>316</v>
      </c>
      <c r="V68" s="10" t="s">
        <v>100</v>
      </c>
    </row>
    <row r="69" customFormat="false" ht="39.55" hidden="false" customHeight="false" outlineLevel="0" collapsed="false">
      <c r="A69" s="10" t="s">
        <v>319</v>
      </c>
      <c r="B69" s="11" t="s">
        <v>320</v>
      </c>
      <c r="C69" s="10" t="s">
        <v>312</v>
      </c>
      <c r="D69" s="10" t="s">
        <v>313</v>
      </c>
      <c r="E69" s="11" t="s">
        <v>1012</v>
      </c>
      <c r="F69" s="11" t="s">
        <v>1003</v>
      </c>
      <c r="G69" s="10" t="n">
        <v>4</v>
      </c>
      <c r="H69" s="10" t="n">
        <v>3</v>
      </c>
      <c r="I69" s="10" t="n">
        <v>6</v>
      </c>
      <c r="J69" s="11" t="s">
        <v>825</v>
      </c>
      <c r="K69" s="10" t="n">
        <v>1.5</v>
      </c>
      <c r="L69" s="10"/>
      <c r="M69" s="10" t="s">
        <v>98</v>
      </c>
      <c r="N69" s="10" t="s">
        <v>1010</v>
      </c>
      <c r="O69" s="11" t="s">
        <v>827</v>
      </c>
      <c r="P69" s="10" t="n">
        <v>1</v>
      </c>
      <c r="Q69" s="11" t="s">
        <v>1005</v>
      </c>
      <c r="R69" s="11" t="s">
        <v>1006</v>
      </c>
      <c r="S69" s="11" t="s">
        <v>1013</v>
      </c>
      <c r="T69" s="11" t="s">
        <v>1008</v>
      </c>
      <c r="U69" s="10" t="s">
        <v>319</v>
      </c>
      <c r="V69" s="10" t="s">
        <v>100</v>
      </c>
    </row>
    <row r="70" customFormat="false" ht="39.55" hidden="false" customHeight="false" outlineLevel="0" collapsed="false">
      <c r="A70" s="10" t="s">
        <v>322</v>
      </c>
      <c r="B70" s="11" t="s">
        <v>323</v>
      </c>
      <c r="C70" s="10" t="s">
        <v>312</v>
      </c>
      <c r="D70" s="10" t="s">
        <v>313</v>
      </c>
      <c r="E70" s="11" t="s">
        <v>1014</v>
      </c>
      <c r="F70" s="11" t="s">
        <v>1003</v>
      </c>
      <c r="G70" s="10" t="n">
        <v>4</v>
      </c>
      <c r="H70" s="10" t="n">
        <v>3</v>
      </c>
      <c r="I70" s="10" t="n">
        <v>6</v>
      </c>
      <c r="J70" s="11" t="s">
        <v>825</v>
      </c>
      <c r="K70" s="10" t="n">
        <v>1.5</v>
      </c>
      <c r="L70" s="10"/>
      <c r="M70" s="10" t="s">
        <v>98</v>
      </c>
      <c r="N70" s="10" t="s">
        <v>1015</v>
      </c>
      <c r="O70" s="11" t="s">
        <v>827</v>
      </c>
      <c r="P70" s="10" t="n">
        <v>1</v>
      </c>
      <c r="Q70" s="11" t="s">
        <v>1005</v>
      </c>
      <c r="R70" s="11" t="s">
        <v>1006</v>
      </c>
      <c r="S70" s="11" t="s">
        <v>1016</v>
      </c>
      <c r="T70" s="11" t="s">
        <v>1008</v>
      </c>
      <c r="U70" s="10" t="s">
        <v>322</v>
      </c>
      <c r="V70" s="10" t="s">
        <v>116</v>
      </c>
    </row>
    <row r="71" customFormat="false" ht="39.55" hidden="false" customHeight="false" outlineLevel="0" collapsed="false">
      <c r="A71" s="10" t="s">
        <v>325</v>
      </c>
      <c r="B71" s="10" t="s">
        <v>326</v>
      </c>
      <c r="C71" s="10" t="s">
        <v>312</v>
      </c>
      <c r="D71" s="10" t="s">
        <v>313</v>
      </c>
      <c r="E71" s="11" t="s">
        <v>1017</v>
      </c>
      <c r="F71" s="11" t="s">
        <v>1003</v>
      </c>
      <c r="G71" s="10" t="n">
        <v>4</v>
      </c>
      <c r="H71" s="10" t="n">
        <v>3</v>
      </c>
      <c r="I71" s="10" t="n">
        <v>6</v>
      </c>
      <c r="J71" s="11" t="s">
        <v>825</v>
      </c>
      <c r="K71" s="10" t="n">
        <v>1.5</v>
      </c>
      <c r="L71" s="10"/>
      <c r="M71" s="10" t="s">
        <v>98</v>
      </c>
      <c r="N71" s="10" t="s">
        <v>1018</v>
      </c>
      <c r="O71" s="11" t="s">
        <v>827</v>
      </c>
      <c r="P71" s="10" t="n">
        <v>1</v>
      </c>
      <c r="Q71" s="11" t="s">
        <v>1005</v>
      </c>
      <c r="R71" s="11" t="s">
        <v>1006</v>
      </c>
      <c r="S71" s="10" t="s">
        <v>1019</v>
      </c>
      <c r="T71" s="11" t="s">
        <v>1008</v>
      </c>
      <c r="U71" s="10" t="s">
        <v>325</v>
      </c>
      <c r="V71" s="10" t="s">
        <v>116</v>
      </c>
    </row>
    <row r="72" customFormat="false" ht="39.55" hidden="false" customHeight="false" outlineLevel="0" collapsed="false">
      <c r="A72" s="10" t="s">
        <v>328</v>
      </c>
      <c r="B72" s="10" t="s">
        <v>330</v>
      </c>
      <c r="C72" s="10" t="s">
        <v>312</v>
      </c>
      <c r="D72" s="10" t="s">
        <v>329</v>
      </c>
      <c r="E72" s="10" t="s">
        <v>1020</v>
      </c>
      <c r="F72" s="10" t="s">
        <v>1021</v>
      </c>
      <c r="G72" s="10" t="n">
        <v>4</v>
      </c>
      <c r="H72" s="10" t="n">
        <v>3</v>
      </c>
      <c r="I72" s="10" t="n">
        <v>6</v>
      </c>
      <c r="J72" s="11" t="s">
        <v>825</v>
      </c>
      <c r="K72" s="10" t="n">
        <v>1.5</v>
      </c>
      <c r="L72" s="10"/>
      <c r="M72" s="10" t="s">
        <v>98</v>
      </c>
      <c r="N72" s="10" t="s">
        <v>1022</v>
      </c>
      <c r="O72" s="11" t="s">
        <v>827</v>
      </c>
      <c r="P72" s="10" t="n">
        <v>1</v>
      </c>
      <c r="Q72" s="11" t="s">
        <v>1005</v>
      </c>
      <c r="R72" s="11" t="s">
        <v>1006</v>
      </c>
      <c r="S72" s="10" t="s">
        <v>1023</v>
      </c>
      <c r="T72" s="11" t="s">
        <v>1008</v>
      </c>
      <c r="U72" s="10" t="s">
        <v>328</v>
      </c>
      <c r="V72" s="10" t="s">
        <v>100</v>
      </c>
    </row>
    <row r="73" customFormat="false" ht="39.55" hidden="false" customHeight="false" outlineLevel="0" collapsed="false">
      <c r="A73" s="10" t="s">
        <v>332</v>
      </c>
      <c r="B73" s="11" t="s">
        <v>333</v>
      </c>
      <c r="C73" s="10" t="s">
        <v>312</v>
      </c>
      <c r="D73" s="10" t="s">
        <v>329</v>
      </c>
      <c r="E73" s="10" t="s">
        <v>1024</v>
      </c>
      <c r="F73" s="10" t="s">
        <v>1021</v>
      </c>
      <c r="G73" s="10" t="n">
        <v>4</v>
      </c>
      <c r="H73" s="10" t="n">
        <v>3</v>
      </c>
      <c r="I73" s="10" t="n">
        <v>6</v>
      </c>
      <c r="J73" s="11" t="s">
        <v>825</v>
      </c>
      <c r="K73" s="10" t="n">
        <v>1.5</v>
      </c>
      <c r="L73" s="10"/>
      <c r="M73" s="10" t="s">
        <v>98</v>
      </c>
      <c r="N73" s="10" t="s">
        <v>1025</v>
      </c>
      <c r="O73" s="11" t="s">
        <v>827</v>
      </c>
      <c r="P73" s="10" t="n">
        <v>1</v>
      </c>
      <c r="Q73" s="11" t="s">
        <v>1005</v>
      </c>
      <c r="R73" s="11" t="s">
        <v>1006</v>
      </c>
      <c r="S73" s="11" t="s">
        <v>1026</v>
      </c>
      <c r="T73" s="11" t="s">
        <v>1008</v>
      </c>
      <c r="U73" s="10" t="s">
        <v>332</v>
      </c>
      <c r="V73" s="10" t="s">
        <v>100</v>
      </c>
    </row>
    <row r="74" customFormat="false" ht="39.55" hidden="false" customHeight="false" outlineLevel="0" collapsed="false">
      <c r="A74" s="10" t="s">
        <v>335</v>
      </c>
      <c r="B74" s="11" t="s">
        <v>336</v>
      </c>
      <c r="C74" s="10" t="s">
        <v>312</v>
      </c>
      <c r="D74" s="10" t="s">
        <v>329</v>
      </c>
      <c r="E74" s="11" t="s">
        <v>1027</v>
      </c>
      <c r="F74" s="10" t="s">
        <v>1021</v>
      </c>
      <c r="G74" s="10" t="n">
        <v>4</v>
      </c>
      <c r="H74" s="10" t="n">
        <v>3</v>
      </c>
      <c r="I74" s="10" t="n">
        <v>6</v>
      </c>
      <c r="J74" s="11" t="s">
        <v>825</v>
      </c>
      <c r="K74" s="10" t="n">
        <v>1.5</v>
      </c>
      <c r="L74" s="10"/>
      <c r="M74" s="10" t="s">
        <v>98</v>
      </c>
      <c r="N74" s="10" t="s">
        <v>1028</v>
      </c>
      <c r="O74" s="11" t="s">
        <v>827</v>
      </c>
      <c r="P74" s="10" t="n">
        <v>1.2</v>
      </c>
      <c r="Q74" s="11" t="s">
        <v>1005</v>
      </c>
      <c r="R74" s="11" t="s">
        <v>1006</v>
      </c>
      <c r="S74" s="11" t="s">
        <v>1029</v>
      </c>
      <c r="T74" s="11" t="s">
        <v>1008</v>
      </c>
      <c r="U74" s="10" t="s">
        <v>335</v>
      </c>
      <c r="V74" s="10" t="s">
        <v>100</v>
      </c>
    </row>
    <row r="75" customFormat="false" ht="39.55" hidden="false" customHeight="false" outlineLevel="0" collapsed="false">
      <c r="A75" s="10" t="s">
        <v>338</v>
      </c>
      <c r="B75" s="10" t="s">
        <v>339</v>
      </c>
      <c r="C75" s="10" t="s">
        <v>312</v>
      </c>
      <c r="D75" s="10" t="s">
        <v>329</v>
      </c>
      <c r="E75" s="10" t="s">
        <v>1030</v>
      </c>
      <c r="F75" s="10" t="s">
        <v>1021</v>
      </c>
      <c r="G75" s="10" t="n">
        <v>4</v>
      </c>
      <c r="H75" s="10" t="n">
        <v>4</v>
      </c>
      <c r="I75" s="10" t="n">
        <v>9</v>
      </c>
      <c r="J75" s="11" t="s">
        <v>917</v>
      </c>
      <c r="K75" s="10" t="n">
        <v>1</v>
      </c>
      <c r="L75" s="10"/>
      <c r="M75" s="10" t="s">
        <v>133</v>
      </c>
      <c r="N75" s="10" t="s">
        <v>1031</v>
      </c>
      <c r="O75" s="11" t="s">
        <v>919</v>
      </c>
      <c r="P75" s="10" t="n">
        <v>1</v>
      </c>
      <c r="Q75" s="11" t="s">
        <v>1005</v>
      </c>
      <c r="R75" s="11" t="s">
        <v>1006</v>
      </c>
      <c r="S75" s="10" t="s">
        <v>1032</v>
      </c>
      <c r="T75" s="11" t="s">
        <v>1008</v>
      </c>
      <c r="U75" s="10" t="s">
        <v>338</v>
      </c>
      <c r="V75" s="10" t="s">
        <v>116</v>
      </c>
    </row>
    <row r="76" customFormat="false" ht="39.55" hidden="false" customHeight="false" outlineLevel="0" collapsed="false">
      <c r="A76" s="10" t="s">
        <v>341</v>
      </c>
      <c r="B76" s="11" t="s">
        <v>342</v>
      </c>
      <c r="C76" s="10" t="s">
        <v>312</v>
      </c>
      <c r="D76" s="10" t="s">
        <v>329</v>
      </c>
      <c r="E76" s="11" t="s">
        <v>1033</v>
      </c>
      <c r="F76" s="10" t="s">
        <v>1021</v>
      </c>
      <c r="G76" s="10" t="n">
        <v>4</v>
      </c>
      <c r="H76" s="10" t="n">
        <v>3</v>
      </c>
      <c r="I76" s="10" t="n">
        <v>6</v>
      </c>
      <c r="J76" s="11" t="s">
        <v>825</v>
      </c>
      <c r="K76" s="10" t="n">
        <v>1.5</v>
      </c>
      <c r="L76" s="10"/>
      <c r="M76" s="10" t="s">
        <v>98</v>
      </c>
      <c r="N76" s="10" t="s">
        <v>1034</v>
      </c>
      <c r="O76" s="11" t="s">
        <v>827</v>
      </c>
      <c r="P76" s="10" t="n">
        <v>1</v>
      </c>
      <c r="Q76" s="11" t="s">
        <v>1005</v>
      </c>
      <c r="R76" s="11" t="s">
        <v>1006</v>
      </c>
      <c r="S76" s="11" t="s">
        <v>1035</v>
      </c>
      <c r="T76" s="11" t="s">
        <v>1008</v>
      </c>
      <c r="U76" s="10" t="s">
        <v>341</v>
      </c>
      <c r="V76" s="10" t="s">
        <v>116</v>
      </c>
    </row>
    <row r="77" customFormat="false" ht="39.55" hidden="false" customHeight="false" outlineLevel="0" collapsed="false">
      <c r="A77" s="10" t="s">
        <v>344</v>
      </c>
      <c r="B77" s="11" t="s">
        <v>345</v>
      </c>
      <c r="C77" s="10" t="s">
        <v>312</v>
      </c>
      <c r="D77" s="10" t="s">
        <v>329</v>
      </c>
      <c r="E77" s="11" t="s">
        <v>1036</v>
      </c>
      <c r="F77" s="10" t="s">
        <v>1021</v>
      </c>
      <c r="G77" s="10" t="n">
        <v>4</v>
      </c>
      <c r="H77" s="10" t="n">
        <v>3</v>
      </c>
      <c r="I77" s="10" t="n">
        <v>6</v>
      </c>
      <c r="J77" s="11" t="s">
        <v>825</v>
      </c>
      <c r="K77" s="10" t="n">
        <v>1.5</v>
      </c>
      <c r="L77" s="10"/>
      <c r="M77" s="10" t="s">
        <v>98</v>
      </c>
      <c r="N77" s="10" t="s">
        <v>1037</v>
      </c>
      <c r="O77" s="11" t="s">
        <v>827</v>
      </c>
      <c r="P77" s="10" t="n">
        <v>1</v>
      </c>
      <c r="Q77" s="11" t="s">
        <v>1005</v>
      </c>
      <c r="R77" s="11" t="s">
        <v>1006</v>
      </c>
      <c r="S77" s="11" t="s">
        <v>1038</v>
      </c>
      <c r="T77" s="11" t="s">
        <v>1008</v>
      </c>
      <c r="U77" s="10" t="s">
        <v>344</v>
      </c>
      <c r="V77" s="10" t="s">
        <v>116</v>
      </c>
    </row>
    <row r="78" customFormat="false" ht="39.55" hidden="false" customHeight="false" outlineLevel="0" collapsed="false">
      <c r="A78" s="10" t="s">
        <v>347</v>
      </c>
      <c r="B78" s="10" t="s">
        <v>348</v>
      </c>
      <c r="C78" s="10" t="s">
        <v>312</v>
      </c>
      <c r="D78" s="10" t="s">
        <v>329</v>
      </c>
      <c r="E78" s="11" t="s">
        <v>1039</v>
      </c>
      <c r="F78" s="10" t="s">
        <v>1021</v>
      </c>
      <c r="G78" s="10" t="n">
        <v>4</v>
      </c>
      <c r="H78" s="10" t="n">
        <v>3</v>
      </c>
      <c r="I78" s="10" t="n">
        <v>6</v>
      </c>
      <c r="J78" s="11" t="s">
        <v>825</v>
      </c>
      <c r="K78" s="10" t="n">
        <v>1.5</v>
      </c>
      <c r="L78" s="10"/>
      <c r="M78" s="10" t="s">
        <v>98</v>
      </c>
      <c r="N78" s="10" t="s">
        <v>1040</v>
      </c>
      <c r="O78" s="11" t="s">
        <v>827</v>
      </c>
      <c r="P78" s="10" t="n">
        <v>1</v>
      </c>
      <c r="Q78" s="11" t="s">
        <v>1005</v>
      </c>
      <c r="R78" s="11" t="s">
        <v>1006</v>
      </c>
      <c r="S78" s="10" t="s">
        <v>1041</v>
      </c>
      <c r="T78" s="11" t="s">
        <v>1008</v>
      </c>
      <c r="U78" s="10" t="s">
        <v>347</v>
      </c>
      <c r="V78" s="10" t="s">
        <v>116</v>
      </c>
    </row>
    <row r="79" customFormat="false" ht="39.55" hidden="false" customHeight="false" outlineLevel="0" collapsed="false">
      <c r="A79" s="10" t="s">
        <v>350</v>
      </c>
      <c r="B79" s="10" t="s">
        <v>352</v>
      </c>
      <c r="C79" s="10" t="s">
        <v>312</v>
      </c>
      <c r="D79" s="10" t="s">
        <v>351</v>
      </c>
      <c r="E79" s="11" t="s">
        <v>1042</v>
      </c>
      <c r="F79" s="11" t="s">
        <v>1043</v>
      </c>
      <c r="G79" s="10" t="n">
        <v>5</v>
      </c>
      <c r="H79" s="10" t="n">
        <v>4</v>
      </c>
      <c r="I79" s="10" t="n">
        <v>9</v>
      </c>
      <c r="J79" s="11" t="s">
        <v>917</v>
      </c>
      <c r="K79" s="10" t="n">
        <v>1</v>
      </c>
      <c r="L79" s="10" t="s">
        <v>221</v>
      </c>
      <c r="M79" s="10" t="s">
        <v>133</v>
      </c>
      <c r="N79" s="10" t="s">
        <v>1044</v>
      </c>
      <c r="O79" s="11" t="s">
        <v>919</v>
      </c>
      <c r="P79" s="10" t="n">
        <v>1.2</v>
      </c>
      <c r="Q79" s="11" t="s">
        <v>1005</v>
      </c>
      <c r="R79" s="11" t="s">
        <v>1006</v>
      </c>
      <c r="S79" s="10" t="s">
        <v>1045</v>
      </c>
      <c r="T79" s="11" t="s">
        <v>1008</v>
      </c>
      <c r="U79" s="10" t="s">
        <v>350</v>
      </c>
      <c r="V79" s="10" t="s">
        <v>100</v>
      </c>
    </row>
    <row r="80" customFormat="false" ht="39.55" hidden="false" customHeight="false" outlineLevel="0" collapsed="false">
      <c r="A80" s="10" t="s">
        <v>354</v>
      </c>
      <c r="B80" s="10" t="s">
        <v>355</v>
      </c>
      <c r="C80" s="10" t="s">
        <v>312</v>
      </c>
      <c r="D80" s="10" t="s">
        <v>351</v>
      </c>
      <c r="E80" s="11" t="s">
        <v>1046</v>
      </c>
      <c r="F80" s="11" t="s">
        <v>1043</v>
      </c>
      <c r="G80" s="10" t="n">
        <v>5</v>
      </c>
      <c r="H80" s="10" t="n">
        <v>4</v>
      </c>
      <c r="I80" s="10" t="n">
        <v>9</v>
      </c>
      <c r="J80" s="11" t="s">
        <v>917</v>
      </c>
      <c r="K80" s="10" t="n">
        <v>1</v>
      </c>
      <c r="L80" s="10" t="s">
        <v>224</v>
      </c>
      <c r="M80" s="10" t="s">
        <v>133</v>
      </c>
      <c r="N80" s="10" t="s">
        <v>1047</v>
      </c>
      <c r="O80" s="11" t="s">
        <v>919</v>
      </c>
      <c r="P80" s="10" t="n">
        <v>1.2</v>
      </c>
      <c r="Q80" s="11" t="s">
        <v>1005</v>
      </c>
      <c r="R80" s="11" t="s">
        <v>1006</v>
      </c>
      <c r="S80" s="10" t="s">
        <v>1048</v>
      </c>
      <c r="T80" s="11" t="s">
        <v>1008</v>
      </c>
      <c r="U80" s="10" t="s">
        <v>354</v>
      </c>
      <c r="V80" s="10" t="s">
        <v>100</v>
      </c>
    </row>
    <row r="81" customFormat="false" ht="39.55" hidden="false" customHeight="false" outlineLevel="0" collapsed="false">
      <c r="A81" s="10" t="s">
        <v>357</v>
      </c>
      <c r="B81" s="10" t="s">
        <v>358</v>
      </c>
      <c r="C81" s="10" t="s">
        <v>312</v>
      </c>
      <c r="D81" s="10" t="s">
        <v>351</v>
      </c>
      <c r="E81" s="11" t="s">
        <v>1049</v>
      </c>
      <c r="F81" s="11" t="s">
        <v>1043</v>
      </c>
      <c r="G81" s="10" t="n">
        <v>5</v>
      </c>
      <c r="H81" s="10" t="n">
        <v>3</v>
      </c>
      <c r="I81" s="10" t="n">
        <v>6</v>
      </c>
      <c r="J81" s="11" t="s">
        <v>825</v>
      </c>
      <c r="K81" s="10" t="n">
        <v>1.5</v>
      </c>
      <c r="L81" s="10"/>
      <c r="M81" s="10" t="s">
        <v>98</v>
      </c>
      <c r="N81" s="10" t="s">
        <v>1022</v>
      </c>
      <c r="O81" s="11" t="s">
        <v>827</v>
      </c>
      <c r="P81" s="10" t="n">
        <v>1</v>
      </c>
      <c r="Q81" s="11" t="s">
        <v>1005</v>
      </c>
      <c r="R81" s="11" t="s">
        <v>1006</v>
      </c>
      <c r="S81" s="10" t="s">
        <v>1050</v>
      </c>
      <c r="T81" s="11" t="s">
        <v>1008</v>
      </c>
      <c r="U81" s="10" t="s">
        <v>357</v>
      </c>
      <c r="V81" s="10" t="s">
        <v>100</v>
      </c>
    </row>
    <row r="82" customFormat="false" ht="39.55" hidden="false" customHeight="false" outlineLevel="0" collapsed="false">
      <c r="A82" s="10" t="s">
        <v>360</v>
      </c>
      <c r="B82" s="11" t="s">
        <v>361</v>
      </c>
      <c r="C82" s="10" t="s">
        <v>312</v>
      </c>
      <c r="D82" s="10" t="s">
        <v>351</v>
      </c>
      <c r="E82" s="10" t="s">
        <v>1051</v>
      </c>
      <c r="F82" s="11" t="s">
        <v>1043</v>
      </c>
      <c r="G82" s="10" t="n">
        <v>5</v>
      </c>
      <c r="H82" s="10" t="n">
        <v>3</v>
      </c>
      <c r="I82" s="10" t="n">
        <v>6</v>
      </c>
      <c r="J82" s="11" t="s">
        <v>825</v>
      </c>
      <c r="K82" s="10" t="n">
        <v>1.5</v>
      </c>
      <c r="L82" s="10"/>
      <c r="M82" s="10" t="s">
        <v>98</v>
      </c>
      <c r="N82" s="10" t="s">
        <v>1052</v>
      </c>
      <c r="O82" s="11" t="s">
        <v>827</v>
      </c>
      <c r="P82" s="10" t="n">
        <v>1</v>
      </c>
      <c r="Q82" s="11" t="s">
        <v>1005</v>
      </c>
      <c r="R82" s="11" t="s">
        <v>1006</v>
      </c>
      <c r="S82" s="11" t="s">
        <v>1053</v>
      </c>
      <c r="T82" s="11" t="s">
        <v>1008</v>
      </c>
      <c r="U82" s="10" t="s">
        <v>360</v>
      </c>
      <c r="V82" s="10" t="s">
        <v>116</v>
      </c>
    </row>
    <row r="83" customFormat="false" ht="39.55" hidden="false" customHeight="false" outlineLevel="0" collapsed="false">
      <c r="A83" s="10" t="s">
        <v>363</v>
      </c>
      <c r="B83" s="11" t="s">
        <v>364</v>
      </c>
      <c r="C83" s="10" t="s">
        <v>312</v>
      </c>
      <c r="D83" s="10" t="s">
        <v>351</v>
      </c>
      <c r="E83" s="11" t="s">
        <v>1054</v>
      </c>
      <c r="F83" s="11" t="s">
        <v>1043</v>
      </c>
      <c r="G83" s="10" t="n">
        <v>5</v>
      </c>
      <c r="H83" s="10" t="n">
        <v>4</v>
      </c>
      <c r="I83" s="10" t="n">
        <v>9</v>
      </c>
      <c r="J83" s="11" t="s">
        <v>917</v>
      </c>
      <c r="K83" s="10" t="n">
        <v>1</v>
      </c>
      <c r="L83" s="10"/>
      <c r="M83" s="10" t="s">
        <v>133</v>
      </c>
      <c r="N83" s="10" t="s">
        <v>1055</v>
      </c>
      <c r="O83" s="11" t="s">
        <v>919</v>
      </c>
      <c r="P83" s="10" t="n">
        <v>1</v>
      </c>
      <c r="Q83" s="11" t="s">
        <v>1005</v>
      </c>
      <c r="R83" s="11" t="s">
        <v>1006</v>
      </c>
      <c r="S83" s="11" t="s">
        <v>1056</v>
      </c>
      <c r="T83" s="11" t="s">
        <v>1008</v>
      </c>
      <c r="U83" s="10" t="s">
        <v>363</v>
      </c>
      <c r="V83" s="10" t="s">
        <v>116</v>
      </c>
    </row>
    <row r="84" customFormat="false" ht="39.55" hidden="false" customHeight="false" outlineLevel="0" collapsed="false">
      <c r="A84" s="10" t="s">
        <v>366</v>
      </c>
      <c r="B84" s="11" t="s">
        <v>367</v>
      </c>
      <c r="C84" s="10" t="s">
        <v>312</v>
      </c>
      <c r="D84" s="10" t="s">
        <v>351</v>
      </c>
      <c r="E84" s="11" t="s">
        <v>1057</v>
      </c>
      <c r="F84" s="11" t="s">
        <v>1043</v>
      </c>
      <c r="G84" s="10" t="n">
        <v>5</v>
      </c>
      <c r="H84" s="10" t="n">
        <v>4</v>
      </c>
      <c r="I84" s="10" t="n">
        <v>9</v>
      </c>
      <c r="J84" s="11" t="s">
        <v>917</v>
      </c>
      <c r="K84" s="10" t="n">
        <v>1</v>
      </c>
      <c r="L84" s="10" t="s">
        <v>363</v>
      </c>
      <c r="M84" s="10" t="s">
        <v>133</v>
      </c>
      <c r="N84" s="10" t="s">
        <v>1058</v>
      </c>
      <c r="O84" s="11" t="s">
        <v>919</v>
      </c>
      <c r="P84" s="10" t="n">
        <v>1</v>
      </c>
      <c r="Q84" s="11" t="s">
        <v>1005</v>
      </c>
      <c r="R84" s="11" t="s">
        <v>1006</v>
      </c>
      <c r="S84" s="11" t="s">
        <v>1059</v>
      </c>
      <c r="T84" s="11" t="s">
        <v>1008</v>
      </c>
      <c r="U84" s="10" t="s">
        <v>366</v>
      </c>
      <c r="V84" s="10" t="s">
        <v>116</v>
      </c>
    </row>
    <row r="85" customFormat="false" ht="39.55" hidden="false" customHeight="false" outlineLevel="0" collapsed="false">
      <c r="A85" s="10" t="s">
        <v>369</v>
      </c>
      <c r="B85" s="11" t="s">
        <v>370</v>
      </c>
      <c r="C85" s="10" t="s">
        <v>312</v>
      </c>
      <c r="D85" s="10" t="s">
        <v>351</v>
      </c>
      <c r="E85" s="11" t="s">
        <v>1060</v>
      </c>
      <c r="F85" s="11" t="s">
        <v>1043</v>
      </c>
      <c r="G85" s="10" t="n">
        <v>5</v>
      </c>
      <c r="H85" s="10" t="n">
        <v>4</v>
      </c>
      <c r="I85" s="10" t="n">
        <v>9</v>
      </c>
      <c r="J85" s="11" t="s">
        <v>917</v>
      </c>
      <c r="K85" s="10" t="n">
        <v>1</v>
      </c>
      <c r="L85" s="10"/>
      <c r="M85" s="10" t="s">
        <v>133</v>
      </c>
      <c r="N85" s="10" t="s">
        <v>1061</v>
      </c>
      <c r="O85" s="11" t="s">
        <v>919</v>
      </c>
      <c r="P85" s="10" t="n">
        <v>1</v>
      </c>
      <c r="Q85" s="11" t="s">
        <v>1005</v>
      </c>
      <c r="R85" s="11" t="s">
        <v>1006</v>
      </c>
      <c r="S85" s="11" t="s">
        <v>1062</v>
      </c>
      <c r="T85" s="11" t="s">
        <v>1008</v>
      </c>
      <c r="U85" s="10" t="s">
        <v>369</v>
      </c>
      <c r="V85" s="10" t="s">
        <v>116</v>
      </c>
    </row>
    <row r="86" customFormat="false" ht="39.55" hidden="false" customHeight="false" outlineLevel="0" collapsed="false">
      <c r="A86" s="10" t="s">
        <v>372</v>
      </c>
      <c r="B86" s="10" t="s">
        <v>373</v>
      </c>
      <c r="C86" s="10" t="s">
        <v>312</v>
      </c>
      <c r="D86" s="10" t="s">
        <v>351</v>
      </c>
      <c r="E86" s="11" t="s">
        <v>1063</v>
      </c>
      <c r="F86" s="11" t="s">
        <v>1043</v>
      </c>
      <c r="G86" s="10" t="n">
        <v>5</v>
      </c>
      <c r="H86" s="10" t="n">
        <v>3</v>
      </c>
      <c r="I86" s="10" t="n">
        <v>6</v>
      </c>
      <c r="J86" s="11" t="s">
        <v>825</v>
      </c>
      <c r="K86" s="10" t="n">
        <v>1.5</v>
      </c>
      <c r="L86" s="10"/>
      <c r="M86" s="10" t="s">
        <v>98</v>
      </c>
      <c r="N86" s="10" t="s">
        <v>1034</v>
      </c>
      <c r="O86" s="11" t="s">
        <v>827</v>
      </c>
      <c r="P86" s="10" t="n">
        <v>1</v>
      </c>
      <c r="Q86" s="11" t="s">
        <v>1005</v>
      </c>
      <c r="R86" s="11" t="s">
        <v>1006</v>
      </c>
      <c r="S86" s="10" t="s">
        <v>1064</v>
      </c>
      <c r="T86" s="11" t="s">
        <v>1008</v>
      </c>
      <c r="U86" s="10" t="s">
        <v>372</v>
      </c>
      <c r="V86" s="10" t="s">
        <v>116</v>
      </c>
    </row>
    <row r="87" customFormat="false" ht="39.55" hidden="false" customHeight="false" outlineLevel="0" collapsed="false">
      <c r="A87" s="10" t="s">
        <v>375</v>
      </c>
      <c r="B87" s="11" t="s">
        <v>377</v>
      </c>
      <c r="C87" s="10" t="s">
        <v>312</v>
      </c>
      <c r="D87" s="10" t="s">
        <v>376</v>
      </c>
      <c r="E87" s="11" t="s">
        <v>1065</v>
      </c>
      <c r="F87" s="10" t="s">
        <v>1066</v>
      </c>
      <c r="G87" s="10" t="n">
        <v>5</v>
      </c>
      <c r="H87" s="10" t="n">
        <v>4</v>
      </c>
      <c r="I87" s="10" t="n">
        <v>9</v>
      </c>
      <c r="J87" s="11" t="s">
        <v>917</v>
      </c>
      <c r="K87" s="10" t="n">
        <v>1</v>
      </c>
      <c r="L87" s="10"/>
      <c r="M87" s="10" t="s">
        <v>133</v>
      </c>
      <c r="N87" s="10" t="s">
        <v>1067</v>
      </c>
      <c r="O87" s="11" t="s">
        <v>919</v>
      </c>
      <c r="P87" s="10" t="n">
        <v>1</v>
      </c>
      <c r="Q87" s="11" t="s">
        <v>1005</v>
      </c>
      <c r="R87" s="11" t="s">
        <v>1006</v>
      </c>
      <c r="S87" s="11" t="s">
        <v>1068</v>
      </c>
      <c r="T87" s="11" t="s">
        <v>1008</v>
      </c>
      <c r="U87" s="10" t="s">
        <v>375</v>
      </c>
      <c r="V87" s="10" t="s">
        <v>116</v>
      </c>
    </row>
    <row r="88" customFormat="false" ht="39.55" hidden="false" customHeight="false" outlineLevel="0" collapsed="false">
      <c r="A88" s="10" t="s">
        <v>379</v>
      </c>
      <c r="B88" s="11" t="s">
        <v>380</v>
      </c>
      <c r="C88" s="10" t="s">
        <v>312</v>
      </c>
      <c r="D88" s="10" t="s">
        <v>376</v>
      </c>
      <c r="E88" s="11" t="s">
        <v>1069</v>
      </c>
      <c r="F88" s="10" t="s">
        <v>1066</v>
      </c>
      <c r="G88" s="10" t="n">
        <v>5</v>
      </c>
      <c r="H88" s="10" t="n">
        <v>4</v>
      </c>
      <c r="I88" s="10" t="n">
        <v>9</v>
      </c>
      <c r="J88" s="11" t="s">
        <v>917</v>
      </c>
      <c r="K88" s="10" t="n">
        <v>1</v>
      </c>
      <c r="L88" s="10"/>
      <c r="M88" s="10" t="s">
        <v>133</v>
      </c>
      <c r="N88" s="10" t="s">
        <v>981</v>
      </c>
      <c r="O88" s="11" t="s">
        <v>919</v>
      </c>
      <c r="P88" s="10" t="n">
        <v>1.2</v>
      </c>
      <c r="Q88" s="11" t="s">
        <v>1005</v>
      </c>
      <c r="R88" s="11" t="s">
        <v>1006</v>
      </c>
      <c r="S88" s="11" t="s">
        <v>1070</v>
      </c>
      <c r="T88" s="11" t="s">
        <v>1008</v>
      </c>
      <c r="U88" s="10" t="s">
        <v>379</v>
      </c>
      <c r="V88" s="10" t="s">
        <v>116</v>
      </c>
    </row>
    <row r="89" customFormat="false" ht="39.55" hidden="false" customHeight="false" outlineLevel="0" collapsed="false">
      <c r="A89" s="10" t="s">
        <v>382</v>
      </c>
      <c r="B89" s="11" t="s">
        <v>383</v>
      </c>
      <c r="C89" s="10" t="s">
        <v>312</v>
      </c>
      <c r="D89" s="10" t="s">
        <v>376</v>
      </c>
      <c r="E89" s="11" t="s">
        <v>1071</v>
      </c>
      <c r="F89" s="10" t="s">
        <v>1066</v>
      </c>
      <c r="G89" s="10" t="n">
        <v>5</v>
      </c>
      <c r="H89" s="10" t="n">
        <v>4</v>
      </c>
      <c r="I89" s="10" t="n">
        <v>9</v>
      </c>
      <c r="J89" s="11" t="s">
        <v>917</v>
      </c>
      <c r="K89" s="10" t="n">
        <v>1</v>
      </c>
      <c r="L89" s="10"/>
      <c r="M89" s="10" t="s">
        <v>133</v>
      </c>
      <c r="N89" s="10" t="s">
        <v>1072</v>
      </c>
      <c r="O89" s="11" t="s">
        <v>919</v>
      </c>
      <c r="P89" s="10" t="n">
        <v>1</v>
      </c>
      <c r="Q89" s="11" t="s">
        <v>1005</v>
      </c>
      <c r="R89" s="11" t="s">
        <v>1006</v>
      </c>
      <c r="S89" s="11" t="s">
        <v>1073</v>
      </c>
      <c r="T89" s="11" t="s">
        <v>1008</v>
      </c>
      <c r="U89" s="10" t="s">
        <v>382</v>
      </c>
      <c r="V89" s="10" t="s">
        <v>116</v>
      </c>
    </row>
    <row r="90" customFormat="false" ht="39.55" hidden="false" customHeight="false" outlineLevel="0" collapsed="false">
      <c r="A90" s="10" t="s">
        <v>385</v>
      </c>
      <c r="B90" s="11" t="s">
        <v>386</v>
      </c>
      <c r="C90" s="10" t="s">
        <v>312</v>
      </c>
      <c r="D90" s="10" t="s">
        <v>376</v>
      </c>
      <c r="E90" s="11" t="s">
        <v>1074</v>
      </c>
      <c r="F90" s="10" t="s">
        <v>1066</v>
      </c>
      <c r="G90" s="10" t="n">
        <v>5</v>
      </c>
      <c r="H90" s="10" t="n">
        <v>4</v>
      </c>
      <c r="I90" s="10" t="n">
        <v>9</v>
      </c>
      <c r="J90" s="11" t="s">
        <v>917</v>
      </c>
      <c r="K90" s="10" t="n">
        <v>1</v>
      </c>
      <c r="L90" s="10"/>
      <c r="M90" s="10" t="s">
        <v>133</v>
      </c>
      <c r="N90" s="10" t="s">
        <v>1075</v>
      </c>
      <c r="O90" s="11" t="s">
        <v>919</v>
      </c>
      <c r="P90" s="10" t="n">
        <v>1</v>
      </c>
      <c r="Q90" s="11" t="s">
        <v>1005</v>
      </c>
      <c r="R90" s="11" t="s">
        <v>1006</v>
      </c>
      <c r="S90" s="11" t="s">
        <v>1076</v>
      </c>
      <c r="T90" s="11" t="s">
        <v>1008</v>
      </c>
      <c r="U90" s="10" t="s">
        <v>385</v>
      </c>
      <c r="V90" s="10" t="s">
        <v>116</v>
      </c>
    </row>
    <row r="91" customFormat="false" ht="39.55" hidden="false" customHeight="false" outlineLevel="0" collapsed="false">
      <c r="A91" s="10" t="s">
        <v>388</v>
      </c>
      <c r="B91" s="11" t="s">
        <v>389</v>
      </c>
      <c r="C91" s="10" t="s">
        <v>312</v>
      </c>
      <c r="D91" s="10" t="s">
        <v>376</v>
      </c>
      <c r="E91" s="11" t="s">
        <v>1077</v>
      </c>
      <c r="F91" s="10" t="s">
        <v>1066</v>
      </c>
      <c r="G91" s="10" t="n">
        <v>5</v>
      </c>
      <c r="H91" s="10" t="n">
        <v>4</v>
      </c>
      <c r="I91" s="10" t="n">
        <v>9</v>
      </c>
      <c r="J91" s="11" t="s">
        <v>917</v>
      </c>
      <c r="K91" s="10" t="n">
        <v>1</v>
      </c>
      <c r="L91" s="10"/>
      <c r="M91" s="10" t="s">
        <v>133</v>
      </c>
      <c r="N91" s="10" t="s">
        <v>1078</v>
      </c>
      <c r="O91" s="11" t="s">
        <v>919</v>
      </c>
      <c r="P91" s="10" t="n">
        <v>1</v>
      </c>
      <c r="Q91" s="11" t="s">
        <v>1005</v>
      </c>
      <c r="R91" s="11" t="s">
        <v>1006</v>
      </c>
      <c r="S91" s="11" t="s">
        <v>1079</v>
      </c>
      <c r="T91" s="11" t="s">
        <v>1008</v>
      </c>
      <c r="U91" s="10" t="s">
        <v>388</v>
      </c>
      <c r="V91" s="10" t="s">
        <v>116</v>
      </c>
    </row>
    <row r="92" customFormat="false" ht="39.55" hidden="false" customHeight="false" outlineLevel="0" collapsed="false">
      <c r="A92" s="10" t="s">
        <v>391</v>
      </c>
      <c r="B92" s="11" t="s">
        <v>393</v>
      </c>
      <c r="C92" s="10" t="s">
        <v>312</v>
      </c>
      <c r="D92" s="10" t="s">
        <v>392</v>
      </c>
      <c r="E92" s="11" t="s">
        <v>1080</v>
      </c>
      <c r="F92" s="11" t="s">
        <v>1081</v>
      </c>
      <c r="G92" s="10" t="n">
        <v>4</v>
      </c>
      <c r="H92" s="10" t="n">
        <v>4</v>
      </c>
      <c r="I92" s="10" t="n">
        <v>9</v>
      </c>
      <c r="J92" s="11" t="s">
        <v>917</v>
      </c>
      <c r="K92" s="10" t="n">
        <v>1</v>
      </c>
      <c r="L92" s="10"/>
      <c r="M92" s="10" t="s">
        <v>133</v>
      </c>
      <c r="N92" s="10" t="s">
        <v>1082</v>
      </c>
      <c r="O92" s="11" t="s">
        <v>919</v>
      </c>
      <c r="P92" s="10" t="n">
        <v>1.2</v>
      </c>
      <c r="Q92" s="11" t="s">
        <v>1005</v>
      </c>
      <c r="R92" s="11" t="s">
        <v>1006</v>
      </c>
      <c r="S92" s="11" t="s">
        <v>1083</v>
      </c>
      <c r="T92" s="11" t="s">
        <v>1008</v>
      </c>
      <c r="U92" s="10" t="s">
        <v>391</v>
      </c>
      <c r="V92" s="10" t="s">
        <v>100</v>
      </c>
    </row>
    <row r="93" customFormat="false" ht="39.55" hidden="false" customHeight="false" outlineLevel="0" collapsed="false">
      <c r="A93" s="10" t="s">
        <v>395</v>
      </c>
      <c r="B93" s="11" t="s">
        <v>396</v>
      </c>
      <c r="C93" s="10" t="s">
        <v>312</v>
      </c>
      <c r="D93" s="10" t="s">
        <v>392</v>
      </c>
      <c r="E93" s="11" t="s">
        <v>1084</v>
      </c>
      <c r="F93" s="11" t="s">
        <v>1081</v>
      </c>
      <c r="G93" s="10" t="n">
        <v>4</v>
      </c>
      <c r="H93" s="10" t="n">
        <v>4</v>
      </c>
      <c r="I93" s="10" t="n">
        <v>9</v>
      </c>
      <c r="J93" s="11" t="s">
        <v>917</v>
      </c>
      <c r="K93" s="10" t="n">
        <v>1</v>
      </c>
      <c r="L93" s="10"/>
      <c r="M93" s="10" t="s">
        <v>133</v>
      </c>
      <c r="N93" s="10" t="s">
        <v>1085</v>
      </c>
      <c r="O93" s="11" t="s">
        <v>919</v>
      </c>
      <c r="P93" s="10" t="n">
        <v>1</v>
      </c>
      <c r="Q93" s="11" t="s">
        <v>1005</v>
      </c>
      <c r="R93" s="11" t="s">
        <v>1006</v>
      </c>
      <c r="S93" s="11" t="s">
        <v>1086</v>
      </c>
      <c r="T93" s="11" t="s">
        <v>1008</v>
      </c>
      <c r="U93" s="10" t="s">
        <v>395</v>
      </c>
      <c r="V93" s="10" t="s">
        <v>100</v>
      </c>
    </row>
    <row r="94" customFormat="false" ht="39.55" hidden="false" customHeight="false" outlineLevel="0" collapsed="false">
      <c r="A94" s="10" t="s">
        <v>398</v>
      </c>
      <c r="B94" s="11" t="s">
        <v>399</v>
      </c>
      <c r="C94" s="10" t="s">
        <v>312</v>
      </c>
      <c r="D94" s="10" t="s">
        <v>392</v>
      </c>
      <c r="E94" s="11" t="s">
        <v>1087</v>
      </c>
      <c r="F94" s="11" t="s">
        <v>1081</v>
      </c>
      <c r="G94" s="10" t="n">
        <v>4</v>
      </c>
      <c r="H94" s="10" t="n">
        <v>4</v>
      </c>
      <c r="I94" s="10" t="n">
        <v>9</v>
      </c>
      <c r="J94" s="11" t="s">
        <v>917</v>
      </c>
      <c r="K94" s="10" t="n">
        <v>1</v>
      </c>
      <c r="L94" s="10"/>
      <c r="M94" s="10" t="s">
        <v>133</v>
      </c>
      <c r="N94" s="10" t="s">
        <v>1088</v>
      </c>
      <c r="O94" s="11" t="s">
        <v>919</v>
      </c>
      <c r="P94" s="10" t="n">
        <v>1</v>
      </c>
      <c r="Q94" s="11" t="s">
        <v>1005</v>
      </c>
      <c r="R94" s="11" t="s">
        <v>1006</v>
      </c>
      <c r="S94" s="11" t="s">
        <v>1089</v>
      </c>
      <c r="T94" s="11" t="s">
        <v>1008</v>
      </c>
      <c r="U94" s="10" t="s">
        <v>398</v>
      </c>
      <c r="V94" s="10" t="s">
        <v>116</v>
      </c>
    </row>
    <row r="95" customFormat="false" ht="39.55" hidden="false" customHeight="false" outlineLevel="0" collapsed="false">
      <c r="A95" s="10" t="s">
        <v>401</v>
      </c>
      <c r="B95" s="11" t="s">
        <v>402</v>
      </c>
      <c r="C95" s="10" t="s">
        <v>312</v>
      </c>
      <c r="D95" s="10" t="s">
        <v>392</v>
      </c>
      <c r="E95" s="11" t="s">
        <v>1090</v>
      </c>
      <c r="F95" s="11" t="s">
        <v>1081</v>
      </c>
      <c r="G95" s="10" t="n">
        <v>4</v>
      </c>
      <c r="H95" s="10" t="n">
        <v>4</v>
      </c>
      <c r="I95" s="10" t="n">
        <v>9</v>
      </c>
      <c r="J95" s="11" t="s">
        <v>917</v>
      </c>
      <c r="K95" s="10" t="n">
        <v>1</v>
      </c>
      <c r="L95" s="10" t="s">
        <v>263</v>
      </c>
      <c r="M95" s="10" t="s">
        <v>133</v>
      </c>
      <c r="N95" s="10" t="s">
        <v>1091</v>
      </c>
      <c r="O95" s="11" t="s">
        <v>919</v>
      </c>
      <c r="P95" s="10" t="n">
        <v>1</v>
      </c>
      <c r="Q95" s="11" t="s">
        <v>1005</v>
      </c>
      <c r="R95" s="11" t="s">
        <v>1006</v>
      </c>
      <c r="S95" s="11" t="s">
        <v>1092</v>
      </c>
      <c r="T95" s="11" t="s">
        <v>1008</v>
      </c>
      <c r="U95" s="10" t="s">
        <v>401</v>
      </c>
      <c r="V95" s="10" t="s">
        <v>116</v>
      </c>
    </row>
    <row r="96" customFormat="false" ht="39.55" hidden="false" customHeight="false" outlineLevel="0" collapsed="false">
      <c r="A96" s="10" t="s">
        <v>404</v>
      </c>
      <c r="B96" s="11" t="s">
        <v>405</v>
      </c>
      <c r="C96" s="10" t="s">
        <v>312</v>
      </c>
      <c r="D96" s="10" t="s">
        <v>392</v>
      </c>
      <c r="E96" s="11" t="s">
        <v>1093</v>
      </c>
      <c r="F96" s="11" t="s">
        <v>1081</v>
      </c>
      <c r="G96" s="10" t="n">
        <v>4</v>
      </c>
      <c r="H96" s="10" t="n">
        <v>4</v>
      </c>
      <c r="I96" s="10" t="n">
        <v>9</v>
      </c>
      <c r="J96" s="11" t="s">
        <v>917</v>
      </c>
      <c r="K96" s="10" t="n">
        <v>1</v>
      </c>
      <c r="L96" s="10"/>
      <c r="M96" s="10" t="s">
        <v>133</v>
      </c>
      <c r="N96" s="10" t="s">
        <v>1094</v>
      </c>
      <c r="O96" s="11" t="s">
        <v>919</v>
      </c>
      <c r="P96" s="10" t="n">
        <v>1.2</v>
      </c>
      <c r="Q96" s="11" t="s">
        <v>1005</v>
      </c>
      <c r="R96" s="11" t="s">
        <v>1006</v>
      </c>
      <c r="S96" s="11" t="s">
        <v>1095</v>
      </c>
      <c r="T96" s="11" t="s">
        <v>1008</v>
      </c>
      <c r="U96" s="10" t="s">
        <v>404</v>
      </c>
      <c r="V96" s="10" t="s">
        <v>116</v>
      </c>
    </row>
    <row r="97" customFormat="false" ht="39.55" hidden="false" customHeight="false" outlineLevel="0" collapsed="false">
      <c r="A97" s="10" t="s">
        <v>407</v>
      </c>
      <c r="B97" s="11" t="s">
        <v>408</v>
      </c>
      <c r="C97" s="10" t="s">
        <v>312</v>
      </c>
      <c r="D97" s="10" t="s">
        <v>392</v>
      </c>
      <c r="E97" s="11" t="s">
        <v>1096</v>
      </c>
      <c r="F97" s="11" t="s">
        <v>1081</v>
      </c>
      <c r="G97" s="10" t="n">
        <v>4</v>
      </c>
      <c r="H97" s="10" t="n">
        <v>4</v>
      </c>
      <c r="I97" s="10" t="n">
        <v>9</v>
      </c>
      <c r="J97" s="11" t="s">
        <v>917</v>
      </c>
      <c r="K97" s="10" t="n">
        <v>1</v>
      </c>
      <c r="L97" s="10"/>
      <c r="M97" s="10" t="s">
        <v>133</v>
      </c>
      <c r="N97" s="10" t="s">
        <v>1097</v>
      </c>
      <c r="O97" s="11" t="s">
        <v>919</v>
      </c>
      <c r="P97" s="10" t="n">
        <v>1</v>
      </c>
      <c r="Q97" s="11" t="s">
        <v>1005</v>
      </c>
      <c r="R97" s="11" t="s">
        <v>1006</v>
      </c>
      <c r="S97" s="11" t="s">
        <v>1098</v>
      </c>
      <c r="T97" s="11" t="s">
        <v>1008</v>
      </c>
      <c r="U97" s="10" t="s">
        <v>407</v>
      </c>
      <c r="V97" s="10" t="s">
        <v>116</v>
      </c>
    </row>
    <row r="98" customFormat="false" ht="39.55" hidden="false" customHeight="false" outlineLevel="0" collapsed="false">
      <c r="A98" s="10" t="s">
        <v>410</v>
      </c>
      <c r="B98" s="11" t="s">
        <v>411</v>
      </c>
      <c r="C98" s="10" t="s">
        <v>312</v>
      </c>
      <c r="D98" s="10" t="s">
        <v>392</v>
      </c>
      <c r="E98" s="11" t="s">
        <v>1099</v>
      </c>
      <c r="F98" s="11" t="s">
        <v>1081</v>
      </c>
      <c r="G98" s="10" t="n">
        <v>4</v>
      </c>
      <c r="H98" s="10" t="n">
        <v>4</v>
      </c>
      <c r="I98" s="10" t="n">
        <v>9</v>
      </c>
      <c r="J98" s="11" t="s">
        <v>917</v>
      </c>
      <c r="K98" s="10" t="n">
        <v>1</v>
      </c>
      <c r="L98" s="10"/>
      <c r="M98" s="10" t="s">
        <v>133</v>
      </c>
      <c r="N98" s="10" t="s">
        <v>1100</v>
      </c>
      <c r="O98" s="11" t="s">
        <v>919</v>
      </c>
      <c r="P98" s="10" t="n">
        <v>1</v>
      </c>
      <c r="Q98" s="11" t="s">
        <v>1005</v>
      </c>
      <c r="R98" s="11" t="s">
        <v>1006</v>
      </c>
      <c r="S98" s="11" t="s">
        <v>1101</v>
      </c>
      <c r="T98" s="11" t="s">
        <v>1008</v>
      </c>
      <c r="U98" s="10" t="s">
        <v>410</v>
      </c>
      <c r="V98" s="10" t="s">
        <v>116</v>
      </c>
    </row>
    <row r="99" customFormat="false" ht="39.55" hidden="false" customHeight="false" outlineLevel="0" collapsed="false">
      <c r="A99" s="10" t="s">
        <v>413</v>
      </c>
      <c r="B99" s="10" t="s">
        <v>415</v>
      </c>
      <c r="C99" s="10" t="s">
        <v>312</v>
      </c>
      <c r="D99" s="10" t="s">
        <v>414</v>
      </c>
      <c r="E99" s="11" t="s">
        <v>1102</v>
      </c>
      <c r="F99" s="11" t="s">
        <v>1103</v>
      </c>
      <c r="G99" s="10" t="n">
        <v>4</v>
      </c>
      <c r="H99" s="10" t="n">
        <v>4</v>
      </c>
      <c r="I99" s="10" t="n">
        <v>9</v>
      </c>
      <c r="J99" s="11" t="s">
        <v>917</v>
      </c>
      <c r="K99" s="10" t="n">
        <v>1</v>
      </c>
      <c r="L99" s="10"/>
      <c r="M99" s="10" t="s">
        <v>133</v>
      </c>
      <c r="N99" s="10" t="s">
        <v>1104</v>
      </c>
      <c r="O99" s="11" t="s">
        <v>919</v>
      </c>
      <c r="P99" s="10" t="n">
        <v>1.2</v>
      </c>
      <c r="Q99" s="11" t="s">
        <v>1005</v>
      </c>
      <c r="R99" s="11" t="s">
        <v>1006</v>
      </c>
      <c r="S99" s="10" t="s">
        <v>1105</v>
      </c>
      <c r="T99" s="11" t="s">
        <v>1008</v>
      </c>
      <c r="U99" s="10" t="s">
        <v>413</v>
      </c>
      <c r="V99" s="10" t="s">
        <v>100</v>
      </c>
    </row>
    <row r="100" customFormat="false" ht="52.2" hidden="false" customHeight="false" outlineLevel="0" collapsed="false">
      <c r="A100" s="10" t="s">
        <v>417</v>
      </c>
      <c r="B100" s="11" t="s">
        <v>418</v>
      </c>
      <c r="C100" s="10" t="s">
        <v>312</v>
      </c>
      <c r="D100" s="10" t="s">
        <v>414</v>
      </c>
      <c r="E100" s="11" t="s">
        <v>1106</v>
      </c>
      <c r="F100" s="11" t="s">
        <v>1103</v>
      </c>
      <c r="G100" s="10" t="n">
        <v>4</v>
      </c>
      <c r="H100" s="10" t="n">
        <v>4</v>
      </c>
      <c r="I100" s="10" t="n">
        <v>9</v>
      </c>
      <c r="J100" s="11" t="s">
        <v>917</v>
      </c>
      <c r="K100" s="10" t="n">
        <v>1</v>
      </c>
      <c r="L100" s="10"/>
      <c r="M100" s="10" t="s">
        <v>133</v>
      </c>
      <c r="N100" s="10" t="s">
        <v>1107</v>
      </c>
      <c r="O100" s="11" t="s">
        <v>919</v>
      </c>
      <c r="P100" s="10" t="n">
        <v>1</v>
      </c>
      <c r="Q100" s="11" t="s">
        <v>1005</v>
      </c>
      <c r="R100" s="11" t="s">
        <v>1006</v>
      </c>
      <c r="S100" s="11" t="s">
        <v>1108</v>
      </c>
      <c r="T100" s="11" t="s">
        <v>1008</v>
      </c>
      <c r="U100" s="10" t="s">
        <v>417</v>
      </c>
      <c r="V100" s="10" t="s">
        <v>100</v>
      </c>
    </row>
    <row r="101" customFormat="false" ht="39.55" hidden="false" customHeight="false" outlineLevel="0" collapsed="false">
      <c r="A101" s="10" t="s">
        <v>420</v>
      </c>
      <c r="B101" s="10" t="s">
        <v>421</v>
      </c>
      <c r="C101" s="10" t="s">
        <v>312</v>
      </c>
      <c r="D101" s="10" t="s">
        <v>414</v>
      </c>
      <c r="E101" s="11" t="s">
        <v>1109</v>
      </c>
      <c r="F101" s="11" t="s">
        <v>1103</v>
      </c>
      <c r="G101" s="10" t="n">
        <v>4</v>
      </c>
      <c r="H101" s="10" t="n">
        <v>4</v>
      </c>
      <c r="I101" s="10" t="n">
        <v>9</v>
      </c>
      <c r="J101" s="11" t="s">
        <v>917</v>
      </c>
      <c r="K101" s="10" t="n">
        <v>1</v>
      </c>
      <c r="L101" s="10"/>
      <c r="M101" s="10" t="s">
        <v>133</v>
      </c>
      <c r="N101" s="10" t="s">
        <v>1110</v>
      </c>
      <c r="O101" s="11" t="s">
        <v>919</v>
      </c>
      <c r="P101" s="10" t="n">
        <v>1</v>
      </c>
      <c r="Q101" s="11" t="s">
        <v>1005</v>
      </c>
      <c r="R101" s="11" t="s">
        <v>1006</v>
      </c>
      <c r="S101" s="10" t="s">
        <v>1111</v>
      </c>
      <c r="T101" s="11" t="s">
        <v>1008</v>
      </c>
      <c r="U101" s="10" t="s">
        <v>420</v>
      </c>
      <c r="V101" s="10" t="s">
        <v>100</v>
      </c>
    </row>
    <row r="102" customFormat="false" ht="39.55" hidden="false" customHeight="false" outlineLevel="0" collapsed="false">
      <c r="A102" s="10" t="s">
        <v>423</v>
      </c>
      <c r="B102" s="11" t="s">
        <v>424</v>
      </c>
      <c r="C102" s="10" t="s">
        <v>312</v>
      </c>
      <c r="D102" s="10" t="s">
        <v>414</v>
      </c>
      <c r="E102" s="11" t="s">
        <v>1112</v>
      </c>
      <c r="F102" s="11" t="s">
        <v>1103</v>
      </c>
      <c r="G102" s="10" t="n">
        <v>4</v>
      </c>
      <c r="H102" s="10" t="n">
        <v>4</v>
      </c>
      <c r="I102" s="10" t="n">
        <v>9</v>
      </c>
      <c r="J102" s="11" t="s">
        <v>917</v>
      </c>
      <c r="K102" s="10" t="n">
        <v>1</v>
      </c>
      <c r="L102" s="10"/>
      <c r="M102" s="10" t="s">
        <v>133</v>
      </c>
      <c r="N102" s="10" t="s">
        <v>1113</v>
      </c>
      <c r="O102" s="11" t="s">
        <v>919</v>
      </c>
      <c r="P102" s="10" t="n">
        <v>1.2</v>
      </c>
      <c r="Q102" s="11" t="s">
        <v>1005</v>
      </c>
      <c r="R102" s="11" t="s">
        <v>1006</v>
      </c>
      <c r="S102" s="11" t="s">
        <v>1114</v>
      </c>
      <c r="T102" s="11" t="s">
        <v>1008</v>
      </c>
      <c r="U102" s="10" t="s">
        <v>423</v>
      </c>
      <c r="V102" s="10" t="s">
        <v>116</v>
      </c>
    </row>
    <row r="103" customFormat="false" ht="39.55" hidden="false" customHeight="false" outlineLevel="0" collapsed="false">
      <c r="A103" s="10" t="s">
        <v>426</v>
      </c>
      <c r="B103" s="10" t="s">
        <v>427</v>
      </c>
      <c r="C103" s="10" t="s">
        <v>312</v>
      </c>
      <c r="D103" s="10" t="s">
        <v>414</v>
      </c>
      <c r="E103" s="11" t="s">
        <v>1115</v>
      </c>
      <c r="F103" s="11" t="s">
        <v>1103</v>
      </c>
      <c r="G103" s="10" t="n">
        <v>4</v>
      </c>
      <c r="H103" s="10" t="n">
        <v>4</v>
      </c>
      <c r="I103" s="10" t="n">
        <v>9</v>
      </c>
      <c r="J103" s="11" t="s">
        <v>917</v>
      </c>
      <c r="K103" s="10" t="n">
        <v>1</v>
      </c>
      <c r="L103" s="10" t="s">
        <v>423</v>
      </c>
      <c r="M103" s="10" t="s">
        <v>133</v>
      </c>
      <c r="N103" s="10" t="s">
        <v>1097</v>
      </c>
      <c r="O103" s="11" t="s">
        <v>919</v>
      </c>
      <c r="P103" s="10" t="n">
        <v>1</v>
      </c>
      <c r="Q103" s="11" t="s">
        <v>1005</v>
      </c>
      <c r="R103" s="11" t="s">
        <v>1006</v>
      </c>
      <c r="S103" s="10" t="s">
        <v>1116</v>
      </c>
      <c r="T103" s="11" t="s">
        <v>1008</v>
      </c>
      <c r="U103" s="10" t="s">
        <v>426</v>
      </c>
      <c r="V103" s="10" t="s">
        <v>116</v>
      </c>
    </row>
    <row r="104" customFormat="false" ht="39.55" hidden="false" customHeight="false" outlineLevel="0" collapsed="false">
      <c r="A104" s="10" t="s">
        <v>429</v>
      </c>
      <c r="B104" s="10" t="s">
        <v>430</v>
      </c>
      <c r="C104" s="10" t="s">
        <v>312</v>
      </c>
      <c r="D104" s="10" t="s">
        <v>414</v>
      </c>
      <c r="E104" s="10" t="s">
        <v>1117</v>
      </c>
      <c r="F104" s="11" t="s">
        <v>1103</v>
      </c>
      <c r="G104" s="10" t="n">
        <v>4</v>
      </c>
      <c r="H104" s="10" t="n">
        <v>4</v>
      </c>
      <c r="I104" s="10" t="n">
        <v>9</v>
      </c>
      <c r="J104" s="11" t="s">
        <v>917</v>
      </c>
      <c r="K104" s="10" t="n">
        <v>1</v>
      </c>
      <c r="L104" s="10"/>
      <c r="M104" s="10" t="s">
        <v>133</v>
      </c>
      <c r="N104" s="10" t="s">
        <v>1118</v>
      </c>
      <c r="O104" s="11" t="s">
        <v>919</v>
      </c>
      <c r="P104" s="10" t="n">
        <v>1</v>
      </c>
      <c r="Q104" s="11" t="s">
        <v>1005</v>
      </c>
      <c r="R104" s="11" t="s">
        <v>1006</v>
      </c>
      <c r="S104" s="10" t="s">
        <v>1119</v>
      </c>
      <c r="T104" s="11" t="s">
        <v>1008</v>
      </c>
      <c r="U104" s="10" t="s">
        <v>429</v>
      </c>
      <c r="V104" s="10" t="s">
        <v>116</v>
      </c>
    </row>
    <row r="105" customFormat="false" ht="39.55" hidden="false" customHeight="false" outlineLevel="0" collapsed="false">
      <c r="A105" s="10" t="s">
        <v>432</v>
      </c>
      <c r="B105" s="11" t="s">
        <v>434</v>
      </c>
      <c r="C105" s="10" t="s">
        <v>312</v>
      </c>
      <c r="D105" s="10" t="s">
        <v>433</v>
      </c>
      <c r="E105" s="11" t="s">
        <v>1120</v>
      </c>
      <c r="F105" s="11" t="s">
        <v>1121</v>
      </c>
      <c r="G105" s="10" t="n">
        <v>5</v>
      </c>
      <c r="H105" s="10" t="n">
        <v>4</v>
      </c>
      <c r="I105" s="10" t="n">
        <v>9</v>
      </c>
      <c r="J105" s="11" t="s">
        <v>917</v>
      </c>
      <c r="K105" s="10" t="n">
        <v>1</v>
      </c>
      <c r="L105" s="10" t="s">
        <v>216</v>
      </c>
      <c r="M105" s="10" t="s">
        <v>133</v>
      </c>
      <c r="N105" s="10" t="s">
        <v>1122</v>
      </c>
      <c r="O105" s="11" t="s">
        <v>919</v>
      </c>
      <c r="P105" s="10" t="n">
        <v>1.2</v>
      </c>
      <c r="Q105" s="11" t="s">
        <v>1005</v>
      </c>
      <c r="R105" s="11" t="s">
        <v>1006</v>
      </c>
      <c r="S105" s="11" t="s">
        <v>1123</v>
      </c>
      <c r="T105" s="11" t="s">
        <v>1008</v>
      </c>
      <c r="U105" s="10" t="s">
        <v>432</v>
      </c>
      <c r="V105" s="10" t="s">
        <v>100</v>
      </c>
    </row>
    <row r="106" customFormat="false" ht="39.55" hidden="false" customHeight="false" outlineLevel="0" collapsed="false">
      <c r="A106" s="10" t="s">
        <v>436</v>
      </c>
      <c r="B106" s="10" t="s">
        <v>437</v>
      </c>
      <c r="C106" s="10" t="s">
        <v>312</v>
      </c>
      <c r="D106" s="10" t="s">
        <v>433</v>
      </c>
      <c r="E106" s="11" t="s">
        <v>1124</v>
      </c>
      <c r="F106" s="11" t="s">
        <v>1121</v>
      </c>
      <c r="G106" s="10" t="n">
        <v>5</v>
      </c>
      <c r="H106" s="10" t="n">
        <v>2</v>
      </c>
      <c r="I106" s="10" t="n">
        <v>3</v>
      </c>
      <c r="J106" s="11" t="s">
        <v>789</v>
      </c>
      <c r="K106" s="10" t="n">
        <v>1.5</v>
      </c>
      <c r="L106" s="10"/>
      <c r="M106" s="10" t="s">
        <v>98</v>
      </c>
      <c r="N106" s="10" t="s">
        <v>1125</v>
      </c>
      <c r="O106" s="11" t="s">
        <v>791</v>
      </c>
      <c r="P106" s="10" t="n">
        <v>1</v>
      </c>
      <c r="Q106" s="11" t="s">
        <v>1005</v>
      </c>
      <c r="R106" s="11" t="s">
        <v>1006</v>
      </c>
      <c r="S106" s="10" t="s">
        <v>1126</v>
      </c>
      <c r="T106" s="11" t="s">
        <v>1008</v>
      </c>
      <c r="U106" s="10" t="s">
        <v>436</v>
      </c>
      <c r="V106" s="10" t="s">
        <v>100</v>
      </c>
    </row>
    <row r="107" customFormat="false" ht="39.55" hidden="false" customHeight="false" outlineLevel="0" collapsed="false">
      <c r="A107" s="10" t="s">
        <v>439</v>
      </c>
      <c r="B107" s="10" t="s">
        <v>440</v>
      </c>
      <c r="C107" s="10" t="s">
        <v>312</v>
      </c>
      <c r="D107" s="10" t="s">
        <v>433</v>
      </c>
      <c r="E107" s="11" t="s">
        <v>1127</v>
      </c>
      <c r="F107" s="11" t="s">
        <v>1121</v>
      </c>
      <c r="G107" s="10" t="n">
        <v>5</v>
      </c>
      <c r="H107" s="10" t="n">
        <v>4</v>
      </c>
      <c r="I107" s="10" t="n">
        <v>9</v>
      </c>
      <c r="J107" s="11" t="s">
        <v>917</v>
      </c>
      <c r="K107" s="10" t="n">
        <v>1</v>
      </c>
      <c r="L107" s="10"/>
      <c r="M107" s="10" t="s">
        <v>133</v>
      </c>
      <c r="N107" s="10" t="s">
        <v>1128</v>
      </c>
      <c r="O107" s="11" t="s">
        <v>919</v>
      </c>
      <c r="P107" s="10" t="n">
        <v>1.2</v>
      </c>
      <c r="Q107" s="11" t="s">
        <v>1005</v>
      </c>
      <c r="R107" s="11" t="s">
        <v>1006</v>
      </c>
      <c r="S107" s="10" t="s">
        <v>1129</v>
      </c>
      <c r="T107" s="11" t="s">
        <v>1008</v>
      </c>
      <c r="U107" s="10" t="s">
        <v>439</v>
      </c>
      <c r="V107" s="10" t="s">
        <v>100</v>
      </c>
    </row>
    <row r="108" customFormat="false" ht="39.55" hidden="false" customHeight="false" outlineLevel="0" collapsed="false">
      <c r="A108" s="10" t="s">
        <v>442</v>
      </c>
      <c r="B108" s="11" t="s">
        <v>443</v>
      </c>
      <c r="C108" s="10" t="s">
        <v>312</v>
      </c>
      <c r="D108" s="10" t="s">
        <v>433</v>
      </c>
      <c r="E108" s="11" t="s">
        <v>1130</v>
      </c>
      <c r="F108" s="11" t="s">
        <v>1121</v>
      </c>
      <c r="G108" s="10" t="n">
        <v>5</v>
      </c>
      <c r="H108" s="10" t="n">
        <v>4</v>
      </c>
      <c r="I108" s="10" t="n">
        <v>9</v>
      </c>
      <c r="J108" s="11" t="s">
        <v>917</v>
      </c>
      <c r="K108" s="10" t="n">
        <v>1</v>
      </c>
      <c r="L108" s="10"/>
      <c r="M108" s="10" t="s">
        <v>133</v>
      </c>
      <c r="N108" s="10" t="s">
        <v>1131</v>
      </c>
      <c r="O108" s="11" t="s">
        <v>919</v>
      </c>
      <c r="P108" s="10" t="n">
        <v>1</v>
      </c>
      <c r="Q108" s="11" t="s">
        <v>1005</v>
      </c>
      <c r="R108" s="11" t="s">
        <v>1006</v>
      </c>
      <c r="S108" s="11" t="s">
        <v>1132</v>
      </c>
      <c r="T108" s="11" t="s">
        <v>1008</v>
      </c>
      <c r="U108" s="10" t="s">
        <v>442</v>
      </c>
      <c r="V108" s="10" t="s">
        <v>116</v>
      </c>
    </row>
    <row r="109" customFormat="false" ht="39.55" hidden="false" customHeight="false" outlineLevel="0" collapsed="false">
      <c r="A109" s="10" t="s">
        <v>445</v>
      </c>
      <c r="B109" s="11" t="s">
        <v>446</v>
      </c>
      <c r="C109" s="10" t="s">
        <v>312</v>
      </c>
      <c r="D109" s="10" t="s">
        <v>433</v>
      </c>
      <c r="E109" s="11" t="s">
        <v>1133</v>
      </c>
      <c r="F109" s="11" t="s">
        <v>1121</v>
      </c>
      <c r="G109" s="10" t="n">
        <v>5</v>
      </c>
      <c r="H109" s="10" t="n">
        <v>4</v>
      </c>
      <c r="I109" s="10" t="n">
        <v>9</v>
      </c>
      <c r="J109" s="11" t="s">
        <v>917</v>
      </c>
      <c r="K109" s="10" t="n">
        <v>1</v>
      </c>
      <c r="L109" s="10"/>
      <c r="M109" s="10" t="s">
        <v>133</v>
      </c>
      <c r="N109" s="10" t="s">
        <v>1134</v>
      </c>
      <c r="O109" s="11" t="s">
        <v>919</v>
      </c>
      <c r="P109" s="10" t="n">
        <v>1</v>
      </c>
      <c r="Q109" s="11" t="s">
        <v>1005</v>
      </c>
      <c r="R109" s="11" t="s">
        <v>1006</v>
      </c>
      <c r="S109" s="11" t="s">
        <v>1135</v>
      </c>
      <c r="T109" s="11" t="s">
        <v>1008</v>
      </c>
      <c r="U109" s="10" t="s">
        <v>445</v>
      </c>
      <c r="V109" s="10" t="s">
        <v>116</v>
      </c>
    </row>
    <row r="110" customFormat="false" ht="39.55" hidden="false" customHeight="false" outlineLevel="0" collapsed="false">
      <c r="A110" s="10" t="s">
        <v>448</v>
      </c>
      <c r="B110" s="11" t="s">
        <v>449</v>
      </c>
      <c r="C110" s="10" t="s">
        <v>312</v>
      </c>
      <c r="D110" s="10" t="s">
        <v>433</v>
      </c>
      <c r="E110" s="11" t="s">
        <v>1136</v>
      </c>
      <c r="F110" s="11" t="s">
        <v>1121</v>
      </c>
      <c r="G110" s="10" t="n">
        <v>5</v>
      </c>
      <c r="H110" s="10" t="n">
        <v>4</v>
      </c>
      <c r="I110" s="10" t="n">
        <v>9</v>
      </c>
      <c r="J110" s="11" t="s">
        <v>917</v>
      </c>
      <c r="K110" s="10" t="n">
        <v>1</v>
      </c>
      <c r="L110" s="10"/>
      <c r="M110" s="10" t="s">
        <v>133</v>
      </c>
      <c r="N110" s="10" t="s">
        <v>1137</v>
      </c>
      <c r="O110" s="11" t="s">
        <v>919</v>
      </c>
      <c r="P110" s="10" t="n">
        <v>1</v>
      </c>
      <c r="Q110" s="11" t="s">
        <v>1005</v>
      </c>
      <c r="R110" s="11" t="s">
        <v>1006</v>
      </c>
      <c r="S110" s="11" t="s">
        <v>1138</v>
      </c>
      <c r="T110" s="11" t="s">
        <v>1008</v>
      </c>
      <c r="U110" s="10" t="s">
        <v>448</v>
      </c>
      <c r="V110" s="10" t="s">
        <v>116</v>
      </c>
    </row>
    <row r="111" customFormat="false" ht="39.55" hidden="false" customHeight="false" outlineLevel="0" collapsed="false">
      <c r="A111" s="10" t="s">
        <v>451</v>
      </c>
      <c r="B111" s="10" t="s">
        <v>452</v>
      </c>
      <c r="C111" s="10" t="s">
        <v>312</v>
      </c>
      <c r="D111" s="10" t="s">
        <v>433</v>
      </c>
      <c r="E111" s="10" t="s">
        <v>1139</v>
      </c>
      <c r="F111" s="11" t="s">
        <v>1121</v>
      </c>
      <c r="G111" s="10" t="n">
        <v>5</v>
      </c>
      <c r="H111" s="10" t="n">
        <v>4</v>
      </c>
      <c r="I111" s="10" t="n">
        <v>9</v>
      </c>
      <c r="J111" s="11" t="s">
        <v>917</v>
      </c>
      <c r="K111" s="10" t="n">
        <v>1</v>
      </c>
      <c r="L111" s="10"/>
      <c r="M111" s="10" t="s">
        <v>133</v>
      </c>
      <c r="N111" s="10" t="s">
        <v>1131</v>
      </c>
      <c r="O111" s="11" t="s">
        <v>919</v>
      </c>
      <c r="P111" s="10" t="n">
        <v>1</v>
      </c>
      <c r="Q111" s="11" t="s">
        <v>1005</v>
      </c>
      <c r="R111" s="11" t="s">
        <v>1006</v>
      </c>
      <c r="S111" s="10" t="s">
        <v>1140</v>
      </c>
      <c r="T111" s="11" t="s">
        <v>1008</v>
      </c>
      <c r="U111" s="10" t="s">
        <v>451</v>
      </c>
      <c r="V111" s="10" t="s">
        <v>116</v>
      </c>
    </row>
    <row r="112" customFormat="false" ht="39.55" hidden="false" customHeight="false" outlineLevel="0" collapsed="false">
      <c r="A112" s="10" t="s">
        <v>454</v>
      </c>
      <c r="B112" s="11" t="s">
        <v>455</v>
      </c>
      <c r="C112" s="10" t="s">
        <v>312</v>
      </c>
      <c r="D112" s="10" t="s">
        <v>433</v>
      </c>
      <c r="E112" s="11" t="s">
        <v>1141</v>
      </c>
      <c r="F112" s="11" t="s">
        <v>1121</v>
      </c>
      <c r="G112" s="10" t="n">
        <v>5</v>
      </c>
      <c r="H112" s="10" t="n">
        <v>4</v>
      </c>
      <c r="I112" s="10" t="n">
        <v>9</v>
      </c>
      <c r="J112" s="11" t="s">
        <v>917</v>
      </c>
      <c r="K112" s="10" t="n">
        <v>1</v>
      </c>
      <c r="L112" s="10"/>
      <c r="M112" s="10" t="s">
        <v>133</v>
      </c>
      <c r="N112" s="10" t="s">
        <v>1142</v>
      </c>
      <c r="O112" s="11" t="s">
        <v>919</v>
      </c>
      <c r="P112" s="10" t="n">
        <v>1</v>
      </c>
      <c r="Q112" s="11" t="s">
        <v>1005</v>
      </c>
      <c r="R112" s="11" t="s">
        <v>1006</v>
      </c>
      <c r="S112" s="11" t="s">
        <v>1143</v>
      </c>
      <c r="T112" s="11" t="s">
        <v>1008</v>
      </c>
      <c r="U112" s="10" t="s">
        <v>454</v>
      </c>
      <c r="V112" s="10" t="s">
        <v>116</v>
      </c>
    </row>
    <row r="113" customFormat="false" ht="39.55" hidden="false" customHeight="false" outlineLevel="0" collapsed="false">
      <c r="A113" s="10" t="s">
        <v>457</v>
      </c>
      <c r="B113" s="11" t="s">
        <v>459</v>
      </c>
      <c r="C113" s="10" t="s">
        <v>312</v>
      </c>
      <c r="D113" s="10" t="s">
        <v>458</v>
      </c>
      <c r="E113" s="11" t="s">
        <v>1144</v>
      </c>
      <c r="F113" s="11" t="s">
        <v>1145</v>
      </c>
      <c r="G113" s="10" t="n">
        <v>5</v>
      </c>
      <c r="H113" s="10" t="n">
        <v>4</v>
      </c>
      <c r="I113" s="10" t="n">
        <v>9</v>
      </c>
      <c r="J113" s="11" t="s">
        <v>917</v>
      </c>
      <c r="K113" s="10" t="n">
        <v>1</v>
      </c>
      <c r="L113" s="10"/>
      <c r="M113" s="10" t="s">
        <v>133</v>
      </c>
      <c r="N113" s="10" t="s">
        <v>1025</v>
      </c>
      <c r="O113" s="11" t="s">
        <v>919</v>
      </c>
      <c r="P113" s="10" t="n">
        <v>1</v>
      </c>
      <c r="Q113" s="11" t="s">
        <v>1005</v>
      </c>
      <c r="R113" s="11" t="s">
        <v>1006</v>
      </c>
      <c r="S113" s="11" t="s">
        <v>1146</v>
      </c>
      <c r="T113" s="11" t="s">
        <v>1008</v>
      </c>
      <c r="U113" s="10" t="s">
        <v>457</v>
      </c>
      <c r="V113" s="10" t="s">
        <v>100</v>
      </c>
    </row>
    <row r="114" customFormat="false" ht="52.2" hidden="false" customHeight="false" outlineLevel="0" collapsed="false">
      <c r="A114" s="10" t="s">
        <v>461</v>
      </c>
      <c r="B114" s="10" t="s">
        <v>462</v>
      </c>
      <c r="C114" s="10" t="s">
        <v>312</v>
      </c>
      <c r="D114" s="10" t="s">
        <v>458</v>
      </c>
      <c r="E114" s="10" t="s">
        <v>1147</v>
      </c>
      <c r="F114" s="11" t="s">
        <v>1145</v>
      </c>
      <c r="G114" s="10" t="n">
        <v>5</v>
      </c>
      <c r="H114" s="10" t="n">
        <v>4</v>
      </c>
      <c r="I114" s="10" t="n">
        <v>9</v>
      </c>
      <c r="J114" s="11" t="s">
        <v>917</v>
      </c>
      <c r="K114" s="10" t="n">
        <v>1</v>
      </c>
      <c r="L114" s="10"/>
      <c r="M114" s="10" t="s">
        <v>133</v>
      </c>
      <c r="N114" s="10" t="s">
        <v>1148</v>
      </c>
      <c r="O114" s="11" t="s">
        <v>919</v>
      </c>
      <c r="P114" s="10" t="n">
        <v>1</v>
      </c>
      <c r="Q114" s="11" t="s">
        <v>1005</v>
      </c>
      <c r="R114" s="11" t="s">
        <v>1006</v>
      </c>
      <c r="S114" s="10" t="s">
        <v>1149</v>
      </c>
      <c r="T114" s="11" t="s">
        <v>1008</v>
      </c>
      <c r="U114" s="10" t="s">
        <v>461</v>
      </c>
      <c r="V114" s="10" t="s">
        <v>100</v>
      </c>
    </row>
    <row r="115" customFormat="false" ht="39.55" hidden="false" customHeight="false" outlineLevel="0" collapsed="false">
      <c r="A115" s="10" t="s">
        <v>464</v>
      </c>
      <c r="B115" s="11" t="s">
        <v>465</v>
      </c>
      <c r="C115" s="10" t="s">
        <v>312</v>
      </c>
      <c r="D115" s="10" t="s">
        <v>458</v>
      </c>
      <c r="E115" s="11" t="s">
        <v>1150</v>
      </c>
      <c r="F115" s="11" t="s">
        <v>1145</v>
      </c>
      <c r="G115" s="10" t="n">
        <v>5</v>
      </c>
      <c r="H115" s="10" t="n">
        <v>4</v>
      </c>
      <c r="I115" s="10" t="n">
        <v>9</v>
      </c>
      <c r="J115" s="11" t="s">
        <v>917</v>
      </c>
      <c r="K115" s="10" t="n">
        <v>1</v>
      </c>
      <c r="L115" s="10"/>
      <c r="M115" s="10" t="s">
        <v>133</v>
      </c>
      <c r="N115" s="10" t="s">
        <v>1151</v>
      </c>
      <c r="O115" s="11" t="s">
        <v>919</v>
      </c>
      <c r="P115" s="10" t="n">
        <v>1</v>
      </c>
      <c r="Q115" s="11" t="s">
        <v>1005</v>
      </c>
      <c r="R115" s="11" t="s">
        <v>1006</v>
      </c>
      <c r="S115" s="11" t="s">
        <v>1152</v>
      </c>
      <c r="T115" s="11" t="s">
        <v>1008</v>
      </c>
      <c r="U115" s="10" t="s">
        <v>464</v>
      </c>
      <c r="V115" s="10" t="s">
        <v>100</v>
      </c>
    </row>
    <row r="116" customFormat="false" ht="39.55" hidden="false" customHeight="false" outlineLevel="0" collapsed="false">
      <c r="A116" s="10" t="s">
        <v>467</v>
      </c>
      <c r="B116" s="11" t="s">
        <v>468</v>
      </c>
      <c r="C116" s="10" t="s">
        <v>312</v>
      </c>
      <c r="D116" s="10" t="s">
        <v>458</v>
      </c>
      <c r="E116" s="11" t="s">
        <v>1153</v>
      </c>
      <c r="F116" s="11" t="s">
        <v>1145</v>
      </c>
      <c r="G116" s="10" t="n">
        <v>5</v>
      </c>
      <c r="H116" s="10" t="n">
        <v>4</v>
      </c>
      <c r="I116" s="10" t="n">
        <v>9</v>
      </c>
      <c r="J116" s="11" t="s">
        <v>917</v>
      </c>
      <c r="K116" s="10" t="n">
        <v>1</v>
      </c>
      <c r="L116" s="10"/>
      <c r="M116" s="10" t="s">
        <v>133</v>
      </c>
      <c r="N116" s="10" t="s">
        <v>994</v>
      </c>
      <c r="O116" s="11" t="s">
        <v>919</v>
      </c>
      <c r="P116" s="10" t="n">
        <v>1</v>
      </c>
      <c r="Q116" s="11" t="s">
        <v>1005</v>
      </c>
      <c r="R116" s="11" t="s">
        <v>1006</v>
      </c>
      <c r="S116" s="11" t="s">
        <v>1154</v>
      </c>
      <c r="T116" s="11" t="s">
        <v>1008</v>
      </c>
      <c r="U116" s="10" t="s">
        <v>467</v>
      </c>
      <c r="V116" s="10" t="s">
        <v>116</v>
      </c>
    </row>
    <row r="117" customFormat="false" ht="39.55" hidden="false" customHeight="false" outlineLevel="0" collapsed="false">
      <c r="A117" s="10" t="s">
        <v>470</v>
      </c>
      <c r="B117" s="11" t="s">
        <v>471</v>
      </c>
      <c r="C117" s="10" t="s">
        <v>312</v>
      </c>
      <c r="D117" s="10" t="s">
        <v>458</v>
      </c>
      <c r="E117" s="11" t="s">
        <v>1155</v>
      </c>
      <c r="F117" s="11" t="s">
        <v>1145</v>
      </c>
      <c r="G117" s="10" t="n">
        <v>5</v>
      </c>
      <c r="H117" s="10" t="n">
        <v>4</v>
      </c>
      <c r="I117" s="10" t="n">
        <v>9</v>
      </c>
      <c r="J117" s="11" t="s">
        <v>917</v>
      </c>
      <c r="K117" s="10" t="n">
        <v>1</v>
      </c>
      <c r="L117" s="10" t="s">
        <v>269</v>
      </c>
      <c r="M117" s="10" t="s">
        <v>133</v>
      </c>
      <c r="N117" s="10" t="s">
        <v>1156</v>
      </c>
      <c r="O117" s="11" t="s">
        <v>919</v>
      </c>
      <c r="P117" s="10" t="n">
        <v>1</v>
      </c>
      <c r="Q117" s="11" t="s">
        <v>1005</v>
      </c>
      <c r="R117" s="11" t="s">
        <v>1006</v>
      </c>
      <c r="S117" s="11" t="s">
        <v>1157</v>
      </c>
      <c r="T117" s="11" t="s">
        <v>1008</v>
      </c>
      <c r="U117" s="10" t="s">
        <v>470</v>
      </c>
      <c r="V117" s="10" t="s">
        <v>116</v>
      </c>
    </row>
    <row r="118" customFormat="false" ht="39.55" hidden="false" customHeight="false" outlineLevel="0" collapsed="false">
      <c r="A118" s="10" t="s">
        <v>473</v>
      </c>
      <c r="B118" s="11" t="s">
        <v>474</v>
      </c>
      <c r="C118" s="10" t="s">
        <v>312</v>
      </c>
      <c r="D118" s="10" t="s">
        <v>458</v>
      </c>
      <c r="E118" s="11" t="s">
        <v>1158</v>
      </c>
      <c r="F118" s="11" t="s">
        <v>1145</v>
      </c>
      <c r="G118" s="10" t="n">
        <v>5</v>
      </c>
      <c r="H118" s="10" t="n">
        <v>4</v>
      </c>
      <c r="I118" s="10" t="n">
        <v>9</v>
      </c>
      <c r="J118" s="11" t="s">
        <v>917</v>
      </c>
      <c r="K118" s="10" t="n">
        <v>1</v>
      </c>
      <c r="L118" s="10"/>
      <c r="M118" s="10" t="s">
        <v>133</v>
      </c>
      <c r="N118" s="10" t="s">
        <v>1058</v>
      </c>
      <c r="O118" s="11" t="s">
        <v>919</v>
      </c>
      <c r="P118" s="10" t="n">
        <v>1</v>
      </c>
      <c r="Q118" s="11" t="s">
        <v>1005</v>
      </c>
      <c r="R118" s="11" t="s">
        <v>1006</v>
      </c>
      <c r="S118" s="11" t="s">
        <v>1159</v>
      </c>
      <c r="T118" s="11" t="s">
        <v>1008</v>
      </c>
      <c r="U118" s="10" t="s">
        <v>473</v>
      </c>
      <c r="V118" s="10" t="s">
        <v>116</v>
      </c>
    </row>
    <row r="119" customFormat="false" ht="39.55" hidden="false" customHeight="false" outlineLevel="0" collapsed="false">
      <c r="A119" s="10" t="s">
        <v>476</v>
      </c>
      <c r="B119" s="11" t="s">
        <v>477</v>
      </c>
      <c r="C119" s="10" t="s">
        <v>312</v>
      </c>
      <c r="D119" s="10" t="s">
        <v>458</v>
      </c>
      <c r="E119" s="11" t="s">
        <v>1160</v>
      </c>
      <c r="F119" s="11" t="s">
        <v>1145</v>
      </c>
      <c r="G119" s="10" t="n">
        <v>5</v>
      </c>
      <c r="H119" s="10" t="n">
        <v>4</v>
      </c>
      <c r="I119" s="10" t="n">
        <v>9</v>
      </c>
      <c r="J119" s="11" t="s">
        <v>917</v>
      </c>
      <c r="K119" s="10" t="n">
        <v>1</v>
      </c>
      <c r="L119" s="10"/>
      <c r="M119" s="10" t="s">
        <v>133</v>
      </c>
      <c r="N119" s="10" t="s">
        <v>1156</v>
      </c>
      <c r="O119" s="11" t="s">
        <v>919</v>
      </c>
      <c r="P119" s="10" t="n">
        <v>1</v>
      </c>
      <c r="Q119" s="11" t="s">
        <v>1005</v>
      </c>
      <c r="R119" s="11" t="s">
        <v>1006</v>
      </c>
      <c r="S119" s="11" t="s">
        <v>1161</v>
      </c>
      <c r="T119" s="11" t="s">
        <v>1008</v>
      </c>
      <c r="U119" s="10" t="s">
        <v>476</v>
      </c>
      <c r="V119" s="10" t="s">
        <v>116</v>
      </c>
    </row>
    <row r="120" customFormat="false" ht="39.55" hidden="false" customHeight="false" outlineLevel="0" collapsed="false">
      <c r="A120" s="10" t="s">
        <v>479</v>
      </c>
      <c r="B120" s="11" t="s">
        <v>480</v>
      </c>
      <c r="C120" s="10" t="s">
        <v>312</v>
      </c>
      <c r="D120" s="10" t="s">
        <v>458</v>
      </c>
      <c r="E120" s="11" t="s">
        <v>1162</v>
      </c>
      <c r="F120" s="11" t="s">
        <v>1145</v>
      </c>
      <c r="G120" s="10" t="n">
        <v>5</v>
      </c>
      <c r="H120" s="10" t="n">
        <v>4</v>
      </c>
      <c r="I120" s="10" t="n">
        <v>9</v>
      </c>
      <c r="J120" s="11" t="s">
        <v>917</v>
      </c>
      <c r="K120" s="10" t="n">
        <v>1</v>
      </c>
      <c r="L120" s="10"/>
      <c r="M120" s="10" t="s">
        <v>133</v>
      </c>
      <c r="N120" s="10" t="s">
        <v>1058</v>
      </c>
      <c r="O120" s="11" t="s">
        <v>919</v>
      </c>
      <c r="P120" s="10" t="n">
        <v>1</v>
      </c>
      <c r="Q120" s="11" t="s">
        <v>1005</v>
      </c>
      <c r="R120" s="11" t="s">
        <v>1006</v>
      </c>
      <c r="S120" s="11" t="s">
        <v>1163</v>
      </c>
      <c r="T120" s="11" t="s">
        <v>1008</v>
      </c>
      <c r="U120" s="10" t="s">
        <v>479</v>
      </c>
      <c r="V120" s="10" t="s">
        <v>116</v>
      </c>
    </row>
    <row r="121" customFormat="false" ht="39.55" hidden="false" customHeight="false" outlineLevel="0" collapsed="false">
      <c r="A121" s="10" t="s">
        <v>483</v>
      </c>
      <c r="B121" s="11" t="s">
        <v>484</v>
      </c>
      <c r="C121" s="10" t="s">
        <v>312</v>
      </c>
      <c r="D121" s="10" t="s">
        <v>458</v>
      </c>
      <c r="E121" s="11" t="s">
        <v>1164</v>
      </c>
      <c r="F121" s="11" t="s">
        <v>1145</v>
      </c>
      <c r="G121" s="10" t="n">
        <v>5</v>
      </c>
      <c r="H121" s="10" t="n">
        <v>4</v>
      </c>
      <c r="I121" s="10" t="n">
        <v>9</v>
      </c>
      <c r="J121" s="11" t="s">
        <v>917</v>
      </c>
      <c r="K121" s="10" t="n">
        <v>1</v>
      </c>
      <c r="L121" s="10"/>
      <c r="M121" s="10" t="s">
        <v>133</v>
      </c>
      <c r="N121" s="10" t="s">
        <v>1165</v>
      </c>
      <c r="O121" s="11" t="s">
        <v>919</v>
      </c>
      <c r="P121" s="10" t="n">
        <v>1</v>
      </c>
      <c r="Q121" s="11" t="s">
        <v>1005</v>
      </c>
      <c r="R121" s="11" t="s">
        <v>1006</v>
      </c>
      <c r="S121" s="11" t="s">
        <v>1166</v>
      </c>
      <c r="T121" s="11" t="s">
        <v>1008</v>
      </c>
      <c r="U121" s="10" t="s">
        <v>483</v>
      </c>
      <c r="V121" s="10" t="s">
        <v>116</v>
      </c>
    </row>
    <row r="122" customFormat="false" ht="39.55" hidden="false" customHeight="false" outlineLevel="0" collapsed="false">
      <c r="A122" s="10" t="s">
        <v>486</v>
      </c>
      <c r="B122" s="11" t="s">
        <v>487</v>
      </c>
      <c r="C122" s="10" t="s">
        <v>312</v>
      </c>
      <c r="D122" s="10" t="s">
        <v>458</v>
      </c>
      <c r="E122" s="11" t="s">
        <v>1167</v>
      </c>
      <c r="F122" s="11" t="s">
        <v>1145</v>
      </c>
      <c r="G122" s="10" t="n">
        <v>5</v>
      </c>
      <c r="H122" s="10" t="n">
        <v>4</v>
      </c>
      <c r="I122" s="10" t="n">
        <v>9</v>
      </c>
      <c r="J122" s="11" t="s">
        <v>917</v>
      </c>
      <c r="K122" s="10" t="n">
        <v>1</v>
      </c>
      <c r="L122" s="10"/>
      <c r="M122" s="10" t="s">
        <v>133</v>
      </c>
      <c r="N122" s="10" t="s">
        <v>1058</v>
      </c>
      <c r="O122" s="11" t="s">
        <v>919</v>
      </c>
      <c r="P122" s="10" t="n">
        <v>1</v>
      </c>
      <c r="Q122" s="11" t="s">
        <v>1005</v>
      </c>
      <c r="R122" s="11" t="s">
        <v>1006</v>
      </c>
      <c r="S122" s="11" t="s">
        <v>1168</v>
      </c>
      <c r="T122" s="11" t="s">
        <v>1008</v>
      </c>
      <c r="U122" s="10" t="s">
        <v>486</v>
      </c>
      <c r="V122" s="10" t="s">
        <v>116</v>
      </c>
    </row>
    <row r="123" customFormat="false" ht="39.55" hidden="false" customHeight="false" outlineLevel="0" collapsed="false">
      <c r="A123" s="10" t="s">
        <v>489</v>
      </c>
      <c r="B123" s="11" t="s">
        <v>491</v>
      </c>
      <c r="C123" s="10" t="s">
        <v>312</v>
      </c>
      <c r="D123" s="10" t="s">
        <v>490</v>
      </c>
      <c r="E123" s="11" t="s">
        <v>1169</v>
      </c>
      <c r="F123" s="11" t="s">
        <v>1170</v>
      </c>
      <c r="G123" s="10" t="n">
        <v>4</v>
      </c>
      <c r="H123" s="10" t="n">
        <v>4</v>
      </c>
      <c r="I123" s="10" t="n">
        <v>9</v>
      </c>
      <c r="J123" s="11" t="s">
        <v>917</v>
      </c>
      <c r="K123" s="10" t="n">
        <v>1</v>
      </c>
      <c r="L123" s="10"/>
      <c r="M123" s="10" t="s">
        <v>133</v>
      </c>
      <c r="N123" s="10" t="s">
        <v>1171</v>
      </c>
      <c r="O123" s="11" t="s">
        <v>919</v>
      </c>
      <c r="P123" s="10" t="n">
        <v>1.2</v>
      </c>
      <c r="Q123" s="11" t="s">
        <v>1005</v>
      </c>
      <c r="R123" s="11" t="s">
        <v>1006</v>
      </c>
      <c r="S123" s="11" t="s">
        <v>1172</v>
      </c>
      <c r="T123" s="11" t="s">
        <v>1008</v>
      </c>
      <c r="U123" s="10" t="s">
        <v>489</v>
      </c>
      <c r="V123" s="10" t="s">
        <v>100</v>
      </c>
    </row>
    <row r="124" customFormat="false" ht="39.55" hidden="false" customHeight="false" outlineLevel="0" collapsed="false">
      <c r="A124" s="10" t="s">
        <v>493</v>
      </c>
      <c r="B124" s="11" t="s">
        <v>494</v>
      </c>
      <c r="C124" s="10" t="s">
        <v>312</v>
      </c>
      <c r="D124" s="10" t="s">
        <v>490</v>
      </c>
      <c r="E124" s="10" t="s">
        <v>1173</v>
      </c>
      <c r="F124" s="11" t="s">
        <v>1170</v>
      </c>
      <c r="G124" s="10" t="n">
        <v>4</v>
      </c>
      <c r="H124" s="10" t="n">
        <v>4</v>
      </c>
      <c r="I124" s="10" t="n">
        <v>9</v>
      </c>
      <c r="J124" s="11" t="s">
        <v>917</v>
      </c>
      <c r="K124" s="10" t="n">
        <v>1</v>
      </c>
      <c r="L124" s="10"/>
      <c r="M124" s="10" t="s">
        <v>133</v>
      </c>
      <c r="N124" s="10" t="s">
        <v>1174</v>
      </c>
      <c r="O124" s="11" t="s">
        <v>919</v>
      </c>
      <c r="P124" s="10" t="n">
        <v>1.2</v>
      </c>
      <c r="Q124" s="11" t="s">
        <v>1005</v>
      </c>
      <c r="R124" s="11" t="s">
        <v>1006</v>
      </c>
      <c r="S124" s="11" t="s">
        <v>1175</v>
      </c>
      <c r="T124" s="11" t="s">
        <v>1008</v>
      </c>
      <c r="U124" s="10" t="s">
        <v>493</v>
      </c>
      <c r="V124" s="10" t="s">
        <v>116</v>
      </c>
    </row>
    <row r="125" customFormat="false" ht="39.55" hidden="false" customHeight="false" outlineLevel="0" collapsed="false">
      <c r="A125" s="10" t="s">
        <v>496</v>
      </c>
      <c r="B125" s="11" t="s">
        <v>497</v>
      </c>
      <c r="C125" s="10" t="s">
        <v>312</v>
      </c>
      <c r="D125" s="10" t="s">
        <v>490</v>
      </c>
      <c r="E125" s="11" t="s">
        <v>1176</v>
      </c>
      <c r="F125" s="11" t="s">
        <v>1170</v>
      </c>
      <c r="G125" s="10" t="n">
        <v>4</v>
      </c>
      <c r="H125" s="10" t="n">
        <v>4</v>
      </c>
      <c r="I125" s="10" t="n">
        <v>9</v>
      </c>
      <c r="J125" s="11" t="s">
        <v>917</v>
      </c>
      <c r="K125" s="10" t="n">
        <v>1</v>
      </c>
      <c r="L125" s="10"/>
      <c r="M125" s="10" t="s">
        <v>133</v>
      </c>
      <c r="N125" s="10" t="s">
        <v>1156</v>
      </c>
      <c r="O125" s="11" t="s">
        <v>919</v>
      </c>
      <c r="P125" s="10" t="n">
        <v>1</v>
      </c>
      <c r="Q125" s="11" t="s">
        <v>1005</v>
      </c>
      <c r="R125" s="11" t="s">
        <v>1006</v>
      </c>
      <c r="S125" s="11" t="s">
        <v>1177</v>
      </c>
      <c r="T125" s="11" t="s">
        <v>1008</v>
      </c>
      <c r="U125" s="10" t="s">
        <v>496</v>
      </c>
      <c r="V125" s="10" t="s">
        <v>116</v>
      </c>
    </row>
    <row r="126" customFormat="false" ht="39.55" hidden="false" customHeight="false" outlineLevel="0" collapsed="false">
      <c r="A126" s="10" t="s">
        <v>499</v>
      </c>
      <c r="B126" s="11" t="s">
        <v>501</v>
      </c>
      <c r="C126" s="10" t="s">
        <v>312</v>
      </c>
      <c r="D126" s="10" t="s">
        <v>500</v>
      </c>
      <c r="E126" s="11" t="s">
        <v>1178</v>
      </c>
      <c r="F126" s="11" t="s">
        <v>1179</v>
      </c>
      <c r="G126" s="10" t="n">
        <v>4</v>
      </c>
      <c r="H126" s="10" t="n">
        <v>4</v>
      </c>
      <c r="I126" s="10" t="n">
        <v>9</v>
      </c>
      <c r="J126" s="11" t="s">
        <v>917</v>
      </c>
      <c r="K126" s="10" t="n">
        <v>1</v>
      </c>
      <c r="L126" s="10"/>
      <c r="M126" s="10" t="s">
        <v>133</v>
      </c>
      <c r="N126" s="10" t="s">
        <v>1180</v>
      </c>
      <c r="O126" s="11" t="s">
        <v>919</v>
      </c>
      <c r="P126" s="10" t="n">
        <v>1.2</v>
      </c>
      <c r="Q126" s="11" t="s">
        <v>1005</v>
      </c>
      <c r="R126" s="11" t="s">
        <v>1006</v>
      </c>
      <c r="S126" s="11" t="s">
        <v>1181</v>
      </c>
      <c r="T126" s="11" t="s">
        <v>1008</v>
      </c>
      <c r="U126" s="10" t="s">
        <v>499</v>
      </c>
      <c r="V126" s="10" t="s">
        <v>100</v>
      </c>
    </row>
    <row r="127" customFormat="false" ht="39.55" hidden="false" customHeight="false" outlineLevel="0" collapsed="false">
      <c r="A127" s="10" t="s">
        <v>504</v>
      </c>
      <c r="B127" s="11" t="s">
        <v>505</v>
      </c>
      <c r="C127" s="10" t="s">
        <v>312</v>
      </c>
      <c r="D127" s="10" t="s">
        <v>500</v>
      </c>
      <c r="E127" s="11" t="s">
        <v>1182</v>
      </c>
      <c r="F127" s="11" t="s">
        <v>1179</v>
      </c>
      <c r="G127" s="10" t="n">
        <v>4</v>
      </c>
      <c r="H127" s="10" t="n">
        <v>4</v>
      </c>
      <c r="I127" s="10" t="n">
        <v>9</v>
      </c>
      <c r="J127" s="11" t="s">
        <v>917</v>
      </c>
      <c r="K127" s="10" t="n">
        <v>1</v>
      </c>
      <c r="L127" s="10"/>
      <c r="M127" s="10" t="s">
        <v>133</v>
      </c>
      <c r="N127" s="10" t="s">
        <v>1183</v>
      </c>
      <c r="O127" s="11" t="s">
        <v>919</v>
      </c>
      <c r="P127" s="10" t="n">
        <v>1</v>
      </c>
      <c r="Q127" s="11" t="s">
        <v>1005</v>
      </c>
      <c r="R127" s="11" t="s">
        <v>1006</v>
      </c>
      <c r="S127" s="11" t="s">
        <v>1184</v>
      </c>
      <c r="T127" s="11" t="s">
        <v>1008</v>
      </c>
      <c r="U127" s="10" t="s">
        <v>504</v>
      </c>
      <c r="V127" s="10" t="s">
        <v>116</v>
      </c>
    </row>
    <row r="128" customFormat="false" ht="39.55" hidden="false" customHeight="false" outlineLevel="0" collapsed="false">
      <c r="A128" s="10" t="s">
        <v>507</v>
      </c>
      <c r="B128" s="11" t="s">
        <v>508</v>
      </c>
      <c r="C128" s="10" t="s">
        <v>312</v>
      </c>
      <c r="D128" s="10" t="s">
        <v>500</v>
      </c>
      <c r="E128" s="11" t="s">
        <v>1185</v>
      </c>
      <c r="F128" s="11" t="s">
        <v>1179</v>
      </c>
      <c r="G128" s="10" t="n">
        <v>4</v>
      </c>
      <c r="H128" s="10" t="n">
        <v>4</v>
      </c>
      <c r="I128" s="10" t="n">
        <v>9</v>
      </c>
      <c r="J128" s="11" t="s">
        <v>917</v>
      </c>
      <c r="K128" s="10" t="n">
        <v>1</v>
      </c>
      <c r="L128" s="10"/>
      <c r="M128" s="10" t="s">
        <v>133</v>
      </c>
      <c r="N128" s="10" t="s">
        <v>981</v>
      </c>
      <c r="O128" s="11" t="s">
        <v>919</v>
      </c>
      <c r="P128" s="10" t="n">
        <v>1.2</v>
      </c>
      <c r="Q128" s="11" t="s">
        <v>1005</v>
      </c>
      <c r="R128" s="11" t="s">
        <v>1006</v>
      </c>
      <c r="S128" s="11" t="s">
        <v>1186</v>
      </c>
      <c r="T128" s="11" t="s">
        <v>1008</v>
      </c>
      <c r="U128" s="10" t="s">
        <v>507</v>
      </c>
      <c r="V128" s="10" t="s">
        <v>116</v>
      </c>
    </row>
    <row r="129" customFormat="false" ht="39.55" hidden="false" customHeight="false" outlineLevel="0" collapsed="false">
      <c r="A129" s="10" t="s">
        <v>510</v>
      </c>
      <c r="B129" s="11" t="s">
        <v>511</v>
      </c>
      <c r="C129" s="10" t="s">
        <v>312</v>
      </c>
      <c r="D129" s="10" t="s">
        <v>500</v>
      </c>
      <c r="E129" s="11" t="s">
        <v>1187</v>
      </c>
      <c r="F129" s="11" t="s">
        <v>1179</v>
      </c>
      <c r="G129" s="10" t="n">
        <v>4</v>
      </c>
      <c r="H129" s="10" t="n">
        <v>4</v>
      </c>
      <c r="I129" s="10" t="n">
        <v>9</v>
      </c>
      <c r="J129" s="11" t="s">
        <v>917</v>
      </c>
      <c r="K129" s="10" t="n">
        <v>1</v>
      </c>
      <c r="L129" s="10"/>
      <c r="M129" s="10" t="s">
        <v>133</v>
      </c>
      <c r="N129" s="10" t="s">
        <v>1188</v>
      </c>
      <c r="O129" s="11" t="s">
        <v>919</v>
      </c>
      <c r="P129" s="10" t="n">
        <v>1</v>
      </c>
      <c r="Q129" s="11" t="s">
        <v>1005</v>
      </c>
      <c r="R129" s="11" t="s">
        <v>1006</v>
      </c>
      <c r="S129" s="11" t="s">
        <v>1189</v>
      </c>
      <c r="T129" s="11" t="s">
        <v>1008</v>
      </c>
      <c r="U129" s="10" t="s">
        <v>510</v>
      </c>
      <c r="V129" s="10" t="s">
        <v>116</v>
      </c>
    </row>
    <row r="130" customFormat="false" ht="39.55" hidden="false" customHeight="false" outlineLevel="0" collapsed="false">
      <c r="A130" s="10" t="s">
        <v>513</v>
      </c>
      <c r="B130" s="11" t="s">
        <v>515</v>
      </c>
      <c r="C130" s="10" t="s">
        <v>312</v>
      </c>
      <c r="D130" s="10" t="s">
        <v>514</v>
      </c>
      <c r="E130" s="10" t="s">
        <v>1190</v>
      </c>
      <c r="F130" s="10" t="s">
        <v>1191</v>
      </c>
      <c r="G130" s="10" t="n">
        <v>4</v>
      </c>
      <c r="H130" s="10" t="n">
        <v>3</v>
      </c>
      <c r="I130" s="10" t="n">
        <v>6</v>
      </c>
      <c r="J130" s="11" t="s">
        <v>825</v>
      </c>
      <c r="K130" s="10" t="n">
        <v>1.5</v>
      </c>
      <c r="L130" s="10"/>
      <c r="M130" s="10" t="s">
        <v>98</v>
      </c>
      <c r="N130" s="10" t="s">
        <v>1192</v>
      </c>
      <c r="O130" s="11" t="s">
        <v>827</v>
      </c>
      <c r="P130" s="10" t="n">
        <v>1</v>
      </c>
      <c r="Q130" s="11" t="s">
        <v>1005</v>
      </c>
      <c r="R130" s="11" t="s">
        <v>1006</v>
      </c>
      <c r="S130" s="11" t="s">
        <v>1193</v>
      </c>
      <c r="T130" s="11" t="s">
        <v>1008</v>
      </c>
      <c r="U130" s="10" t="s">
        <v>513</v>
      </c>
      <c r="V130" s="10" t="s">
        <v>100</v>
      </c>
    </row>
    <row r="131" customFormat="false" ht="39.55" hidden="false" customHeight="false" outlineLevel="0" collapsed="false">
      <c r="A131" s="10" t="s">
        <v>517</v>
      </c>
      <c r="B131" s="10" t="s">
        <v>518</v>
      </c>
      <c r="C131" s="10" t="s">
        <v>312</v>
      </c>
      <c r="D131" s="10" t="s">
        <v>514</v>
      </c>
      <c r="E131" s="11" t="s">
        <v>1194</v>
      </c>
      <c r="F131" s="10" t="s">
        <v>1191</v>
      </c>
      <c r="G131" s="10" t="n">
        <v>4</v>
      </c>
      <c r="H131" s="10" t="n">
        <v>3</v>
      </c>
      <c r="I131" s="10" t="n">
        <v>6</v>
      </c>
      <c r="J131" s="11" t="s">
        <v>825</v>
      </c>
      <c r="K131" s="10" t="n">
        <v>1.5</v>
      </c>
      <c r="L131" s="10"/>
      <c r="M131" s="10" t="s">
        <v>98</v>
      </c>
      <c r="N131" s="10" t="s">
        <v>1195</v>
      </c>
      <c r="O131" s="11" t="s">
        <v>827</v>
      </c>
      <c r="P131" s="10" t="n">
        <v>1</v>
      </c>
      <c r="Q131" s="11" t="s">
        <v>1005</v>
      </c>
      <c r="R131" s="11" t="s">
        <v>1006</v>
      </c>
      <c r="S131" s="10" t="s">
        <v>1196</v>
      </c>
      <c r="T131" s="11" t="s">
        <v>1008</v>
      </c>
      <c r="U131" s="10" t="s">
        <v>517</v>
      </c>
      <c r="V131" s="10" t="s">
        <v>100</v>
      </c>
    </row>
    <row r="132" customFormat="false" ht="39.55" hidden="false" customHeight="false" outlineLevel="0" collapsed="false">
      <c r="A132" s="10" t="s">
        <v>520</v>
      </c>
      <c r="B132" s="10" t="s">
        <v>521</v>
      </c>
      <c r="C132" s="10" t="s">
        <v>312</v>
      </c>
      <c r="D132" s="10" t="s">
        <v>514</v>
      </c>
      <c r="E132" s="10" t="s">
        <v>1197</v>
      </c>
      <c r="F132" s="10" t="s">
        <v>1191</v>
      </c>
      <c r="G132" s="10" t="n">
        <v>4</v>
      </c>
      <c r="H132" s="10" t="n">
        <v>3</v>
      </c>
      <c r="I132" s="10" t="n">
        <v>6</v>
      </c>
      <c r="J132" s="11" t="s">
        <v>825</v>
      </c>
      <c r="K132" s="10" t="n">
        <v>1.5</v>
      </c>
      <c r="L132" s="10"/>
      <c r="M132" s="10" t="s">
        <v>98</v>
      </c>
      <c r="N132" s="10" t="s">
        <v>1010</v>
      </c>
      <c r="O132" s="11" t="s">
        <v>827</v>
      </c>
      <c r="P132" s="10" t="n">
        <v>1</v>
      </c>
      <c r="Q132" s="11" t="s">
        <v>1005</v>
      </c>
      <c r="R132" s="11" t="s">
        <v>1006</v>
      </c>
      <c r="S132" s="10" t="s">
        <v>1198</v>
      </c>
      <c r="T132" s="11" t="s">
        <v>1008</v>
      </c>
      <c r="U132" s="10" t="s">
        <v>520</v>
      </c>
      <c r="V132" s="10" t="s">
        <v>100</v>
      </c>
    </row>
    <row r="133" customFormat="false" ht="39.55" hidden="false" customHeight="false" outlineLevel="0" collapsed="false">
      <c r="A133" s="10" t="s">
        <v>523</v>
      </c>
      <c r="B133" s="11" t="s">
        <v>524</v>
      </c>
      <c r="C133" s="10" t="s">
        <v>312</v>
      </c>
      <c r="D133" s="10" t="s">
        <v>514</v>
      </c>
      <c r="E133" s="11" t="s">
        <v>1199</v>
      </c>
      <c r="F133" s="10" t="s">
        <v>1191</v>
      </c>
      <c r="G133" s="10" t="n">
        <v>4</v>
      </c>
      <c r="H133" s="10" t="n">
        <v>3</v>
      </c>
      <c r="I133" s="10" t="n">
        <v>6</v>
      </c>
      <c r="J133" s="11" t="s">
        <v>825</v>
      </c>
      <c r="K133" s="10" t="n">
        <v>1.5</v>
      </c>
      <c r="L133" s="10"/>
      <c r="M133" s="10" t="s">
        <v>98</v>
      </c>
      <c r="N133" s="10" t="s">
        <v>1200</v>
      </c>
      <c r="O133" s="11" t="s">
        <v>827</v>
      </c>
      <c r="P133" s="10" t="n">
        <v>1</v>
      </c>
      <c r="Q133" s="11" t="s">
        <v>1005</v>
      </c>
      <c r="R133" s="11" t="s">
        <v>1006</v>
      </c>
      <c r="S133" s="11" t="s">
        <v>1201</v>
      </c>
      <c r="T133" s="11" t="s">
        <v>1008</v>
      </c>
      <c r="U133" s="10" t="s">
        <v>523</v>
      </c>
      <c r="V133" s="10" t="s">
        <v>116</v>
      </c>
    </row>
    <row r="134" customFormat="false" ht="39.55" hidden="false" customHeight="false" outlineLevel="0" collapsed="false">
      <c r="A134" s="10" t="s">
        <v>526</v>
      </c>
      <c r="B134" s="10" t="s">
        <v>527</v>
      </c>
      <c r="C134" s="10" t="s">
        <v>312</v>
      </c>
      <c r="D134" s="10" t="s">
        <v>514</v>
      </c>
      <c r="E134" s="10" t="s">
        <v>1202</v>
      </c>
      <c r="F134" s="10" t="s">
        <v>1191</v>
      </c>
      <c r="G134" s="10" t="n">
        <v>4</v>
      </c>
      <c r="H134" s="10" t="n">
        <v>3</v>
      </c>
      <c r="I134" s="10" t="n">
        <v>6</v>
      </c>
      <c r="J134" s="11" t="s">
        <v>825</v>
      </c>
      <c r="K134" s="10" t="n">
        <v>1.5</v>
      </c>
      <c r="L134" s="10"/>
      <c r="M134" s="10" t="s">
        <v>98</v>
      </c>
      <c r="N134" s="10" t="s">
        <v>1203</v>
      </c>
      <c r="O134" s="11" t="s">
        <v>827</v>
      </c>
      <c r="P134" s="10" t="n">
        <v>1</v>
      </c>
      <c r="Q134" s="11" t="s">
        <v>1005</v>
      </c>
      <c r="R134" s="11" t="s">
        <v>1006</v>
      </c>
      <c r="S134" s="10" t="s">
        <v>1204</v>
      </c>
      <c r="T134" s="11" t="s">
        <v>1008</v>
      </c>
      <c r="U134" s="10" t="s">
        <v>526</v>
      </c>
      <c r="V134" s="10" t="s">
        <v>116</v>
      </c>
    </row>
    <row r="135" customFormat="false" ht="39.55" hidden="false" customHeight="false" outlineLevel="0" collapsed="false">
      <c r="A135" s="10" t="s">
        <v>529</v>
      </c>
      <c r="B135" s="11" t="s">
        <v>530</v>
      </c>
      <c r="C135" s="10" t="s">
        <v>312</v>
      </c>
      <c r="D135" s="10" t="s">
        <v>514</v>
      </c>
      <c r="E135" s="11" t="s">
        <v>1205</v>
      </c>
      <c r="F135" s="10" t="s">
        <v>1191</v>
      </c>
      <c r="G135" s="10" t="n">
        <v>4</v>
      </c>
      <c r="H135" s="10" t="n">
        <v>3</v>
      </c>
      <c r="I135" s="10" t="n">
        <v>6</v>
      </c>
      <c r="J135" s="11" t="s">
        <v>825</v>
      </c>
      <c r="K135" s="10" t="n">
        <v>1.5</v>
      </c>
      <c r="L135" s="10"/>
      <c r="M135" s="10" t="s">
        <v>98</v>
      </c>
      <c r="N135" s="10" t="s">
        <v>1018</v>
      </c>
      <c r="O135" s="11" t="s">
        <v>827</v>
      </c>
      <c r="P135" s="10" t="n">
        <v>1</v>
      </c>
      <c r="Q135" s="11" t="s">
        <v>1005</v>
      </c>
      <c r="R135" s="11" t="s">
        <v>1006</v>
      </c>
      <c r="S135" s="11" t="s">
        <v>1206</v>
      </c>
      <c r="T135" s="11" t="s">
        <v>1008</v>
      </c>
      <c r="U135" s="10" t="s">
        <v>529</v>
      </c>
      <c r="V135" s="10" t="s">
        <v>116</v>
      </c>
    </row>
    <row r="136" customFormat="false" ht="39.55" hidden="false" customHeight="false" outlineLevel="0" collapsed="false">
      <c r="A136" s="10" t="s">
        <v>532</v>
      </c>
      <c r="B136" s="10" t="s">
        <v>533</v>
      </c>
      <c r="C136" s="10" t="s">
        <v>312</v>
      </c>
      <c r="D136" s="10" t="s">
        <v>514</v>
      </c>
      <c r="E136" s="11" t="s">
        <v>1207</v>
      </c>
      <c r="F136" s="10" t="s">
        <v>1191</v>
      </c>
      <c r="G136" s="10" t="n">
        <v>4</v>
      </c>
      <c r="H136" s="10" t="n">
        <v>3</v>
      </c>
      <c r="I136" s="10" t="n">
        <v>6</v>
      </c>
      <c r="J136" s="11" t="s">
        <v>825</v>
      </c>
      <c r="K136" s="10" t="n">
        <v>1.5</v>
      </c>
      <c r="L136" s="10"/>
      <c r="M136" s="10" t="s">
        <v>98</v>
      </c>
      <c r="N136" s="10" t="s">
        <v>1208</v>
      </c>
      <c r="O136" s="11" t="s">
        <v>827</v>
      </c>
      <c r="P136" s="10" t="n">
        <v>1</v>
      </c>
      <c r="Q136" s="11" t="s">
        <v>1005</v>
      </c>
      <c r="R136" s="11" t="s">
        <v>1006</v>
      </c>
      <c r="S136" s="10" t="s">
        <v>1209</v>
      </c>
      <c r="T136" s="11" t="s">
        <v>1008</v>
      </c>
      <c r="U136" s="10" t="s">
        <v>532</v>
      </c>
      <c r="V136" s="10" t="s">
        <v>116</v>
      </c>
    </row>
    <row r="137" customFormat="false" ht="39.55" hidden="false" customHeight="false" outlineLevel="0" collapsed="false">
      <c r="A137" s="10" t="s">
        <v>535</v>
      </c>
      <c r="B137" s="11" t="s">
        <v>537</v>
      </c>
      <c r="C137" s="10" t="s">
        <v>312</v>
      </c>
      <c r="D137" s="10" t="s">
        <v>536</v>
      </c>
      <c r="E137" s="11" t="s">
        <v>1210</v>
      </c>
      <c r="F137" s="11" t="s">
        <v>1211</v>
      </c>
      <c r="G137" s="10" t="n">
        <v>4</v>
      </c>
      <c r="H137" s="10" t="n">
        <v>2</v>
      </c>
      <c r="I137" s="10" t="n">
        <v>3</v>
      </c>
      <c r="J137" s="11" t="s">
        <v>789</v>
      </c>
      <c r="K137" s="10" t="n">
        <v>1.5</v>
      </c>
      <c r="L137" s="10"/>
      <c r="M137" s="10" t="s">
        <v>98</v>
      </c>
      <c r="N137" s="10" t="s">
        <v>1212</v>
      </c>
      <c r="O137" s="11" t="s">
        <v>791</v>
      </c>
      <c r="P137" s="10" t="n">
        <v>1.2</v>
      </c>
      <c r="Q137" s="11" t="s">
        <v>1005</v>
      </c>
      <c r="R137" s="11" t="s">
        <v>1006</v>
      </c>
      <c r="S137" s="11" t="s">
        <v>1213</v>
      </c>
      <c r="T137" s="11" t="s">
        <v>1008</v>
      </c>
      <c r="U137" s="10" t="s">
        <v>535</v>
      </c>
      <c r="V137" s="10" t="s">
        <v>100</v>
      </c>
    </row>
    <row r="138" customFormat="false" ht="39.55" hidden="false" customHeight="false" outlineLevel="0" collapsed="false">
      <c r="A138" s="10" t="s">
        <v>539</v>
      </c>
      <c r="B138" s="11" t="s">
        <v>540</v>
      </c>
      <c r="C138" s="10" t="s">
        <v>312</v>
      </c>
      <c r="D138" s="10" t="s">
        <v>536</v>
      </c>
      <c r="E138" s="10" t="s">
        <v>1214</v>
      </c>
      <c r="F138" s="11" t="s">
        <v>1211</v>
      </c>
      <c r="G138" s="10" t="n">
        <v>4</v>
      </c>
      <c r="H138" s="10" t="n">
        <v>2</v>
      </c>
      <c r="I138" s="10" t="n">
        <v>3</v>
      </c>
      <c r="J138" s="11" t="s">
        <v>789</v>
      </c>
      <c r="K138" s="10" t="n">
        <v>1.5</v>
      </c>
      <c r="L138" s="10"/>
      <c r="M138" s="10" t="s">
        <v>98</v>
      </c>
      <c r="N138" s="10" t="s">
        <v>1215</v>
      </c>
      <c r="O138" s="11" t="s">
        <v>791</v>
      </c>
      <c r="P138" s="10" t="n">
        <v>1</v>
      </c>
      <c r="Q138" s="11" t="s">
        <v>1005</v>
      </c>
      <c r="R138" s="11" t="s">
        <v>1006</v>
      </c>
      <c r="S138" s="11" t="s">
        <v>1216</v>
      </c>
      <c r="T138" s="11" t="s">
        <v>1008</v>
      </c>
      <c r="U138" s="10" t="s">
        <v>539</v>
      </c>
      <c r="V138" s="10" t="s">
        <v>116</v>
      </c>
    </row>
    <row r="139" customFormat="false" ht="39.55" hidden="false" customHeight="false" outlineLevel="0" collapsed="false">
      <c r="A139" s="10" t="s">
        <v>542</v>
      </c>
      <c r="B139" s="10" t="s">
        <v>543</v>
      </c>
      <c r="C139" s="10" t="s">
        <v>312</v>
      </c>
      <c r="D139" s="10" t="s">
        <v>536</v>
      </c>
      <c r="E139" s="10" t="s">
        <v>1217</v>
      </c>
      <c r="F139" s="11" t="s">
        <v>1211</v>
      </c>
      <c r="G139" s="10" t="n">
        <v>4</v>
      </c>
      <c r="H139" s="10" t="n">
        <v>2</v>
      </c>
      <c r="I139" s="10" t="n">
        <v>3</v>
      </c>
      <c r="J139" s="11" t="s">
        <v>789</v>
      </c>
      <c r="K139" s="10" t="n">
        <v>1.5</v>
      </c>
      <c r="L139" s="10"/>
      <c r="M139" s="10" t="s">
        <v>98</v>
      </c>
      <c r="N139" s="10" t="s">
        <v>1203</v>
      </c>
      <c r="O139" s="11" t="s">
        <v>791</v>
      </c>
      <c r="P139" s="10" t="n">
        <v>1</v>
      </c>
      <c r="Q139" s="11" t="s">
        <v>1005</v>
      </c>
      <c r="R139" s="11" t="s">
        <v>1006</v>
      </c>
      <c r="S139" s="10" t="s">
        <v>1218</v>
      </c>
      <c r="T139" s="11" t="s">
        <v>1008</v>
      </c>
      <c r="U139" s="10" t="s">
        <v>542</v>
      </c>
      <c r="V139" s="10" t="s">
        <v>116</v>
      </c>
    </row>
    <row r="140" customFormat="false" ht="39.55" hidden="false" customHeight="false" outlineLevel="0" collapsed="false">
      <c r="A140" s="10" t="s">
        <v>545</v>
      </c>
      <c r="B140" s="11" t="s">
        <v>546</v>
      </c>
      <c r="C140" s="10" t="s">
        <v>312</v>
      </c>
      <c r="D140" s="10" t="s">
        <v>536</v>
      </c>
      <c r="E140" s="11" t="s">
        <v>1219</v>
      </c>
      <c r="F140" s="11" t="s">
        <v>1211</v>
      </c>
      <c r="G140" s="10" t="n">
        <v>4</v>
      </c>
      <c r="H140" s="10" t="n">
        <v>2</v>
      </c>
      <c r="I140" s="10" t="n">
        <v>3</v>
      </c>
      <c r="J140" s="11" t="s">
        <v>789</v>
      </c>
      <c r="K140" s="10" t="n">
        <v>1.5</v>
      </c>
      <c r="L140" s="10"/>
      <c r="M140" s="10" t="s">
        <v>98</v>
      </c>
      <c r="N140" s="10" t="s">
        <v>1220</v>
      </c>
      <c r="O140" s="11" t="s">
        <v>791</v>
      </c>
      <c r="P140" s="10" t="n">
        <v>1</v>
      </c>
      <c r="Q140" s="11" t="s">
        <v>1005</v>
      </c>
      <c r="R140" s="11" t="s">
        <v>1006</v>
      </c>
      <c r="S140" s="11" t="s">
        <v>1221</v>
      </c>
      <c r="T140" s="11" t="s">
        <v>1008</v>
      </c>
      <c r="U140" s="10" t="s">
        <v>545</v>
      </c>
      <c r="V140" s="10" t="s">
        <v>116</v>
      </c>
    </row>
    <row r="141" customFormat="false" ht="39.55" hidden="false" customHeight="false" outlineLevel="0" collapsed="false">
      <c r="A141" s="10" t="s">
        <v>548</v>
      </c>
      <c r="B141" s="10" t="s">
        <v>550</v>
      </c>
      <c r="C141" s="10" t="s">
        <v>549</v>
      </c>
      <c r="D141" s="10" t="s">
        <v>313</v>
      </c>
      <c r="E141" s="11" t="s">
        <v>1222</v>
      </c>
      <c r="F141" s="11" t="s">
        <v>1223</v>
      </c>
      <c r="G141" s="10" t="n">
        <v>4</v>
      </c>
      <c r="H141" s="10" t="n">
        <v>3</v>
      </c>
      <c r="I141" s="10" t="n">
        <v>6</v>
      </c>
      <c r="J141" s="11" t="s">
        <v>825</v>
      </c>
      <c r="K141" s="10" t="n">
        <v>1.5</v>
      </c>
      <c r="L141" s="10" t="s">
        <v>260</v>
      </c>
      <c r="M141" s="10" t="s">
        <v>98</v>
      </c>
      <c r="N141" s="10" t="s">
        <v>1224</v>
      </c>
      <c r="O141" s="11" t="s">
        <v>827</v>
      </c>
      <c r="P141" s="10" t="n">
        <v>1</v>
      </c>
      <c r="Q141" s="10" t="s">
        <v>1225</v>
      </c>
      <c r="R141" s="11" t="s">
        <v>1226</v>
      </c>
      <c r="S141" s="10" t="s">
        <v>1227</v>
      </c>
      <c r="T141" s="11" t="s">
        <v>1228</v>
      </c>
      <c r="U141" s="10" t="s">
        <v>548</v>
      </c>
      <c r="V141" s="10" t="s">
        <v>100</v>
      </c>
    </row>
    <row r="142" customFormat="false" ht="39.55" hidden="false" customHeight="false" outlineLevel="0" collapsed="false">
      <c r="A142" s="10" t="s">
        <v>552</v>
      </c>
      <c r="B142" s="11" t="s">
        <v>553</v>
      </c>
      <c r="C142" s="10" t="s">
        <v>549</v>
      </c>
      <c r="D142" s="10" t="s">
        <v>313</v>
      </c>
      <c r="E142" s="11" t="s">
        <v>1229</v>
      </c>
      <c r="F142" s="11" t="s">
        <v>1223</v>
      </c>
      <c r="G142" s="10" t="n">
        <v>4</v>
      </c>
      <c r="H142" s="10" t="n">
        <v>3</v>
      </c>
      <c r="I142" s="10" t="n">
        <v>6</v>
      </c>
      <c r="J142" s="11" t="s">
        <v>825</v>
      </c>
      <c r="K142" s="10" t="n">
        <v>1.5</v>
      </c>
      <c r="L142" s="10"/>
      <c r="M142" s="10" t="s">
        <v>98</v>
      </c>
      <c r="N142" s="10" t="s">
        <v>1230</v>
      </c>
      <c r="O142" s="11" t="s">
        <v>827</v>
      </c>
      <c r="P142" s="10" t="n">
        <v>1</v>
      </c>
      <c r="Q142" s="10" t="s">
        <v>1225</v>
      </c>
      <c r="R142" s="11" t="s">
        <v>1226</v>
      </c>
      <c r="S142" s="11" t="s">
        <v>1231</v>
      </c>
      <c r="T142" s="11" t="s">
        <v>1228</v>
      </c>
      <c r="U142" s="10" t="s">
        <v>552</v>
      </c>
      <c r="V142" s="10" t="s">
        <v>116</v>
      </c>
    </row>
    <row r="143" customFormat="false" ht="39.55" hidden="false" customHeight="false" outlineLevel="0" collapsed="false">
      <c r="A143" s="10" t="s">
        <v>555</v>
      </c>
      <c r="B143" s="11" t="s">
        <v>556</v>
      </c>
      <c r="C143" s="10" t="s">
        <v>549</v>
      </c>
      <c r="D143" s="10" t="s">
        <v>313</v>
      </c>
      <c r="E143" s="11" t="s">
        <v>1232</v>
      </c>
      <c r="F143" s="11" t="s">
        <v>1223</v>
      </c>
      <c r="G143" s="10" t="n">
        <v>4</v>
      </c>
      <c r="H143" s="10" t="n">
        <v>4</v>
      </c>
      <c r="I143" s="10" t="n">
        <v>9</v>
      </c>
      <c r="J143" s="11" t="s">
        <v>917</v>
      </c>
      <c r="K143" s="10" t="n">
        <v>1</v>
      </c>
      <c r="L143" s="10"/>
      <c r="M143" s="10" t="s">
        <v>133</v>
      </c>
      <c r="N143" s="10" t="s">
        <v>1091</v>
      </c>
      <c r="O143" s="11" t="s">
        <v>919</v>
      </c>
      <c r="P143" s="10" t="n">
        <v>1</v>
      </c>
      <c r="Q143" s="10" t="s">
        <v>1225</v>
      </c>
      <c r="R143" s="11" t="s">
        <v>1226</v>
      </c>
      <c r="S143" s="11" t="s">
        <v>1233</v>
      </c>
      <c r="T143" s="11" t="s">
        <v>1228</v>
      </c>
      <c r="U143" s="10" t="s">
        <v>555</v>
      </c>
      <c r="V143" s="10" t="s">
        <v>116</v>
      </c>
    </row>
    <row r="144" customFormat="false" ht="39.55" hidden="false" customHeight="false" outlineLevel="0" collapsed="false">
      <c r="A144" s="10" t="s">
        <v>558</v>
      </c>
      <c r="B144" s="11" t="s">
        <v>560</v>
      </c>
      <c r="C144" s="10" t="s">
        <v>549</v>
      </c>
      <c r="D144" s="10" t="s">
        <v>559</v>
      </c>
      <c r="E144" s="11" t="s">
        <v>1234</v>
      </c>
      <c r="F144" s="11" t="s">
        <v>1235</v>
      </c>
      <c r="G144" s="10" t="n">
        <v>5</v>
      </c>
      <c r="H144" s="10" t="n">
        <v>4</v>
      </c>
      <c r="I144" s="10" t="n">
        <v>9</v>
      </c>
      <c r="J144" s="11" t="s">
        <v>917</v>
      </c>
      <c r="K144" s="10" t="n">
        <v>1</v>
      </c>
      <c r="L144" s="10"/>
      <c r="M144" s="10" t="s">
        <v>133</v>
      </c>
      <c r="N144" s="10" t="s">
        <v>1236</v>
      </c>
      <c r="O144" s="11" t="s">
        <v>919</v>
      </c>
      <c r="P144" s="10" t="n">
        <v>1</v>
      </c>
      <c r="Q144" s="10" t="s">
        <v>1225</v>
      </c>
      <c r="R144" s="11" t="s">
        <v>1226</v>
      </c>
      <c r="S144" s="11" t="s">
        <v>1237</v>
      </c>
      <c r="T144" s="11" t="s">
        <v>1228</v>
      </c>
      <c r="U144" s="10" t="s">
        <v>558</v>
      </c>
      <c r="V144" s="10" t="s">
        <v>100</v>
      </c>
    </row>
    <row r="145" customFormat="false" ht="39.55" hidden="false" customHeight="false" outlineLevel="0" collapsed="false">
      <c r="A145" s="10" t="s">
        <v>562</v>
      </c>
      <c r="B145" s="10" t="s">
        <v>563</v>
      </c>
      <c r="C145" s="10" t="s">
        <v>549</v>
      </c>
      <c r="D145" s="10" t="s">
        <v>559</v>
      </c>
      <c r="E145" s="11" t="s">
        <v>1238</v>
      </c>
      <c r="F145" s="11" t="s">
        <v>1235</v>
      </c>
      <c r="G145" s="10" t="n">
        <v>5</v>
      </c>
      <c r="H145" s="10" t="n">
        <v>4</v>
      </c>
      <c r="I145" s="10" t="n">
        <v>9</v>
      </c>
      <c r="J145" s="11" t="s">
        <v>917</v>
      </c>
      <c r="K145" s="10" t="n">
        <v>1</v>
      </c>
      <c r="L145" s="10"/>
      <c r="M145" s="10" t="s">
        <v>133</v>
      </c>
      <c r="N145" s="10" t="s">
        <v>1239</v>
      </c>
      <c r="O145" s="11" t="s">
        <v>919</v>
      </c>
      <c r="P145" s="10" t="n">
        <v>1.2</v>
      </c>
      <c r="Q145" s="10" t="s">
        <v>1225</v>
      </c>
      <c r="R145" s="11" t="s">
        <v>1226</v>
      </c>
      <c r="S145" s="10" t="s">
        <v>1240</v>
      </c>
      <c r="T145" s="11" t="s">
        <v>1228</v>
      </c>
      <c r="U145" s="10" t="s">
        <v>562</v>
      </c>
      <c r="V145" s="10" t="s">
        <v>100</v>
      </c>
    </row>
    <row r="146" customFormat="false" ht="39.55" hidden="false" customHeight="false" outlineLevel="0" collapsed="false">
      <c r="A146" s="10" t="s">
        <v>565</v>
      </c>
      <c r="B146" s="11" t="s">
        <v>566</v>
      </c>
      <c r="C146" s="10" t="s">
        <v>549</v>
      </c>
      <c r="D146" s="10" t="s">
        <v>559</v>
      </c>
      <c r="E146" s="11" t="s">
        <v>1241</v>
      </c>
      <c r="F146" s="11" t="s">
        <v>1235</v>
      </c>
      <c r="G146" s="10" t="n">
        <v>5</v>
      </c>
      <c r="H146" s="10" t="n">
        <v>4</v>
      </c>
      <c r="I146" s="10" t="n">
        <v>9</v>
      </c>
      <c r="J146" s="11" t="s">
        <v>917</v>
      </c>
      <c r="K146" s="10" t="n">
        <v>1</v>
      </c>
      <c r="L146" s="10"/>
      <c r="M146" s="10" t="s">
        <v>133</v>
      </c>
      <c r="N146" s="10" t="s">
        <v>1242</v>
      </c>
      <c r="O146" s="11" t="s">
        <v>919</v>
      </c>
      <c r="P146" s="10" t="n">
        <v>1.2</v>
      </c>
      <c r="Q146" s="10" t="s">
        <v>1225</v>
      </c>
      <c r="R146" s="11" t="s">
        <v>1226</v>
      </c>
      <c r="S146" s="11" t="s">
        <v>1243</v>
      </c>
      <c r="T146" s="11" t="s">
        <v>1228</v>
      </c>
      <c r="U146" s="10" t="s">
        <v>565</v>
      </c>
      <c r="V146" s="10" t="s">
        <v>100</v>
      </c>
    </row>
    <row r="147" customFormat="false" ht="39.55" hidden="false" customHeight="false" outlineLevel="0" collapsed="false">
      <c r="A147" s="10" t="s">
        <v>568</v>
      </c>
      <c r="B147" s="11" t="s">
        <v>569</v>
      </c>
      <c r="C147" s="10" t="s">
        <v>549</v>
      </c>
      <c r="D147" s="10" t="s">
        <v>559</v>
      </c>
      <c r="E147" s="11" t="s">
        <v>1244</v>
      </c>
      <c r="F147" s="11" t="s">
        <v>1235</v>
      </c>
      <c r="G147" s="10" t="n">
        <v>5</v>
      </c>
      <c r="H147" s="10" t="n">
        <v>4</v>
      </c>
      <c r="I147" s="10" t="n">
        <v>9</v>
      </c>
      <c r="J147" s="11" t="s">
        <v>917</v>
      </c>
      <c r="K147" s="10" t="n">
        <v>1</v>
      </c>
      <c r="L147" s="10"/>
      <c r="M147" s="10" t="s">
        <v>133</v>
      </c>
      <c r="N147" s="10" t="s">
        <v>1245</v>
      </c>
      <c r="O147" s="11" t="s">
        <v>919</v>
      </c>
      <c r="P147" s="10" t="n">
        <v>1</v>
      </c>
      <c r="Q147" s="10" t="s">
        <v>1225</v>
      </c>
      <c r="R147" s="11" t="s">
        <v>1226</v>
      </c>
      <c r="S147" s="11" t="s">
        <v>1246</v>
      </c>
      <c r="T147" s="11" t="s">
        <v>1228</v>
      </c>
      <c r="U147" s="10" t="s">
        <v>568</v>
      </c>
      <c r="V147" s="10" t="s">
        <v>116</v>
      </c>
    </row>
    <row r="148" customFormat="false" ht="39.55" hidden="false" customHeight="false" outlineLevel="0" collapsed="false">
      <c r="A148" s="10" t="s">
        <v>571</v>
      </c>
      <c r="B148" s="11" t="s">
        <v>572</v>
      </c>
      <c r="C148" s="10" t="s">
        <v>549</v>
      </c>
      <c r="D148" s="10" t="s">
        <v>559</v>
      </c>
      <c r="E148" s="11" t="s">
        <v>1247</v>
      </c>
      <c r="F148" s="11" t="s">
        <v>1235</v>
      </c>
      <c r="G148" s="10" t="n">
        <v>5</v>
      </c>
      <c r="H148" s="10" t="n">
        <v>4</v>
      </c>
      <c r="I148" s="10" t="n">
        <v>9</v>
      </c>
      <c r="J148" s="11" t="s">
        <v>917</v>
      </c>
      <c r="K148" s="10" t="n">
        <v>1</v>
      </c>
      <c r="L148" s="10"/>
      <c r="M148" s="10" t="s">
        <v>133</v>
      </c>
      <c r="N148" s="10" t="s">
        <v>1131</v>
      </c>
      <c r="O148" s="11" t="s">
        <v>919</v>
      </c>
      <c r="P148" s="10" t="n">
        <v>1</v>
      </c>
      <c r="Q148" s="10" t="s">
        <v>1225</v>
      </c>
      <c r="R148" s="11" t="s">
        <v>1226</v>
      </c>
      <c r="S148" s="11" t="s">
        <v>1248</v>
      </c>
      <c r="T148" s="11" t="s">
        <v>1228</v>
      </c>
      <c r="U148" s="10" t="s">
        <v>571</v>
      </c>
      <c r="V148" s="10" t="s">
        <v>116</v>
      </c>
    </row>
    <row r="149" customFormat="false" ht="39.55" hidden="false" customHeight="false" outlineLevel="0" collapsed="false">
      <c r="A149" s="10" t="s">
        <v>574</v>
      </c>
      <c r="B149" s="11" t="s">
        <v>575</v>
      </c>
      <c r="C149" s="10" t="s">
        <v>549</v>
      </c>
      <c r="D149" s="10" t="s">
        <v>559</v>
      </c>
      <c r="E149" s="11" t="s">
        <v>1249</v>
      </c>
      <c r="F149" s="11" t="s">
        <v>1235</v>
      </c>
      <c r="G149" s="10" t="n">
        <v>5</v>
      </c>
      <c r="H149" s="10" t="n">
        <v>4</v>
      </c>
      <c r="I149" s="10" t="n">
        <v>9</v>
      </c>
      <c r="J149" s="11" t="s">
        <v>917</v>
      </c>
      <c r="K149" s="10" t="n">
        <v>1</v>
      </c>
      <c r="L149" s="10"/>
      <c r="M149" s="10" t="s">
        <v>133</v>
      </c>
      <c r="N149" s="10" t="s">
        <v>1131</v>
      </c>
      <c r="O149" s="11" t="s">
        <v>919</v>
      </c>
      <c r="P149" s="10" t="n">
        <v>1</v>
      </c>
      <c r="Q149" s="10" t="s">
        <v>1225</v>
      </c>
      <c r="R149" s="11" t="s">
        <v>1226</v>
      </c>
      <c r="S149" s="11" t="s">
        <v>1250</v>
      </c>
      <c r="T149" s="11" t="s">
        <v>1228</v>
      </c>
      <c r="U149" s="10" t="s">
        <v>574</v>
      </c>
      <c r="V149" s="10" t="s">
        <v>116</v>
      </c>
    </row>
    <row r="150" customFormat="false" ht="39.55" hidden="false" customHeight="false" outlineLevel="0" collapsed="false">
      <c r="A150" s="10" t="s">
        <v>577</v>
      </c>
      <c r="B150" s="11" t="s">
        <v>578</v>
      </c>
      <c r="C150" s="10" t="s">
        <v>549</v>
      </c>
      <c r="D150" s="10" t="s">
        <v>559</v>
      </c>
      <c r="E150" s="11" t="s">
        <v>1251</v>
      </c>
      <c r="F150" s="11" t="s">
        <v>1235</v>
      </c>
      <c r="G150" s="10" t="n">
        <v>5</v>
      </c>
      <c r="H150" s="10" t="n">
        <v>4</v>
      </c>
      <c r="I150" s="10" t="n">
        <v>9</v>
      </c>
      <c r="J150" s="11" t="s">
        <v>917</v>
      </c>
      <c r="K150" s="10" t="n">
        <v>1</v>
      </c>
      <c r="L150" s="10"/>
      <c r="M150" s="10" t="s">
        <v>133</v>
      </c>
      <c r="N150" s="10" t="s">
        <v>1131</v>
      </c>
      <c r="O150" s="11" t="s">
        <v>919</v>
      </c>
      <c r="P150" s="10" t="n">
        <v>1</v>
      </c>
      <c r="Q150" s="10" t="s">
        <v>1225</v>
      </c>
      <c r="R150" s="11" t="s">
        <v>1226</v>
      </c>
      <c r="S150" s="11" t="s">
        <v>1252</v>
      </c>
      <c r="T150" s="11" t="s">
        <v>1228</v>
      </c>
      <c r="U150" s="10" t="s">
        <v>577</v>
      </c>
      <c r="V150" s="10" t="s">
        <v>116</v>
      </c>
    </row>
    <row r="151" customFormat="false" ht="39.55" hidden="false" customHeight="false" outlineLevel="0" collapsed="false">
      <c r="A151" s="10" t="s">
        <v>580</v>
      </c>
      <c r="B151" s="11" t="s">
        <v>581</v>
      </c>
      <c r="C151" s="10" t="s">
        <v>549</v>
      </c>
      <c r="D151" s="10" t="s">
        <v>559</v>
      </c>
      <c r="E151" s="11" t="s">
        <v>1253</v>
      </c>
      <c r="F151" s="11" t="s">
        <v>1235</v>
      </c>
      <c r="G151" s="10" t="n">
        <v>5</v>
      </c>
      <c r="H151" s="10" t="n">
        <v>2</v>
      </c>
      <c r="I151" s="10" t="n">
        <v>3</v>
      </c>
      <c r="J151" s="11" t="s">
        <v>789</v>
      </c>
      <c r="K151" s="10" t="n">
        <v>1.5</v>
      </c>
      <c r="L151" s="10"/>
      <c r="M151" s="10" t="s">
        <v>98</v>
      </c>
      <c r="N151" s="10" t="s">
        <v>943</v>
      </c>
      <c r="O151" s="11" t="s">
        <v>791</v>
      </c>
      <c r="P151" s="10" t="n">
        <v>1</v>
      </c>
      <c r="Q151" s="10" t="s">
        <v>1225</v>
      </c>
      <c r="R151" s="11" t="s">
        <v>1226</v>
      </c>
      <c r="S151" s="11" t="s">
        <v>1254</v>
      </c>
      <c r="T151" s="11" t="s">
        <v>1228</v>
      </c>
      <c r="U151" s="10" t="s">
        <v>580</v>
      </c>
      <c r="V151" s="10" t="s">
        <v>116</v>
      </c>
    </row>
    <row r="152" customFormat="false" ht="39.55" hidden="false" customHeight="false" outlineLevel="0" collapsed="false">
      <c r="A152" s="10" t="s">
        <v>583</v>
      </c>
      <c r="B152" s="11" t="s">
        <v>584</v>
      </c>
      <c r="C152" s="10" t="s">
        <v>549</v>
      </c>
      <c r="D152" s="10" t="s">
        <v>458</v>
      </c>
      <c r="E152" s="11" t="s">
        <v>1255</v>
      </c>
      <c r="F152" s="11" t="s">
        <v>1256</v>
      </c>
      <c r="G152" s="10" t="n">
        <v>4</v>
      </c>
      <c r="H152" s="10" t="n">
        <v>4</v>
      </c>
      <c r="I152" s="10" t="n">
        <v>9</v>
      </c>
      <c r="J152" s="11" t="s">
        <v>917</v>
      </c>
      <c r="K152" s="10" t="n">
        <v>1</v>
      </c>
      <c r="L152" s="10"/>
      <c r="M152" s="10" t="s">
        <v>133</v>
      </c>
      <c r="N152" s="10" t="s">
        <v>1257</v>
      </c>
      <c r="O152" s="11" t="s">
        <v>919</v>
      </c>
      <c r="P152" s="10" t="n">
        <v>1</v>
      </c>
      <c r="Q152" s="10" t="s">
        <v>1225</v>
      </c>
      <c r="R152" s="11" t="s">
        <v>1226</v>
      </c>
      <c r="S152" s="11" t="s">
        <v>1258</v>
      </c>
      <c r="T152" s="11" t="s">
        <v>1228</v>
      </c>
      <c r="U152" s="10" t="s">
        <v>583</v>
      </c>
      <c r="V152" s="10" t="s">
        <v>100</v>
      </c>
    </row>
    <row r="153" customFormat="false" ht="39.55" hidden="false" customHeight="false" outlineLevel="0" collapsed="false">
      <c r="A153" s="10" t="s">
        <v>586</v>
      </c>
      <c r="B153" s="11" t="s">
        <v>587</v>
      </c>
      <c r="C153" s="10" t="s">
        <v>549</v>
      </c>
      <c r="D153" s="10" t="s">
        <v>458</v>
      </c>
      <c r="E153" s="11" t="s">
        <v>1259</v>
      </c>
      <c r="F153" s="11" t="s">
        <v>1256</v>
      </c>
      <c r="G153" s="10" t="n">
        <v>4</v>
      </c>
      <c r="H153" s="10" t="n">
        <v>4</v>
      </c>
      <c r="I153" s="10" t="n">
        <v>9</v>
      </c>
      <c r="J153" s="11" t="s">
        <v>917</v>
      </c>
      <c r="K153" s="10" t="n">
        <v>1</v>
      </c>
      <c r="L153" s="10"/>
      <c r="M153" s="10" t="s">
        <v>133</v>
      </c>
      <c r="N153" s="10" t="s">
        <v>1031</v>
      </c>
      <c r="O153" s="11" t="s">
        <v>919</v>
      </c>
      <c r="P153" s="10" t="n">
        <v>1</v>
      </c>
      <c r="Q153" s="10" t="s">
        <v>1225</v>
      </c>
      <c r="R153" s="11" t="s">
        <v>1226</v>
      </c>
      <c r="S153" s="11" t="s">
        <v>1260</v>
      </c>
      <c r="T153" s="11" t="s">
        <v>1228</v>
      </c>
      <c r="U153" s="10" t="s">
        <v>586</v>
      </c>
      <c r="V153" s="10" t="s">
        <v>100</v>
      </c>
    </row>
    <row r="154" customFormat="false" ht="39.55" hidden="false" customHeight="false" outlineLevel="0" collapsed="false">
      <c r="A154" s="10" t="s">
        <v>589</v>
      </c>
      <c r="B154" s="11" t="s">
        <v>590</v>
      </c>
      <c r="C154" s="10" t="s">
        <v>549</v>
      </c>
      <c r="D154" s="10" t="s">
        <v>458</v>
      </c>
      <c r="E154" s="11" t="s">
        <v>1261</v>
      </c>
      <c r="F154" s="11" t="s">
        <v>1256</v>
      </c>
      <c r="G154" s="10" t="n">
        <v>4</v>
      </c>
      <c r="H154" s="10" t="n">
        <v>4</v>
      </c>
      <c r="I154" s="10" t="n">
        <v>9</v>
      </c>
      <c r="J154" s="11" t="s">
        <v>917</v>
      </c>
      <c r="K154" s="10" t="n">
        <v>1</v>
      </c>
      <c r="L154" s="10"/>
      <c r="M154" s="10" t="s">
        <v>133</v>
      </c>
      <c r="N154" s="10" t="s">
        <v>1156</v>
      </c>
      <c r="O154" s="11" t="s">
        <v>919</v>
      </c>
      <c r="P154" s="10" t="n">
        <v>1</v>
      </c>
      <c r="Q154" s="10" t="s">
        <v>1225</v>
      </c>
      <c r="R154" s="11" t="s">
        <v>1226</v>
      </c>
      <c r="S154" s="11" t="s">
        <v>1262</v>
      </c>
      <c r="T154" s="11" t="s">
        <v>1228</v>
      </c>
      <c r="U154" s="10" t="s">
        <v>589</v>
      </c>
      <c r="V154" s="10" t="s">
        <v>116</v>
      </c>
    </row>
    <row r="155" customFormat="false" ht="39.55" hidden="false" customHeight="false" outlineLevel="0" collapsed="false">
      <c r="A155" s="10" t="s">
        <v>592</v>
      </c>
      <c r="B155" s="11" t="s">
        <v>593</v>
      </c>
      <c r="C155" s="10" t="s">
        <v>549</v>
      </c>
      <c r="D155" s="10" t="s">
        <v>458</v>
      </c>
      <c r="E155" s="11" t="s">
        <v>1263</v>
      </c>
      <c r="F155" s="11" t="s">
        <v>1256</v>
      </c>
      <c r="G155" s="10" t="n">
        <v>4</v>
      </c>
      <c r="H155" s="10" t="n">
        <v>4</v>
      </c>
      <c r="I155" s="10" t="n">
        <v>9</v>
      </c>
      <c r="J155" s="11" t="s">
        <v>917</v>
      </c>
      <c r="K155" s="10" t="n">
        <v>1</v>
      </c>
      <c r="L155" s="10" t="s">
        <v>467</v>
      </c>
      <c r="M155" s="10" t="s">
        <v>133</v>
      </c>
      <c r="N155" s="10" t="s">
        <v>1058</v>
      </c>
      <c r="O155" s="11" t="s">
        <v>919</v>
      </c>
      <c r="P155" s="10" t="n">
        <v>1</v>
      </c>
      <c r="Q155" s="10" t="s">
        <v>1225</v>
      </c>
      <c r="R155" s="11" t="s">
        <v>1226</v>
      </c>
      <c r="S155" s="11" t="s">
        <v>1264</v>
      </c>
      <c r="T155" s="11" t="s">
        <v>1228</v>
      </c>
      <c r="U155" s="10" t="s">
        <v>592</v>
      </c>
      <c r="V155" s="10" t="s">
        <v>116</v>
      </c>
    </row>
    <row r="156" customFormat="false" ht="39.55" hidden="false" customHeight="false" outlineLevel="0" collapsed="false">
      <c r="A156" s="10" t="s">
        <v>595</v>
      </c>
      <c r="B156" s="11" t="s">
        <v>596</v>
      </c>
      <c r="C156" s="10" t="s">
        <v>549</v>
      </c>
      <c r="D156" s="10" t="s">
        <v>458</v>
      </c>
      <c r="E156" s="11" t="s">
        <v>1265</v>
      </c>
      <c r="F156" s="11" t="s">
        <v>1256</v>
      </c>
      <c r="G156" s="10" t="n">
        <v>4</v>
      </c>
      <c r="H156" s="10" t="n">
        <v>4</v>
      </c>
      <c r="I156" s="10" t="n">
        <v>9</v>
      </c>
      <c r="J156" s="11" t="s">
        <v>917</v>
      </c>
      <c r="K156" s="10" t="n">
        <v>1</v>
      </c>
      <c r="L156" s="10"/>
      <c r="M156" s="10" t="s">
        <v>133</v>
      </c>
      <c r="N156" s="10" t="s">
        <v>1266</v>
      </c>
      <c r="O156" s="11" t="s">
        <v>919</v>
      </c>
      <c r="P156" s="10" t="n">
        <v>1</v>
      </c>
      <c r="Q156" s="10" t="s">
        <v>1225</v>
      </c>
      <c r="R156" s="11" t="s">
        <v>1226</v>
      </c>
      <c r="S156" s="11" t="s">
        <v>1267</v>
      </c>
      <c r="T156" s="11" t="s">
        <v>1228</v>
      </c>
      <c r="U156" s="10" t="s">
        <v>595</v>
      </c>
      <c r="V156" s="10" t="s">
        <v>116</v>
      </c>
    </row>
    <row r="157" customFormat="false" ht="39.55" hidden="false" customHeight="false" outlineLevel="0" collapsed="false">
      <c r="A157" s="10" t="s">
        <v>598</v>
      </c>
      <c r="B157" s="11" t="s">
        <v>599</v>
      </c>
      <c r="C157" s="10" t="s">
        <v>549</v>
      </c>
      <c r="D157" s="10" t="s">
        <v>458</v>
      </c>
      <c r="E157" s="11" t="s">
        <v>1268</v>
      </c>
      <c r="F157" s="11" t="s">
        <v>1256</v>
      </c>
      <c r="G157" s="10" t="n">
        <v>4</v>
      </c>
      <c r="H157" s="10" t="n">
        <v>4</v>
      </c>
      <c r="I157" s="10" t="n">
        <v>9</v>
      </c>
      <c r="J157" s="11" t="s">
        <v>917</v>
      </c>
      <c r="K157" s="10" t="n">
        <v>1</v>
      </c>
      <c r="L157" s="10"/>
      <c r="M157" s="10" t="s">
        <v>133</v>
      </c>
      <c r="N157" s="10" t="s">
        <v>1156</v>
      </c>
      <c r="O157" s="11" t="s">
        <v>919</v>
      </c>
      <c r="P157" s="10" t="n">
        <v>1</v>
      </c>
      <c r="Q157" s="10" t="s">
        <v>1225</v>
      </c>
      <c r="R157" s="11" t="s">
        <v>1226</v>
      </c>
      <c r="S157" s="11" t="s">
        <v>1269</v>
      </c>
      <c r="T157" s="11" t="s">
        <v>1228</v>
      </c>
      <c r="U157" s="10" t="s">
        <v>598</v>
      </c>
      <c r="V157" s="10" t="s">
        <v>116</v>
      </c>
    </row>
    <row r="158" customFormat="false" ht="39.55" hidden="false" customHeight="false" outlineLevel="0" collapsed="false">
      <c r="A158" s="10" t="s">
        <v>601</v>
      </c>
      <c r="B158" s="11" t="s">
        <v>602</v>
      </c>
      <c r="C158" s="10" t="s">
        <v>549</v>
      </c>
      <c r="D158" s="10" t="s">
        <v>458</v>
      </c>
      <c r="E158" s="11" t="s">
        <v>1270</v>
      </c>
      <c r="F158" s="11" t="s">
        <v>1256</v>
      </c>
      <c r="G158" s="10" t="n">
        <v>4</v>
      </c>
      <c r="H158" s="10" t="n">
        <v>4</v>
      </c>
      <c r="I158" s="10" t="n">
        <v>9</v>
      </c>
      <c r="J158" s="11" t="s">
        <v>917</v>
      </c>
      <c r="K158" s="10" t="n">
        <v>1</v>
      </c>
      <c r="L158" s="10"/>
      <c r="M158" s="10" t="s">
        <v>133</v>
      </c>
      <c r="N158" s="10" t="s">
        <v>1058</v>
      </c>
      <c r="O158" s="11" t="s">
        <v>919</v>
      </c>
      <c r="P158" s="10" t="n">
        <v>1</v>
      </c>
      <c r="Q158" s="10" t="s">
        <v>1225</v>
      </c>
      <c r="R158" s="11" t="s">
        <v>1226</v>
      </c>
      <c r="S158" s="11" t="s">
        <v>1271</v>
      </c>
      <c r="T158" s="11" t="s">
        <v>1228</v>
      </c>
      <c r="U158" s="10" t="s">
        <v>601</v>
      </c>
      <c r="V158" s="10" t="s">
        <v>116</v>
      </c>
    </row>
    <row r="159" customFormat="false" ht="39.55" hidden="false" customHeight="false" outlineLevel="0" collapsed="false">
      <c r="A159" s="10" t="s">
        <v>604</v>
      </c>
      <c r="B159" s="10" t="s">
        <v>606</v>
      </c>
      <c r="C159" s="10" t="s">
        <v>549</v>
      </c>
      <c r="D159" s="10" t="s">
        <v>605</v>
      </c>
      <c r="E159" s="10" t="s">
        <v>1272</v>
      </c>
      <c r="F159" s="11" t="s">
        <v>1273</v>
      </c>
      <c r="G159" s="10" t="n">
        <v>4</v>
      </c>
      <c r="H159" s="10" t="n">
        <v>3</v>
      </c>
      <c r="I159" s="10" t="n">
        <v>6</v>
      </c>
      <c r="J159" s="11" t="s">
        <v>825</v>
      </c>
      <c r="K159" s="10" t="n">
        <v>1.5</v>
      </c>
      <c r="L159" s="10"/>
      <c r="M159" s="10" t="s">
        <v>98</v>
      </c>
      <c r="N159" s="11" t="s">
        <v>1274</v>
      </c>
      <c r="O159" s="11" t="s">
        <v>827</v>
      </c>
      <c r="P159" s="10" t="n">
        <v>1.2</v>
      </c>
      <c r="Q159" s="10" t="s">
        <v>1225</v>
      </c>
      <c r="R159" s="11" t="s">
        <v>1226</v>
      </c>
      <c r="S159" s="10" t="s">
        <v>1275</v>
      </c>
      <c r="T159" s="11" t="s">
        <v>1228</v>
      </c>
      <c r="U159" s="10" t="s">
        <v>604</v>
      </c>
      <c r="V159" s="10" t="s">
        <v>100</v>
      </c>
    </row>
    <row r="160" customFormat="false" ht="39.55" hidden="false" customHeight="false" outlineLevel="0" collapsed="false">
      <c r="A160" s="10" t="s">
        <v>608</v>
      </c>
      <c r="B160" s="11" t="s">
        <v>609</v>
      </c>
      <c r="C160" s="10" t="s">
        <v>549</v>
      </c>
      <c r="D160" s="10" t="s">
        <v>605</v>
      </c>
      <c r="E160" s="10" t="s">
        <v>1276</v>
      </c>
      <c r="F160" s="11" t="s">
        <v>1273</v>
      </c>
      <c r="G160" s="10" t="n">
        <v>4</v>
      </c>
      <c r="H160" s="10" t="n">
        <v>4</v>
      </c>
      <c r="I160" s="10" t="n">
        <v>9</v>
      </c>
      <c r="J160" s="11" t="s">
        <v>917</v>
      </c>
      <c r="K160" s="10" t="n">
        <v>1</v>
      </c>
      <c r="L160" s="10"/>
      <c r="M160" s="10" t="s">
        <v>133</v>
      </c>
      <c r="N160" s="10" t="s">
        <v>1277</v>
      </c>
      <c r="O160" s="11" t="s">
        <v>919</v>
      </c>
      <c r="P160" s="10" t="n">
        <v>1</v>
      </c>
      <c r="Q160" s="10" t="s">
        <v>1225</v>
      </c>
      <c r="R160" s="11" t="s">
        <v>1226</v>
      </c>
      <c r="S160" s="11" t="s">
        <v>1278</v>
      </c>
      <c r="T160" s="11" t="s">
        <v>1228</v>
      </c>
      <c r="U160" s="10" t="s">
        <v>608</v>
      </c>
      <c r="V160" s="10" t="s">
        <v>100</v>
      </c>
    </row>
    <row r="161" customFormat="false" ht="39.55" hidden="false" customHeight="false" outlineLevel="0" collapsed="false">
      <c r="A161" s="10" t="s">
        <v>612</v>
      </c>
      <c r="B161" s="11" t="s">
        <v>613</v>
      </c>
      <c r="C161" s="10" t="s">
        <v>549</v>
      </c>
      <c r="D161" s="10" t="s">
        <v>605</v>
      </c>
      <c r="E161" s="11" t="s">
        <v>1279</v>
      </c>
      <c r="F161" s="11" t="s">
        <v>1273</v>
      </c>
      <c r="G161" s="10" t="n">
        <v>4</v>
      </c>
      <c r="H161" s="10" t="n">
        <v>4</v>
      </c>
      <c r="I161" s="10" t="n">
        <v>9</v>
      </c>
      <c r="J161" s="11" t="s">
        <v>917</v>
      </c>
      <c r="K161" s="10" t="n">
        <v>1</v>
      </c>
      <c r="L161" s="10"/>
      <c r="M161" s="10" t="s">
        <v>133</v>
      </c>
      <c r="N161" s="10" t="s">
        <v>1280</v>
      </c>
      <c r="O161" s="11" t="s">
        <v>919</v>
      </c>
      <c r="P161" s="10" t="n">
        <v>1.2</v>
      </c>
      <c r="Q161" s="10" t="s">
        <v>1225</v>
      </c>
      <c r="R161" s="11" t="s">
        <v>1226</v>
      </c>
      <c r="S161" s="11" t="s">
        <v>1281</v>
      </c>
      <c r="T161" s="11" t="s">
        <v>1228</v>
      </c>
      <c r="U161" s="10" t="s">
        <v>612</v>
      </c>
      <c r="V161" s="10" t="s">
        <v>116</v>
      </c>
    </row>
    <row r="162" customFormat="false" ht="39.55" hidden="false" customHeight="false" outlineLevel="0" collapsed="false">
      <c r="A162" s="10" t="s">
        <v>615</v>
      </c>
      <c r="B162" s="11" t="s">
        <v>616</v>
      </c>
      <c r="C162" s="10" t="s">
        <v>549</v>
      </c>
      <c r="D162" s="10" t="s">
        <v>605</v>
      </c>
      <c r="E162" s="11" t="s">
        <v>1282</v>
      </c>
      <c r="F162" s="11" t="s">
        <v>1273</v>
      </c>
      <c r="G162" s="10" t="n">
        <v>4</v>
      </c>
      <c r="H162" s="10" t="n">
        <v>4</v>
      </c>
      <c r="I162" s="10" t="n">
        <v>9</v>
      </c>
      <c r="J162" s="11" t="s">
        <v>917</v>
      </c>
      <c r="K162" s="10" t="n">
        <v>1</v>
      </c>
      <c r="L162" s="10"/>
      <c r="M162" s="10" t="s">
        <v>133</v>
      </c>
      <c r="N162" s="10" t="s">
        <v>1131</v>
      </c>
      <c r="O162" s="11" t="s">
        <v>919</v>
      </c>
      <c r="P162" s="10" t="n">
        <v>1</v>
      </c>
      <c r="Q162" s="10" t="s">
        <v>1225</v>
      </c>
      <c r="R162" s="11" t="s">
        <v>1226</v>
      </c>
      <c r="S162" s="11" t="s">
        <v>1283</v>
      </c>
      <c r="T162" s="11" t="s">
        <v>1228</v>
      </c>
      <c r="U162" s="10" t="s">
        <v>615</v>
      </c>
      <c r="V162" s="10" t="s">
        <v>116</v>
      </c>
    </row>
    <row r="163" customFormat="false" ht="39.55" hidden="false" customHeight="false" outlineLevel="0" collapsed="false">
      <c r="A163" s="10" t="s">
        <v>618</v>
      </c>
      <c r="B163" s="10" t="s">
        <v>619</v>
      </c>
      <c r="C163" s="10" t="s">
        <v>549</v>
      </c>
      <c r="D163" s="10" t="s">
        <v>605</v>
      </c>
      <c r="E163" s="10" t="s">
        <v>1284</v>
      </c>
      <c r="F163" s="11" t="s">
        <v>1273</v>
      </c>
      <c r="G163" s="10" t="n">
        <v>4</v>
      </c>
      <c r="H163" s="10" t="n">
        <v>3</v>
      </c>
      <c r="I163" s="10" t="n">
        <v>6</v>
      </c>
      <c r="J163" s="11" t="s">
        <v>825</v>
      </c>
      <c r="K163" s="10" t="n">
        <v>1.5</v>
      </c>
      <c r="L163" s="10"/>
      <c r="M163" s="10" t="s">
        <v>98</v>
      </c>
      <c r="N163" s="10" t="s">
        <v>943</v>
      </c>
      <c r="O163" s="11" t="s">
        <v>827</v>
      </c>
      <c r="P163" s="10" t="n">
        <v>1</v>
      </c>
      <c r="Q163" s="10" t="s">
        <v>1225</v>
      </c>
      <c r="R163" s="11" t="s">
        <v>1226</v>
      </c>
      <c r="S163" s="10" t="s">
        <v>1285</v>
      </c>
      <c r="T163" s="11" t="s">
        <v>1228</v>
      </c>
      <c r="U163" s="10" t="s">
        <v>618</v>
      </c>
      <c r="V163" s="10" t="s">
        <v>116</v>
      </c>
    </row>
    <row r="164" customFormat="false" ht="39.55" hidden="false" customHeight="false" outlineLevel="0" collapsed="false">
      <c r="A164" s="10" t="s">
        <v>621</v>
      </c>
      <c r="B164" s="10" t="s">
        <v>622</v>
      </c>
      <c r="C164" s="10" t="s">
        <v>549</v>
      </c>
      <c r="D164" s="10" t="s">
        <v>605</v>
      </c>
      <c r="E164" s="11" t="s">
        <v>1286</v>
      </c>
      <c r="F164" s="11" t="s">
        <v>1273</v>
      </c>
      <c r="G164" s="10" t="n">
        <v>4</v>
      </c>
      <c r="H164" s="10" t="n">
        <v>4</v>
      </c>
      <c r="I164" s="10" t="n">
        <v>9</v>
      </c>
      <c r="J164" s="11" t="s">
        <v>917</v>
      </c>
      <c r="K164" s="10" t="n">
        <v>1</v>
      </c>
      <c r="L164" s="10"/>
      <c r="M164" s="10" t="s">
        <v>133</v>
      </c>
      <c r="N164" s="10" t="s">
        <v>1131</v>
      </c>
      <c r="O164" s="11" t="s">
        <v>919</v>
      </c>
      <c r="P164" s="10" t="n">
        <v>1</v>
      </c>
      <c r="Q164" s="10" t="s">
        <v>1225</v>
      </c>
      <c r="R164" s="11" t="s">
        <v>1226</v>
      </c>
      <c r="S164" s="10" t="s">
        <v>1287</v>
      </c>
      <c r="T164" s="11" t="s">
        <v>1228</v>
      </c>
      <c r="U164" s="10" t="s">
        <v>621</v>
      </c>
      <c r="V164" s="10" t="s">
        <v>116</v>
      </c>
    </row>
    <row r="165" customFormat="false" ht="39.55" hidden="false" customHeight="false" outlineLevel="0" collapsed="false">
      <c r="A165" s="10" t="s">
        <v>624</v>
      </c>
      <c r="B165" s="10" t="s">
        <v>626</v>
      </c>
      <c r="C165" s="10" t="s">
        <v>549</v>
      </c>
      <c r="D165" s="10" t="s">
        <v>625</v>
      </c>
      <c r="E165" s="11" t="s">
        <v>1288</v>
      </c>
      <c r="F165" s="10" t="s">
        <v>1289</v>
      </c>
      <c r="G165" s="10" t="n">
        <v>4</v>
      </c>
      <c r="H165" s="10" t="n">
        <v>3</v>
      </c>
      <c r="I165" s="10" t="n">
        <v>6</v>
      </c>
      <c r="J165" s="11" t="s">
        <v>825</v>
      </c>
      <c r="K165" s="10" t="n">
        <v>1.5</v>
      </c>
      <c r="L165" s="10" t="s">
        <v>640</v>
      </c>
      <c r="M165" s="10" t="s">
        <v>98</v>
      </c>
      <c r="N165" s="10" t="s">
        <v>943</v>
      </c>
      <c r="O165" s="11" t="s">
        <v>827</v>
      </c>
      <c r="P165" s="10" t="n">
        <v>1</v>
      </c>
      <c r="Q165" s="10" t="s">
        <v>1225</v>
      </c>
      <c r="R165" s="11" t="s">
        <v>1226</v>
      </c>
      <c r="S165" s="10" t="s">
        <v>1290</v>
      </c>
      <c r="T165" s="11" t="s">
        <v>1228</v>
      </c>
      <c r="U165" s="10" t="s">
        <v>624</v>
      </c>
      <c r="V165" s="10" t="s">
        <v>116</v>
      </c>
    </row>
    <row r="166" customFormat="false" ht="39.55" hidden="false" customHeight="false" outlineLevel="0" collapsed="false">
      <c r="A166" s="10" t="s">
        <v>628</v>
      </c>
      <c r="B166" s="10" t="s">
        <v>629</v>
      </c>
      <c r="C166" s="10" t="s">
        <v>549</v>
      </c>
      <c r="D166" s="10" t="s">
        <v>625</v>
      </c>
      <c r="E166" s="11" t="s">
        <v>1291</v>
      </c>
      <c r="F166" s="10" t="s">
        <v>1289</v>
      </c>
      <c r="G166" s="10" t="n">
        <v>4</v>
      </c>
      <c r="H166" s="10" t="n">
        <v>4</v>
      </c>
      <c r="I166" s="10" t="n">
        <v>9</v>
      </c>
      <c r="J166" s="11" t="s">
        <v>917</v>
      </c>
      <c r="K166" s="10" t="n">
        <v>1</v>
      </c>
      <c r="L166" s="10" t="s">
        <v>298</v>
      </c>
      <c r="M166" s="10" t="s">
        <v>133</v>
      </c>
      <c r="N166" s="10" t="s">
        <v>1292</v>
      </c>
      <c r="O166" s="11" t="s">
        <v>919</v>
      </c>
      <c r="P166" s="10" t="n">
        <v>1</v>
      </c>
      <c r="Q166" s="10" t="s">
        <v>1225</v>
      </c>
      <c r="R166" s="11" t="s">
        <v>1226</v>
      </c>
      <c r="S166" s="10" t="s">
        <v>1293</v>
      </c>
      <c r="T166" s="11" t="s">
        <v>1228</v>
      </c>
      <c r="U166" s="10" t="s">
        <v>628</v>
      </c>
      <c r="V166" s="10" t="s">
        <v>116</v>
      </c>
    </row>
    <row r="167" customFormat="false" ht="39.55" hidden="false" customHeight="false" outlineLevel="0" collapsed="false">
      <c r="A167" s="10" t="s">
        <v>631</v>
      </c>
      <c r="B167" s="10" t="s">
        <v>632</v>
      </c>
      <c r="C167" s="10" t="s">
        <v>549</v>
      </c>
      <c r="D167" s="10" t="s">
        <v>625</v>
      </c>
      <c r="E167" s="10" t="s">
        <v>1294</v>
      </c>
      <c r="F167" s="10" t="s">
        <v>1289</v>
      </c>
      <c r="G167" s="10" t="n">
        <v>4</v>
      </c>
      <c r="H167" s="10" t="n">
        <v>3</v>
      </c>
      <c r="I167" s="10" t="n">
        <v>6</v>
      </c>
      <c r="J167" s="11" t="s">
        <v>825</v>
      </c>
      <c r="K167" s="10" t="n">
        <v>1.5</v>
      </c>
      <c r="L167" s="10"/>
      <c r="M167" s="10" t="s">
        <v>98</v>
      </c>
      <c r="N167" s="10" t="s">
        <v>1295</v>
      </c>
      <c r="O167" s="11" t="s">
        <v>827</v>
      </c>
      <c r="P167" s="10" t="n">
        <v>1</v>
      </c>
      <c r="Q167" s="10" t="s">
        <v>1225</v>
      </c>
      <c r="R167" s="11" t="s">
        <v>1226</v>
      </c>
      <c r="S167" s="10" t="s">
        <v>1296</v>
      </c>
      <c r="T167" s="11" t="s">
        <v>1228</v>
      </c>
      <c r="U167" s="10" t="s">
        <v>631</v>
      </c>
      <c r="V167" s="10" t="s">
        <v>116</v>
      </c>
    </row>
    <row r="168" customFormat="false" ht="39.55" hidden="false" customHeight="false" outlineLevel="0" collapsed="false">
      <c r="A168" s="10" t="s">
        <v>634</v>
      </c>
      <c r="B168" s="10" t="s">
        <v>635</v>
      </c>
      <c r="C168" s="10" t="s">
        <v>549</v>
      </c>
      <c r="D168" s="10" t="s">
        <v>625</v>
      </c>
      <c r="E168" s="10" t="s">
        <v>1297</v>
      </c>
      <c r="F168" s="10" t="s">
        <v>1289</v>
      </c>
      <c r="G168" s="10" t="n">
        <v>4</v>
      </c>
      <c r="H168" s="10" t="n">
        <v>3</v>
      </c>
      <c r="I168" s="10" t="n">
        <v>6</v>
      </c>
      <c r="J168" s="11" t="s">
        <v>825</v>
      </c>
      <c r="K168" s="10" t="n">
        <v>1.5</v>
      </c>
      <c r="L168" s="10" t="s">
        <v>624</v>
      </c>
      <c r="M168" s="10" t="s">
        <v>98</v>
      </c>
      <c r="N168" s="10" t="s">
        <v>1292</v>
      </c>
      <c r="O168" s="11" t="s">
        <v>827</v>
      </c>
      <c r="P168" s="10" t="n">
        <v>1</v>
      </c>
      <c r="Q168" s="10" t="s">
        <v>1225</v>
      </c>
      <c r="R168" s="11" t="s">
        <v>1226</v>
      </c>
      <c r="S168" s="10" t="s">
        <v>1298</v>
      </c>
      <c r="T168" s="11" t="s">
        <v>1228</v>
      </c>
      <c r="U168" s="10" t="s">
        <v>634</v>
      </c>
      <c r="V168" s="10" t="s">
        <v>116</v>
      </c>
    </row>
    <row r="169" customFormat="false" ht="39.55" hidden="false" customHeight="false" outlineLevel="0" collapsed="false">
      <c r="A169" s="10" t="s">
        <v>637</v>
      </c>
      <c r="B169" s="11" t="s">
        <v>638</v>
      </c>
      <c r="C169" s="10" t="s">
        <v>549</v>
      </c>
      <c r="D169" s="10" t="s">
        <v>625</v>
      </c>
      <c r="E169" s="11" t="s">
        <v>1299</v>
      </c>
      <c r="F169" s="10" t="s">
        <v>1289</v>
      </c>
      <c r="G169" s="10" t="n">
        <v>4</v>
      </c>
      <c r="H169" s="10" t="n">
        <v>3</v>
      </c>
      <c r="I169" s="10" t="n">
        <v>6</v>
      </c>
      <c r="J169" s="11" t="s">
        <v>825</v>
      </c>
      <c r="K169" s="10" t="n">
        <v>1.5</v>
      </c>
      <c r="L169" s="10"/>
      <c r="M169" s="10" t="s">
        <v>98</v>
      </c>
      <c r="N169" s="10" t="s">
        <v>1300</v>
      </c>
      <c r="O169" s="11" t="s">
        <v>827</v>
      </c>
      <c r="P169" s="10" t="n">
        <v>1</v>
      </c>
      <c r="Q169" s="10" t="s">
        <v>1225</v>
      </c>
      <c r="R169" s="11" t="s">
        <v>1226</v>
      </c>
      <c r="S169" s="11" t="s">
        <v>1301</v>
      </c>
      <c r="T169" s="11" t="s">
        <v>1228</v>
      </c>
      <c r="U169" s="10" t="s">
        <v>637</v>
      </c>
      <c r="V169" s="10" t="s">
        <v>116</v>
      </c>
    </row>
    <row r="170" customFormat="false" ht="39.55" hidden="false" customHeight="false" outlineLevel="0" collapsed="false">
      <c r="A170" s="10" t="s">
        <v>640</v>
      </c>
      <c r="B170" s="10" t="s">
        <v>642</v>
      </c>
      <c r="C170" s="10" t="s">
        <v>549</v>
      </c>
      <c r="D170" s="10" t="s">
        <v>641</v>
      </c>
      <c r="E170" s="11" t="s">
        <v>1302</v>
      </c>
      <c r="F170" s="11" t="s">
        <v>1303</v>
      </c>
      <c r="G170" s="10" t="n">
        <v>4</v>
      </c>
      <c r="H170" s="10" t="n">
        <v>3</v>
      </c>
      <c r="I170" s="10" t="n">
        <v>6</v>
      </c>
      <c r="J170" s="11" t="s">
        <v>825</v>
      </c>
      <c r="K170" s="10" t="n">
        <v>1.5</v>
      </c>
      <c r="L170" s="10"/>
      <c r="M170" s="10" t="s">
        <v>98</v>
      </c>
      <c r="N170" s="10" t="s">
        <v>1304</v>
      </c>
      <c r="O170" s="11" t="s">
        <v>827</v>
      </c>
      <c r="P170" s="10" t="n">
        <v>1</v>
      </c>
      <c r="Q170" s="10" t="s">
        <v>1225</v>
      </c>
      <c r="R170" s="11" t="s">
        <v>1226</v>
      </c>
      <c r="S170" s="10" t="s">
        <v>1305</v>
      </c>
      <c r="T170" s="11" t="s">
        <v>1228</v>
      </c>
      <c r="U170" s="10" t="s">
        <v>640</v>
      </c>
      <c r="V170" s="10" t="s">
        <v>116</v>
      </c>
    </row>
    <row r="171" customFormat="false" ht="39.55" hidden="false" customHeight="false" outlineLevel="0" collapsed="false">
      <c r="A171" s="10" t="s">
        <v>644</v>
      </c>
      <c r="B171" s="11" t="s">
        <v>645</v>
      </c>
      <c r="C171" s="10" t="s">
        <v>549</v>
      </c>
      <c r="D171" s="10" t="s">
        <v>641</v>
      </c>
      <c r="E171" s="10" t="s">
        <v>1306</v>
      </c>
      <c r="F171" s="11" t="s">
        <v>1303</v>
      </c>
      <c r="G171" s="10" t="n">
        <v>4</v>
      </c>
      <c r="H171" s="10" t="n">
        <v>3</v>
      </c>
      <c r="I171" s="10" t="n">
        <v>6</v>
      </c>
      <c r="J171" s="11" t="s">
        <v>825</v>
      </c>
      <c r="K171" s="10" t="n">
        <v>1.5</v>
      </c>
      <c r="L171" s="10"/>
      <c r="M171" s="10" t="s">
        <v>98</v>
      </c>
      <c r="N171" s="10" t="s">
        <v>1307</v>
      </c>
      <c r="O171" s="11" t="s">
        <v>827</v>
      </c>
      <c r="P171" s="10" t="n">
        <v>1.2</v>
      </c>
      <c r="Q171" s="10" t="s">
        <v>1225</v>
      </c>
      <c r="R171" s="11" t="s">
        <v>1226</v>
      </c>
      <c r="S171" s="11" t="s">
        <v>1308</v>
      </c>
      <c r="T171" s="11" t="s">
        <v>1228</v>
      </c>
      <c r="U171" s="10" t="s">
        <v>644</v>
      </c>
      <c r="V171" s="10" t="s">
        <v>116</v>
      </c>
    </row>
    <row r="172" customFormat="false" ht="39.55" hidden="false" customHeight="false" outlineLevel="0" collapsed="false">
      <c r="A172" s="10" t="s">
        <v>647</v>
      </c>
      <c r="B172" s="11" t="s">
        <v>648</v>
      </c>
      <c r="C172" s="10" t="s">
        <v>549</v>
      </c>
      <c r="D172" s="10" t="s">
        <v>641</v>
      </c>
      <c r="E172" s="11" t="s">
        <v>1309</v>
      </c>
      <c r="F172" s="11" t="s">
        <v>1303</v>
      </c>
      <c r="G172" s="10" t="n">
        <v>4</v>
      </c>
      <c r="H172" s="10" t="n">
        <v>3</v>
      </c>
      <c r="I172" s="10" t="n">
        <v>6</v>
      </c>
      <c r="J172" s="11" t="s">
        <v>825</v>
      </c>
      <c r="K172" s="10" t="n">
        <v>1.5</v>
      </c>
      <c r="L172" s="10"/>
      <c r="M172" s="10" t="s">
        <v>98</v>
      </c>
      <c r="N172" s="10" t="s">
        <v>1310</v>
      </c>
      <c r="O172" s="11" t="s">
        <v>827</v>
      </c>
      <c r="P172" s="10" t="n">
        <v>1.2</v>
      </c>
      <c r="Q172" s="10" t="s">
        <v>1225</v>
      </c>
      <c r="R172" s="11" t="s">
        <v>1226</v>
      </c>
      <c r="S172" s="11" t="s">
        <v>1311</v>
      </c>
      <c r="T172" s="11" t="s">
        <v>1228</v>
      </c>
      <c r="U172" s="10" t="s">
        <v>647</v>
      </c>
      <c r="V172" s="10" t="s">
        <v>116</v>
      </c>
    </row>
    <row r="173" customFormat="false" ht="39.55" hidden="false" customHeight="false" outlineLevel="0" collapsed="false">
      <c r="A173" s="10" t="s">
        <v>650</v>
      </c>
      <c r="B173" s="10" t="s">
        <v>653</v>
      </c>
      <c r="C173" s="10" t="s">
        <v>651</v>
      </c>
      <c r="D173" s="10" t="s">
        <v>652</v>
      </c>
      <c r="E173" s="10" t="s">
        <v>1312</v>
      </c>
      <c r="F173" s="11" t="s">
        <v>1313</v>
      </c>
      <c r="G173" s="10" t="n">
        <v>4</v>
      </c>
      <c r="H173" s="10" t="n">
        <v>2</v>
      </c>
      <c r="I173" s="10" t="n">
        <v>3</v>
      </c>
      <c r="J173" s="11" t="s">
        <v>789</v>
      </c>
      <c r="K173" s="10" t="n">
        <v>1.5</v>
      </c>
      <c r="L173" s="10"/>
      <c r="M173" s="10" t="s">
        <v>98</v>
      </c>
      <c r="N173" s="10" t="s">
        <v>1314</v>
      </c>
      <c r="O173" s="11" t="s">
        <v>791</v>
      </c>
      <c r="P173" s="10" t="n">
        <v>1</v>
      </c>
      <c r="Q173" s="10" t="s">
        <v>1315</v>
      </c>
      <c r="R173" s="11" t="s">
        <v>1316</v>
      </c>
      <c r="S173" s="10" t="s">
        <v>1317</v>
      </c>
      <c r="T173" s="11" t="s">
        <v>1318</v>
      </c>
      <c r="U173" s="10" t="s">
        <v>650</v>
      </c>
      <c r="V173" s="10" t="s">
        <v>100</v>
      </c>
    </row>
    <row r="174" customFormat="false" ht="39.55" hidden="false" customHeight="false" outlineLevel="0" collapsed="false">
      <c r="A174" s="10" t="s">
        <v>655</v>
      </c>
      <c r="B174" s="11" t="s">
        <v>656</v>
      </c>
      <c r="C174" s="10" t="s">
        <v>651</v>
      </c>
      <c r="D174" s="10" t="s">
        <v>652</v>
      </c>
      <c r="E174" s="10" t="s">
        <v>1319</v>
      </c>
      <c r="F174" s="11" t="s">
        <v>1313</v>
      </c>
      <c r="G174" s="10" t="n">
        <v>4</v>
      </c>
      <c r="H174" s="10" t="n">
        <v>2</v>
      </c>
      <c r="I174" s="10" t="n">
        <v>3</v>
      </c>
      <c r="J174" s="11" t="s">
        <v>789</v>
      </c>
      <c r="K174" s="10" t="n">
        <v>1.5</v>
      </c>
      <c r="L174" s="10"/>
      <c r="M174" s="10" t="s">
        <v>98</v>
      </c>
      <c r="N174" s="10" t="s">
        <v>1078</v>
      </c>
      <c r="O174" s="11" t="s">
        <v>791</v>
      </c>
      <c r="P174" s="10" t="n">
        <v>1</v>
      </c>
      <c r="Q174" s="10" t="s">
        <v>1315</v>
      </c>
      <c r="R174" s="11" t="s">
        <v>1316</v>
      </c>
      <c r="S174" s="11" t="s">
        <v>1320</v>
      </c>
      <c r="T174" s="11" t="s">
        <v>1318</v>
      </c>
      <c r="U174" s="10" t="s">
        <v>655</v>
      </c>
      <c r="V174" s="10" t="s">
        <v>100</v>
      </c>
    </row>
    <row r="175" customFormat="false" ht="39.55" hidden="false" customHeight="false" outlineLevel="0" collapsed="false">
      <c r="A175" s="10" t="s">
        <v>658</v>
      </c>
      <c r="B175" s="11" t="s">
        <v>659</v>
      </c>
      <c r="C175" s="10" t="s">
        <v>651</v>
      </c>
      <c r="D175" s="10" t="s">
        <v>652</v>
      </c>
      <c r="E175" s="11" t="s">
        <v>1321</v>
      </c>
      <c r="F175" s="11" t="s">
        <v>1313</v>
      </c>
      <c r="G175" s="10" t="n">
        <v>4</v>
      </c>
      <c r="H175" s="10" t="n">
        <v>2</v>
      </c>
      <c r="I175" s="10" t="n">
        <v>3</v>
      </c>
      <c r="J175" s="11" t="s">
        <v>789</v>
      </c>
      <c r="K175" s="10" t="n">
        <v>1.5</v>
      </c>
      <c r="L175" s="10"/>
      <c r="M175" s="10" t="s">
        <v>98</v>
      </c>
      <c r="N175" s="11" t="s">
        <v>1322</v>
      </c>
      <c r="O175" s="11" t="s">
        <v>791</v>
      </c>
      <c r="P175" s="10" t="n">
        <v>1</v>
      </c>
      <c r="Q175" s="10" t="s">
        <v>1315</v>
      </c>
      <c r="R175" s="11" t="s">
        <v>1316</v>
      </c>
      <c r="S175" s="11" t="s">
        <v>1323</v>
      </c>
      <c r="T175" s="11" t="s">
        <v>1318</v>
      </c>
      <c r="U175" s="10" t="s">
        <v>658</v>
      </c>
      <c r="V175" s="10" t="s">
        <v>100</v>
      </c>
    </row>
    <row r="176" customFormat="false" ht="39.55" hidden="false" customHeight="false" outlineLevel="0" collapsed="false">
      <c r="A176" s="10" t="s">
        <v>661</v>
      </c>
      <c r="B176" s="10" t="s">
        <v>662</v>
      </c>
      <c r="C176" s="10" t="s">
        <v>651</v>
      </c>
      <c r="D176" s="10" t="s">
        <v>652</v>
      </c>
      <c r="E176" s="11" t="s">
        <v>1324</v>
      </c>
      <c r="F176" s="11" t="s">
        <v>1313</v>
      </c>
      <c r="G176" s="10" t="n">
        <v>4</v>
      </c>
      <c r="H176" s="10" t="n">
        <v>4</v>
      </c>
      <c r="I176" s="10" t="n">
        <v>9</v>
      </c>
      <c r="J176" s="11" t="s">
        <v>917</v>
      </c>
      <c r="K176" s="10" t="n">
        <v>1</v>
      </c>
      <c r="L176" s="10"/>
      <c r="M176" s="10" t="s">
        <v>133</v>
      </c>
      <c r="N176" s="10" t="s">
        <v>1325</v>
      </c>
      <c r="O176" s="11" t="s">
        <v>919</v>
      </c>
      <c r="P176" s="10" t="n">
        <v>1.2</v>
      </c>
      <c r="Q176" s="10" t="s">
        <v>1315</v>
      </c>
      <c r="R176" s="11" t="s">
        <v>1316</v>
      </c>
      <c r="S176" s="10" t="s">
        <v>1326</v>
      </c>
      <c r="T176" s="11" t="s">
        <v>1318</v>
      </c>
      <c r="U176" s="10" t="s">
        <v>661</v>
      </c>
      <c r="V176" s="10" t="s">
        <v>116</v>
      </c>
    </row>
    <row r="177" customFormat="false" ht="39.55" hidden="false" customHeight="false" outlineLevel="0" collapsed="false">
      <c r="A177" s="10" t="s">
        <v>664</v>
      </c>
      <c r="B177" s="10" t="s">
        <v>665</v>
      </c>
      <c r="C177" s="10" t="s">
        <v>651</v>
      </c>
      <c r="D177" s="10" t="s">
        <v>652</v>
      </c>
      <c r="E177" s="11" t="s">
        <v>1327</v>
      </c>
      <c r="F177" s="11" t="s">
        <v>1313</v>
      </c>
      <c r="G177" s="10" t="n">
        <v>4</v>
      </c>
      <c r="H177" s="10" t="n">
        <v>4</v>
      </c>
      <c r="I177" s="10" t="n">
        <v>9</v>
      </c>
      <c r="J177" s="11" t="s">
        <v>917</v>
      </c>
      <c r="K177" s="10" t="n">
        <v>1</v>
      </c>
      <c r="L177" s="10"/>
      <c r="M177" s="10" t="s">
        <v>133</v>
      </c>
      <c r="N177" s="10" t="s">
        <v>1328</v>
      </c>
      <c r="O177" s="11" t="s">
        <v>919</v>
      </c>
      <c r="P177" s="10" t="n">
        <v>1</v>
      </c>
      <c r="Q177" s="10" t="s">
        <v>1315</v>
      </c>
      <c r="R177" s="11" t="s">
        <v>1316</v>
      </c>
      <c r="S177" s="10" t="s">
        <v>1329</v>
      </c>
      <c r="T177" s="11" t="s">
        <v>1318</v>
      </c>
      <c r="U177" s="10" t="s">
        <v>664</v>
      </c>
      <c r="V177" s="10" t="s">
        <v>116</v>
      </c>
    </row>
    <row r="178" customFormat="false" ht="39.55" hidden="false" customHeight="false" outlineLevel="0" collapsed="false">
      <c r="A178" s="10" t="s">
        <v>667</v>
      </c>
      <c r="B178" s="10" t="s">
        <v>668</v>
      </c>
      <c r="C178" s="10" t="s">
        <v>651</v>
      </c>
      <c r="D178" s="10" t="s">
        <v>652</v>
      </c>
      <c r="E178" s="10" t="s">
        <v>1330</v>
      </c>
      <c r="F178" s="11" t="s">
        <v>1313</v>
      </c>
      <c r="G178" s="10" t="n">
        <v>4</v>
      </c>
      <c r="H178" s="10" t="n">
        <v>2</v>
      </c>
      <c r="I178" s="10" t="n">
        <v>3</v>
      </c>
      <c r="J178" s="11" t="s">
        <v>789</v>
      </c>
      <c r="K178" s="10" t="n">
        <v>1.5</v>
      </c>
      <c r="L178" s="10"/>
      <c r="M178" s="10" t="s">
        <v>98</v>
      </c>
      <c r="N178" s="10" t="s">
        <v>1203</v>
      </c>
      <c r="O178" s="11" t="s">
        <v>791</v>
      </c>
      <c r="P178" s="10" t="n">
        <v>1</v>
      </c>
      <c r="Q178" s="10" t="s">
        <v>1315</v>
      </c>
      <c r="R178" s="11" t="s">
        <v>1316</v>
      </c>
      <c r="S178" s="10" t="s">
        <v>1331</v>
      </c>
      <c r="T178" s="11" t="s">
        <v>1318</v>
      </c>
      <c r="U178" s="10" t="s">
        <v>667</v>
      </c>
      <c r="V178" s="10" t="s">
        <v>116</v>
      </c>
    </row>
    <row r="179" customFormat="false" ht="39.55" hidden="false" customHeight="false" outlineLevel="0" collapsed="false">
      <c r="A179" s="10" t="s">
        <v>670</v>
      </c>
      <c r="B179" s="11" t="s">
        <v>671</v>
      </c>
      <c r="C179" s="10" t="s">
        <v>651</v>
      </c>
      <c r="D179" s="10" t="s">
        <v>652</v>
      </c>
      <c r="E179" s="11" t="s">
        <v>1332</v>
      </c>
      <c r="F179" s="11" t="s">
        <v>1313</v>
      </c>
      <c r="G179" s="10" t="n">
        <v>4</v>
      </c>
      <c r="H179" s="10" t="n">
        <v>2</v>
      </c>
      <c r="I179" s="10" t="n">
        <v>3</v>
      </c>
      <c r="J179" s="11" t="s">
        <v>789</v>
      </c>
      <c r="K179" s="10" t="n">
        <v>1.5</v>
      </c>
      <c r="L179" s="10"/>
      <c r="M179" s="10" t="s">
        <v>98</v>
      </c>
      <c r="N179" s="10" t="s">
        <v>1333</v>
      </c>
      <c r="O179" s="11" t="s">
        <v>791</v>
      </c>
      <c r="P179" s="10" t="n">
        <v>1</v>
      </c>
      <c r="Q179" s="10" t="s">
        <v>1315</v>
      </c>
      <c r="R179" s="11" t="s">
        <v>1316</v>
      </c>
      <c r="S179" s="11" t="s">
        <v>1334</v>
      </c>
      <c r="T179" s="11" t="s">
        <v>1318</v>
      </c>
      <c r="U179" s="10" t="s">
        <v>670</v>
      </c>
      <c r="V179" s="10" t="s">
        <v>116</v>
      </c>
    </row>
    <row r="180" customFormat="false" ht="39.55" hidden="false" customHeight="false" outlineLevel="0" collapsed="false">
      <c r="A180" s="10" t="s">
        <v>673</v>
      </c>
      <c r="B180" s="11" t="s">
        <v>674</v>
      </c>
      <c r="C180" s="10" t="s">
        <v>651</v>
      </c>
      <c r="D180" s="10" t="s">
        <v>652</v>
      </c>
      <c r="E180" s="10" t="s">
        <v>1335</v>
      </c>
      <c r="F180" s="11" t="s">
        <v>1313</v>
      </c>
      <c r="G180" s="10" t="n">
        <v>4</v>
      </c>
      <c r="H180" s="10" t="n">
        <v>2</v>
      </c>
      <c r="I180" s="10" t="n">
        <v>3</v>
      </c>
      <c r="J180" s="11" t="s">
        <v>789</v>
      </c>
      <c r="K180" s="10" t="n">
        <v>1.5</v>
      </c>
      <c r="L180" s="10"/>
      <c r="M180" s="10" t="s">
        <v>98</v>
      </c>
      <c r="N180" s="10" t="s">
        <v>1336</v>
      </c>
      <c r="O180" s="11" t="s">
        <v>791</v>
      </c>
      <c r="P180" s="10" t="n">
        <v>1.2</v>
      </c>
      <c r="Q180" s="10" t="s">
        <v>1315</v>
      </c>
      <c r="R180" s="11" t="s">
        <v>1316</v>
      </c>
      <c r="S180" s="11" t="s">
        <v>1337</v>
      </c>
      <c r="T180" s="11" t="s">
        <v>1318</v>
      </c>
      <c r="U180" s="10" t="s">
        <v>673</v>
      </c>
      <c r="V180" s="10" t="s">
        <v>116</v>
      </c>
    </row>
    <row r="181" customFormat="false" ht="39.55" hidden="false" customHeight="false" outlineLevel="0" collapsed="false">
      <c r="A181" s="10" t="s">
        <v>676</v>
      </c>
      <c r="B181" s="10" t="s">
        <v>678</v>
      </c>
      <c r="C181" s="10" t="s">
        <v>651</v>
      </c>
      <c r="D181" s="10" t="s">
        <v>677</v>
      </c>
      <c r="E181" s="11" t="s">
        <v>1338</v>
      </c>
      <c r="F181" s="11" t="s">
        <v>1339</v>
      </c>
      <c r="G181" s="10" t="n">
        <v>5</v>
      </c>
      <c r="H181" s="10" t="n">
        <v>4</v>
      </c>
      <c r="I181" s="10" t="n">
        <v>9</v>
      </c>
      <c r="J181" s="11" t="s">
        <v>917</v>
      </c>
      <c r="K181" s="10" t="n">
        <v>1</v>
      </c>
      <c r="L181" s="10" t="s">
        <v>583</v>
      </c>
      <c r="M181" s="10" t="s">
        <v>133</v>
      </c>
      <c r="N181" s="10" t="s">
        <v>1340</v>
      </c>
      <c r="O181" s="11" t="s">
        <v>919</v>
      </c>
      <c r="P181" s="10" t="n">
        <v>1.2</v>
      </c>
      <c r="Q181" s="10" t="s">
        <v>1315</v>
      </c>
      <c r="R181" s="11" t="s">
        <v>1316</v>
      </c>
      <c r="S181" s="10" t="s">
        <v>1341</v>
      </c>
      <c r="T181" s="11" t="s">
        <v>1318</v>
      </c>
      <c r="U181" s="10" t="s">
        <v>676</v>
      </c>
      <c r="V181" s="10" t="s">
        <v>100</v>
      </c>
    </row>
    <row r="182" customFormat="false" ht="39.55" hidden="false" customHeight="false" outlineLevel="0" collapsed="false">
      <c r="A182" s="10" t="s">
        <v>680</v>
      </c>
      <c r="B182" s="11" t="s">
        <v>681</v>
      </c>
      <c r="C182" s="10" t="s">
        <v>651</v>
      </c>
      <c r="D182" s="10" t="s">
        <v>677</v>
      </c>
      <c r="E182" s="11" t="s">
        <v>1342</v>
      </c>
      <c r="F182" s="11" t="s">
        <v>1339</v>
      </c>
      <c r="G182" s="10" t="n">
        <v>5</v>
      </c>
      <c r="H182" s="10" t="n">
        <v>2</v>
      </c>
      <c r="I182" s="10" t="n">
        <v>3</v>
      </c>
      <c r="J182" s="11" t="s">
        <v>789</v>
      </c>
      <c r="K182" s="10" t="n">
        <v>1.5</v>
      </c>
      <c r="L182" s="10"/>
      <c r="M182" s="10" t="s">
        <v>98</v>
      </c>
      <c r="N182" s="10" t="s">
        <v>1078</v>
      </c>
      <c r="O182" s="11" t="s">
        <v>791</v>
      </c>
      <c r="P182" s="10" t="n">
        <v>1</v>
      </c>
      <c r="Q182" s="10" t="s">
        <v>1315</v>
      </c>
      <c r="R182" s="11" t="s">
        <v>1316</v>
      </c>
      <c r="S182" s="11" t="s">
        <v>1343</v>
      </c>
      <c r="T182" s="11" t="s">
        <v>1318</v>
      </c>
      <c r="U182" s="10" t="s">
        <v>680</v>
      </c>
      <c r="V182" s="10" t="s">
        <v>100</v>
      </c>
    </row>
    <row r="183" customFormat="false" ht="39.55" hidden="false" customHeight="false" outlineLevel="0" collapsed="false">
      <c r="A183" s="10" t="s">
        <v>683</v>
      </c>
      <c r="B183" s="11" t="s">
        <v>684</v>
      </c>
      <c r="C183" s="10" t="s">
        <v>651</v>
      </c>
      <c r="D183" s="10" t="s">
        <v>677</v>
      </c>
      <c r="E183" s="11" t="s">
        <v>1344</v>
      </c>
      <c r="F183" s="11" t="s">
        <v>1339</v>
      </c>
      <c r="G183" s="10" t="n">
        <v>5</v>
      </c>
      <c r="H183" s="10" t="n">
        <v>4</v>
      </c>
      <c r="I183" s="10" t="n">
        <v>9</v>
      </c>
      <c r="J183" s="11" t="s">
        <v>917</v>
      </c>
      <c r="K183" s="10" t="n">
        <v>1</v>
      </c>
      <c r="L183" s="10"/>
      <c r="M183" s="10" t="s">
        <v>133</v>
      </c>
      <c r="N183" s="10" t="s">
        <v>1345</v>
      </c>
      <c r="O183" s="11" t="s">
        <v>919</v>
      </c>
      <c r="P183" s="10" t="n">
        <v>1</v>
      </c>
      <c r="Q183" s="10" t="s">
        <v>1315</v>
      </c>
      <c r="R183" s="11" t="s">
        <v>1316</v>
      </c>
      <c r="S183" s="11" t="s">
        <v>1346</v>
      </c>
      <c r="T183" s="11" t="s">
        <v>1318</v>
      </c>
      <c r="U183" s="10" t="s">
        <v>683</v>
      </c>
      <c r="V183" s="10" t="s">
        <v>116</v>
      </c>
    </row>
    <row r="184" customFormat="false" ht="39.55" hidden="false" customHeight="false" outlineLevel="0" collapsed="false">
      <c r="A184" s="10" t="s">
        <v>686</v>
      </c>
      <c r="B184" s="11" t="s">
        <v>687</v>
      </c>
      <c r="C184" s="10" t="s">
        <v>651</v>
      </c>
      <c r="D184" s="10" t="s">
        <v>677</v>
      </c>
      <c r="E184" s="11" t="s">
        <v>1347</v>
      </c>
      <c r="F184" s="11" t="s">
        <v>1339</v>
      </c>
      <c r="G184" s="10" t="n">
        <v>5</v>
      </c>
      <c r="H184" s="10" t="n">
        <v>4</v>
      </c>
      <c r="I184" s="10" t="n">
        <v>9</v>
      </c>
      <c r="J184" s="11" t="s">
        <v>917</v>
      </c>
      <c r="K184" s="10" t="n">
        <v>1</v>
      </c>
      <c r="L184" s="10"/>
      <c r="M184" s="10" t="s">
        <v>133</v>
      </c>
      <c r="N184" s="10" t="s">
        <v>1348</v>
      </c>
      <c r="O184" s="11" t="s">
        <v>919</v>
      </c>
      <c r="P184" s="10" t="n">
        <v>1</v>
      </c>
      <c r="Q184" s="10" t="s">
        <v>1315</v>
      </c>
      <c r="R184" s="11" t="s">
        <v>1316</v>
      </c>
      <c r="S184" s="11" t="s">
        <v>1349</v>
      </c>
      <c r="T184" s="11" t="s">
        <v>1318</v>
      </c>
      <c r="U184" s="10" t="s">
        <v>686</v>
      </c>
      <c r="V184" s="10" t="s">
        <v>116</v>
      </c>
    </row>
    <row r="185" customFormat="false" ht="39.55" hidden="false" customHeight="false" outlineLevel="0" collapsed="false">
      <c r="A185" s="10" t="s">
        <v>689</v>
      </c>
      <c r="B185" s="11" t="s">
        <v>690</v>
      </c>
      <c r="C185" s="10" t="s">
        <v>651</v>
      </c>
      <c r="D185" s="10" t="s">
        <v>677</v>
      </c>
      <c r="E185" s="11" t="s">
        <v>1350</v>
      </c>
      <c r="F185" s="11" t="s">
        <v>1339</v>
      </c>
      <c r="G185" s="10" t="n">
        <v>5</v>
      </c>
      <c r="H185" s="10" t="n">
        <v>4</v>
      </c>
      <c r="I185" s="10" t="n">
        <v>9</v>
      </c>
      <c r="J185" s="11" t="s">
        <v>917</v>
      </c>
      <c r="K185" s="10" t="n">
        <v>1</v>
      </c>
      <c r="L185" s="10"/>
      <c r="M185" s="10" t="s">
        <v>133</v>
      </c>
      <c r="N185" s="10" t="s">
        <v>1351</v>
      </c>
      <c r="O185" s="11" t="s">
        <v>919</v>
      </c>
      <c r="P185" s="10" t="n">
        <v>1</v>
      </c>
      <c r="Q185" s="10" t="s">
        <v>1315</v>
      </c>
      <c r="R185" s="11" t="s">
        <v>1316</v>
      </c>
      <c r="S185" s="11" t="s">
        <v>1352</v>
      </c>
      <c r="T185" s="11" t="s">
        <v>1318</v>
      </c>
      <c r="U185" s="10" t="s">
        <v>689</v>
      </c>
      <c r="V185" s="10" t="s">
        <v>116</v>
      </c>
    </row>
    <row r="186" customFormat="false" ht="39.55" hidden="false" customHeight="false" outlineLevel="0" collapsed="false">
      <c r="A186" s="10" t="s">
        <v>692</v>
      </c>
      <c r="B186" s="11" t="s">
        <v>694</v>
      </c>
      <c r="C186" s="10" t="s">
        <v>651</v>
      </c>
      <c r="D186" s="10" t="s">
        <v>693</v>
      </c>
      <c r="E186" s="11" t="s">
        <v>1353</v>
      </c>
      <c r="F186" s="11" t="s">
        <v>1354</v>
      </c>
      <c r="G186" s="10" t="n">
        <v>4</v>
      </c>
      <c r="H186" s="10" t="n">
        <v>2</v>
      </c>
      <c r="I186" s="10" t="n">
        <v>3</v>
      </c>
      <c r="J186" s="11" t="s">
        <v>789</v>
      </c>
      <c r="K186" s="10" t="n">
        <v>1.5</v>
      </c>
      <c r="L186" s="10" t="s">
        <v>661</v>
      </c>
      <c r="M186" s="10" t="s">
        <v>98</v>
      </c>
      <c r="N186" s="10" t="s">
        <v>1355</v>
      </c>
      <c r="O186" s="11" t="s">
        <v>791</v>
      </c>
      <c r="P186" s="10" t="n">
        <v>1.2</v>
      </c>
      <c r="Q186" s="10" t="s">
        <v>1315</v>
      </c>
      <c r="R186" s="11" t="s">
        <v>1316</v>
      </c>
      <c r="S186" s="11" t="s">
        <v>1356</v>
      </c>
      <c r="T186" s="11" t="s">
        <v>1318</v>
      </c>
      <c r="U186" s="10" t="s">
        <v>692</v>
      </c>
      <c r="V186" s="10" t="s">
        <v>100</v>
      </c>
    </row>
    <row r="187" customFormat="false" ht="39.55" hidden="false" customHeight="false" outlineLevel="0" collapsed="false">
      <c r="A187" s="10" t="s">
        <v>696</v>
      </c>
      <c r="B187" s="11" t="s">
        <v>697</v>
      </c>
      <c r="C187" s="10" t="s">
        <v>651</v>
      </c>
      <c r="D187" s="10" t="s">
        <v>693</v>
      </c>
      <c r="E187" s="10" t="s">
        <v>1357</v>
      </c>
      <c r="F187" s="11" t="s">
        <v>1354</v>
      </c>
      <c r="G187" s="10" t="n">
        <v>4</v>
      </c>
      <c r="H187" s="10" t="n">
        <v>2</v>
      </c>
      <c r="I187" s="10" t="n">
        <v>3</v>
      </c>
      <c r="J187" s="11" t="s">
        <v>789</v>
      </c>
      <c r="K187" s="10" t="n">
        <v>1.5</v>
      </c>
      <c r="L187" s="10"/>
      <c r="M187" s="10" t="s">
        <v>98</v>
      </c>
      <c r="N187" s="10" t="s">
        <v>1358</v>
      </c>
      <c r="O187" s="11" t="s">
        <v>791</v>
      </c>
      <c r="P187" s="10" t="n">
        <v>1.2</v>
      </c>
      <c r="Q187" s="10" t="s">
        <v>1315</v>
      </c>
      <c r="R187" s="11" t="s">
        <v>1316</v>
      </c>
      <c r="S187" s="11" t="s">
        <v>1359</v>
      </c>
      <c r="T187" s="11" t="s">
        <v>1318</v>
      </c>
      <c r="U187" s="10" t="s">
        <v>696</v>
      </c>
      <c r="V187" s="10" t="s">
        <v>116</v>
      </c>
    </row>
    <row r="188" customFormat="false" ht="39.55" hidden="false" customHeight="false" outlineLevel="0" collapsed="false">
      <c r="A188" s="10" t="s">
        <v>699</v>
      </c>
      <c r="B188" s="11" t="s">
        <v>700</v>
      </c>
      <c r="C188" s="10" t="s">
        <v>651</v>
      </c>
      <c r="D188" s="10" t="s">
        <v>693</v>
      </c>
      <c r="E188" s="11" t="s">
        <v>1360</v>
      </c>
      <c r="F188" s="11" t="s">
        <v>1354</v>
      </c>
      <c r="G188" s="10" t="n">
        <v>4</v>
      </c>
      <c r="H188" s="10" t="n">
        <v>2</v>
      </c>
      <c r="I188" s="10" t="n">
        <v>3</v>
      </c>
      <c r="J188" s="11" t="s">
        <v>789</v>
      </c>
      <c r="K188" s="10" t="n">
        <v>1.5</v>
      </c>
      <c r="L188" s="10"/>
      <c r="M188" s="10" t="s">
        <v>98</v>
      </c>
      <c r="N188" s="10" t="s">
        <v>1361</v>
      </c>
      <c r="O188" s="11" t="s">
        <v>791</v>
      </c>
      <c r="P188" s="10" t="n">
        <v>1.2</v>
      </c>
      <c r="Q188" s="10" t="s">
        <v>1315</v>
      </c>
      <c r="R188" s="11" t="s">
        <v>1316</v>
      </c>
      <c r="S188" s="11" t="s">
        <v>1362</v>
      </c>
      <c r="T188" s="11" t="s">
        <v>1318</v>
      </c>
      <c r="U188" s="10" t="s">
        <v>699</v>
      </c>
      <c r="V188" s="10" t="s">
        <v>116</v>
      </c>
    </row>
    <row r="189" customFormat="false" ht="39.55" hidden="false" customHeight="false" outlineLevel="0" collapsed="false">
      <c r="A189" s="10" t="s">
        <v>702</v>
      </c>
      <c r="B189" s="11" t="s">
        <v>703</v>
      </c>
      <c r="C189" s="10" t="s">
        <v>651</v>
      </c>
      <c r="D189" s="10" t="s">
        <v>693</v>
      </c>
      <c r="E189" s="11" t="s">
        <v>1363</v>
      </c>
      <c r="F189" s="11" t="s">
        <v>1354</v>
      </c>
      <c r="G189" s="10" t="n">
        <v>4</v>
      </c>
      <c r="H189" s="10" t="n">
        <v>2</v>
      </c>
      <c r="I189" s="10" t="n">
        <v>3</v>
      </c>
      <c r="J189" s="11" t="s">
        <v>789</v>
      </c>
      <c r="K189" s="10" t="n">
        <v>1.5</v>
      </c>
      <c r="L189" s="10"/>
      <c r="M189" s="10" t="s">
        <v>98</v>
      </c>
      <c r="N189" s="10" t="s">
        <v>1364</v>
      </c>
      <c r="O189" s="11" t="s">
        <v>791</v>
      </c>
      <c r="P189" s="10" t="n">
        <v>1</v>
      </c>
      <c r="Q189" s="10" t="s">
        <v>1315</v>
      </c>
      <c r="R189" s="11" t="s">
        <v>1316</v>
      </c>
      <c r="S189" s="11" t="s">
        <v>1365</v>
      </c>
      <c r="T189" s="11" t="s">
        <v>1318</v>
      </c>
      <c r="U189" s="10" t="s">
        <v>702</v>
      </c>
      <c r="V189" s="10" t="s">
        <v>116</v>
      </c>
    </row>
    <row r="190" customFormat="false" ht="39.55" hidden="false" customHeight="false" outlineLevel="0" collapsed="false">
      <c r="A190" s="10" t="s">
        <v>705</v>
      </c>
      <c r="B190" s="10" t="s">
        <v>707</v>
      </c>
      <c r="C190" s="10" t="s">
        <v>651</v>
      </c>
      <c r="D190" s="10" t="s">
        <v>706</v>
      </c>
      <c r="E190" s="11" t="s">
        <v>1366</v>
      </c>
      <c r="F190" s="11" t="s">
        <v>1367</v>
      </c>
      <c r="G190" s="10" t="n">
        <v>4</v>
      </c>
      <c r="H190" s="10" t="n">
        <v>3</v>
      </c>
      <c r="I190" s="10" t="n">
        <v>6</v>
      </c>
      <c r="J190" s="11" t="s">
        <v>825</v>
      </c>
      <c r="K190" s="10" t="n">
        <v>1</v>
      </c>
      <c r="L190" s="10"/>
      <c r="M190" s="10" t="s">
        <v>133</v>
      </c>
      <c r="N190" s="10" t="s">
        <v>1368</v>
      </c>
      <c r="O190" s="11" t="s">
        <v>827</v>
      </c>
      <c r="P190" s="10" t="n">
        <v>1</v>
      </c>
      <c r="Q190" s="10" t="s">
        <v>1315</v>
      </c>
      <c r="R190" s="11" t="s">
        <v>1316</v>
      </c>
      <c r="S190" s="10" t="s">
        <v>1369</v>
      </c>
      <c r="T190" s="11" t="s">
        <v>1318</v>
      </c>
      <c r="U190" s="10" t="s">
        <v>705</v>
      </c>
      <c r="V190" s="10" t="s">
        <v>116</v>
      </c>
    </row>
    <row r="191" customFormat="false" ht="39.55" hidden="false" customHeight="false" outlineLevel="0" collapsed="false">
      <c r="A191" s="10" t="s">
        <v>709</v>
      </c>
      <c r="B191" s="11" t="s">
        <v>710</v>
      </c>
      <c r="C191" s="10" t="s">
        <v>651</v>
      </c>
      <c r="D191" s="10" t="s">
        <v>706</v>
      </c>
      <c r="E191" s="11" t="s">
        <v>1370</v>
      </c>
      <c r="F191" s="11" t="s">
        <v>1367</v>
      </c>
      <c r="G191" s="10" t="n">
        <v>4</v>
      </c>
      <c r="H191" s="10" t="n">
        <v>3</v>
      </c>
      <c r="I191" s="10" t="n">
        <v>6</v>
      </c>
      <c r="J191" s="11" t="s">
        <v>825</v>
      </c>
      <c r="K191" s="10" t="n">
        <v>1</v>
      </c>
      <c r="L191" s="10"/>
      <c r="M191" s="10" t="s">
        <v>133</v>
      </c>
      <c r="N191" s="10" t="s">
        <v>1371</v>
      </c>
      <c r="O191" s="11" t="s">
        <v>827</v>
      </c>
      <c r="P191" s="10" t="n">
        <v>1</v>
      </c>
      <c r="Q191" s="10" t="s">
        <v>1315</v>
      </c>
      <c r="R191" s="11" t="s">
        <v>1316</v>
      </c>
      <c r="S191" s="11" t="s">
        <v>1372</v>
      </c>
      <c r="T191" s="11" t="s">
        <v>1318</v>
      </c>
      <c r="U191" s="10" t="s">
        <v>709</v>
      </c>
      <c r="V191" s="10" t="s">
        <v>116</v>
      </c>
    </row>
    <row r="192" customFormat="false" ht="39.55" hidden="false" customHeight="false" outlineLevel="0" collapsed="false">
      <c r="A192" s="10" t="s">
        <v>712</v>
      </c>
      <c r="B192" s="11" t="s">
        <v>713</v>
      </c>
      <c r="C192" s="10" t="s">
        <v>651</v>
      </c>
      <c r="D192" s="10" t="s">
        <v>706</v>
      </c>
      <c r="E192" s="11" t="s">
        <v>1373</v>
      </c>
      <c r="F192" s="11" t="s">
        <v>1367</v>
      </c>
      <c r="G192" s="10" t="n">
        <v>4</v>
      </c>
      <c r="H192" s="10" t="n">
        <v>2</v>
      </c>
      <c r="I192" s="10" t="n">
        <v>3</v>
      </c>
      <c r="J192" s="11" t="s">
        <v>789</v>
      </c>
      <c r="K192" s="10" t="n">
        <v>1.5</v>
      </c>
      <c r="L192" s="10"/>
      <c r="M192" s="10" t="s">
        <v>98</v>
      </c>
      <c r="N192" s="10" t="s">
        <v>1295</v>
      </c>
      <c r="O192" s="11" t="s">
        <v>791</v>
      </c>
      <c r="P192" s="10" t="n">
        <v>1</v>
      </c>
      <c r="Q192" s="10" t="s">
        <v>1315</v>
      </c>
      <c r="R192" s="11" t="s">
        <v>1316</v>
      </c>
      <c r="S192" s="11" t="s">
        <v>1374</v>
      </c>
      <c r="T192" s="11" t="s">
        <v>1318</v>
      </c>
      <c r="U192" s="10" t="s">
        <v>712</v>
      </c>
      <c r="V192" s="10" t="s">
        <v>116</v>
      </c>
    </row>
    <row r="193" customFormat="false" ht="39.55" hidden="false" customHeight="false" outlineLevel="0" collapsed="false">
      <c r="A193" s="10" t="s">
        <v>715</v>
      </c>
      <c r="B193" s="10" t="s">
        <v>718</v>
      </c>
      <c r="C193" s="10" t="s">
        <v>716</v>
      </c>
      <c r="D193" s="10" t="s">
        <v>717</v>
      </c>
      <c r="E193" s="11" t="s">
        <v>1375</v>
      </c>
      <c r="F193" s="11" t="s">
        <v>1376</v>
      </c>
      <c r="G193" s="10" t="n">
        <v>4</v>
      </c>
      <c r="H193" s="10" t="n">
        <v>3</v>
      </c>
      <c r="I193" s="10" t="n">
        <v>6</v>
      </c>
      <c r="J193" s="11" t="s">
        <v>825</v>
      </c>
      <c r="K193" s="10" t="n">
        <v>1.5</v>
      </c>
      <c r="L193" s="10"/>
      <c r="M193" s="10" t="s">
        <v>98</v>
      </c>
      <c r="N193" s="10" t="s">
        <v>1010</v>
      </c>
      <c r="O193" s="11" t="s">
        <v>827</v>
      </c>
      <c r="P193" s="10" t="n">
        <v>1</v>
      </c>
      <c r="Q193" s="10" t="s">
        <v>1377</v>
      </c>
      <c r="R193" s="11" t="s">
        <v>1378</v>
      </c>
      <c r="S193" s="10" t="s">
        <v>1379</v>
      </c>
      <c r="T193" s="11" t="s">
        <v>1380</v>
      </c>
      <c r="U193" s="10" t="s">
        <v>715</v>
      </c>
      <c r="V193" s="10" t="s">
        <v>100</v>
      </c>
    </row>
    <row r="194" customFormat="false" ht="39.55" hidden="false" customHeight="false" outlineLevel="0" collapsed="false">
      <c r="A194" s="10" t="s">
        <v>720</v>
      </c>
      <c r="B194" s="10" t="s">
        <v>721</v>
      </c>
      <c r="C194" s="10" t="s">
        <v>716</v>
      </c>
      <c r="D194" s="10" t="s">
        <v>717</v>
      </c>
      <c r="E194" s="11" t="s">
        <v>1381</v>
      </c>
      <c r="F194" s="11" t="s">
        <v>1376</v>
      </c>
      <c r="G194" s="10" t="n">
        <v>4</v>
      </c>
      <c r="H194" s="10" t="n">
        <v>3</v>
      </c>
      <c r="I194" s="10" t="n">
        <v>6</v>
      </c>
      <c r="J194" s="11" t="s">
        <v>825</v>
      </c>
      <c r="K194" s="10" t="n">
        <v>1.5</v>
      </c>
      <c r="L194" s="10"/>
      <c r="M194" s="10" t="s">
        <v>98</v>
      </c>
      <c r="N194" s="10" t="s">
        <v>1010</v>
      </c>
      <c r="O194" s="11" t="s">
        <v>827</v>
      </c>
      <c r="P194" s="10" t="n">
        <v>1</v>
      </c>
      <c r="Q194" s="10" t="s">
        <v>1377</v>
      </c>
      <c r="R194" s="11" t="s">
        <v>1378</v>
      </c>
      <c r="S194" s="10" t="s">
        <v>1382</v>
      </c>
      <c r="T194" s="11" t="s">
        <v>1380</v>
      </c>
      <c r="U194" s="10" t="s">
        <v>720</v>
      </c>
      <c r="V194" s="10" t="s">
        <v>100</v>
      </c>
    </row>
    <row r="195" customFormat="false" ht="39.55" hidden="false" customHeight="false" outlineLevel="0" collapsed="false">
      <c r="A195" s="10" t="s">
        <v>723</v>
      </c>
      <c r="B195" s="10" t="s">
        <v>724</v>
      </c>
      <c r="C195" s="10" t="s">
        <v>716</v>
      </c>
      <c r="D195" s="10" t="s">
        <v>717</v>
      </c>
      <c r="E195" s="11" t="s">
        <v>1383</v>
      </c>
      <c r="F195" s="11" t="s">
        <v>1376</v>
      </c>
      <c r="G195" s="10" t="n">
        <v>4</v>
      </c>
      <c r="H195" s="10" t="n">
        <v>4</v>
      </c>
      <c r="I195" s="10" t="n">
        <v>9</v>
      </c>
      <c r="J195" s="11" t="s">
        <v>917</v>
      </c>
      <c r="K195" s="10" t="n">
        <v>1</v>
      </c>
      <c r="L195" s="10"/>
      <c r="M195" s="10" t="s">
        <v>133</v>
      </c>
      <c r="N195" s="10" t="s">
        <v>1384</v>
      </c>
      <c r="O195" s="11" t="s">
        <v>919</v>
      </c>
      <c r="P195" s="10" t="n">
        <v>1.2</v>
      </c>
      <c r="Q195" s="10" t="s">
        <v>1377</v>
      </c>
      <c r="R195" s="11" t="s">
        <v>1378</v>
      </c>
      <c r="S195" s="10" t="s">
        <v>1385</v>
      </c>
      <c r="T195" s="11" t="s">
        <v>1380</v>
      </c>
      <c r="U195" s="10" t="s">
        <v>723</v>
      </c>
      <c r="V195" s="10" t="s">
        <v>100</v>
      </c>
    </row>
    <row r="196" customFormat="false" ht="39.55" hidden="false" customHeight="false" outlineLevel="0" collapsed="false">
      <c r="A196" s="10" t="s">
        <v>726</v>
      </c>
      <c r="B196" s="11" t="s">
        <v>727</v>
      </c>
      <c r="C196" s="10" t="s">
        <v>716</v>
      </c>
      <c r="D196" s="10" t="s">
        <v>717</v>
      </c>
      <c r="E196" s="11" t="s">
        <v>1386</v>
      </c>
      <c r="F196" s="11" t="s">
        <v>1376</v>
      </c>
      <c r="G196" s="10" t="n">
        <v>4</v>
      </c>
      <c r="H196" s="10" t="n">
        <v>4</v>
      </c>
      <c r="I196" s="10" t="n">
        <v>9</v>
      </c>
      <c r="J196" s="11" t="s">
        <v>917</v>
      </c>
      <c r="K196" s="10" t="n">
        <v>1</v>
      </c>
      <c r="L196" s="10"/>
      <c r="M196" s="10" t="s">
        <v>133</v>
      </c>
      <c r="N196" s="10" t="s">
        <v>1387</v>
      </c>
      <c r="O196" s="11" t="s">
        <v>919</v>
      </c>
      <c r="P196" s="10" t="n">
        <v>1</v>
      </c>
      <c r="Q196" s="10" t="s">
        <v>1377</v>
      </c>
      <c r="R196" s="11" t="s">
        <v>1378</v>
      </c>
      <c r="S196" s="11" t="s">
        <v>1388</v>
      </c>
      <c r="T196" s="11" t="s">
        <v>1380</v>
      </c>
      <c r="U196" s="10" t="s">
        <v>726</v>
      </c>
      <c r="V196" s="10" t="s">
        <v>116</v>
      </c>
    </row>
    <row r="197" customFormat="false" ht="39.55" hidden="false" customHeight="false" outlineLevel="0" collapsed="false">
      <c r="A197" s="10" t="s">
        <v>729</v>
      </c>
      <c r="B197" s="11" t="s">
        <v>730</v>
      </c>
      <c r="C197" s="10" t="s">
        <v>716</v>
      </c>
      <c r="D197" s="10" t="s">
        <v>717</v>
      </c>
      <c r="E197" s="11" t="s">
        <v>1389</v>
      </c>
      <c r="F197" s="11" t="s">
        <v>1376</v>
      </c>
      <c r="G197" s="10" t="n">
        <v>4</v>
      </c>
      <c r="H197" s="10" t="n">
        <v>4</v>
      </c>
      <c r="I197" s="10" t="n">
        <v>9</v>
      </c>
      <c r="J197" s="11" t="s">
        <v>917</v>
      </c>
      <c r="K197" s="10" t="n">
        <v>1</v>
      </c>
      <c r="L197" s="10" t="s">
        <v>272</v>
      </c>
      <c r="M197" s="10" t="s">
        <v>133</v>
      </c>
      <c r="N197" s="10" t="s">
        <v>1390</v>
      </c>
      <c r="O197" s="11" t="s">
        <v>919</v>
      </c>
      <c r="P197" s="10" t="n">
        <v>1</v>
      </c>
      <c r="Q197" s="10" t="s">
        <v>1377</v>
      </c>
      <c r="R197" s="11" t="s">
        <v>1378</v>
      </c>
      <c r="S197" s="11" t="s">
        <v>1391</v>
      </c>
      <c r="T197" s="11" t="s">
        <v>1380</v>
      </c>
      <c r="U197" s="10" t="s">
        <v>729</v>
      </c>
      <c r="V197" s="10" t="s">
        <v>116</v>
      </c>
    </row>
    <row r="198" customFormat="false" ht="39.55" hidden="false" customHeight="false" outlineLevel="0" collapsed="false">
      <c r="A198" s="10" t="s">
        <v>732</v>
      </c>
      <c r="B198" s="10" t="s">
        <v>733</v>
      </c>
      <c r="C198" s="10" t="s">
        <v>716</v>
      </c>
      <c r="D198" s="10" t="s">
        <v>717</v>
      </c>
      <c r="E198" s="10" t="s">
        <v>1392</v>
      </c>
      <c r="F198" s="11" t="s">
        <v>1376</v>
      </c>
      <c r="G198" s="10" t="n">
        <v>4</v>
      </c>
      <c r="H198" s="10" t="n">
        <v>4</v>
      </c>
      <c r="I198" s="10" t="n">
        <v>9</v>
      </c>
      <c r="J198" s="11" t="s">
        <v>917</v>
      </c>
      <c r="K198" s="10" t="n">
        <v>1</v>
      </c>
      <c r="L198" s="10"/>
      <c r="M198" s="10" t="s">
        <v>133</v>
      </c>
      <c r="N198" s="10" t="s">
        <v>1165</v>
      </c>
      <c r="O198" s="11" t="s">
        <v>919</v>
      </c>
      <c r="P198" s="10" t="n">
        <v>1</v>
      </c>
      <c r="Q198" s="10" t="s">
        <v>1377</v>
      </c>
      <c r="R198" s="11" t="s">
        <v>1378</v>
      </c>
      <c r="S198" s="10" t="s">
        <v>1393</v>
      </c>
      <c r="T198" s="11" t="s">
        <v>1380</v>
      </c>
      <c r="U198" s="10" t="s">
        <v>732</v>
      </c>
      <c r="V198" s="10" t="s">
        <v>116</v>
      </c>
    </row>
    <row r="199" customFormat="false" ht="39.55" hidden="false" customHeight="false" outlineLevel="0" collapsed="false">
      <c r="A199" s="10" t="s">
        <v>735</v>
      </c>
      <c r="B199" s="10" t="s">
        <v>736</v>
      </c>
      <c r="C199" s="10" t="s">
        <v>716</v>
      </c>
      <c r="D199" s="10" t="s">
        <v>717</v>
      </c>
      <c r="E199" s="10" t="s">
        <v>1394</v>
      </c>
      <c r="F199" s="11" t="s">
        <v>1376</v>
      </c>
      <c r="G199" s="10" t="n">
        <v>4</v>
      </c>
      <c r="H199" s="10" t="n">
        <v>3</v>
      </c>
      <c r="I199" s="10" t="n">
        <v>6</v>
      </c>
      <c r="J199" s="11" t="s">
        <v>825</v>
      </c>
      <c r="K199" s="10" t="n">
        <v>1.5</v>
      </c>
      <c r="L199" s="10"/>
      <c r="M199" s="10" t="s">
        <v>98</v>
      </c>
      <c r="N199" s="10" t="s">
        <v>943</v>
      </c>
      <c r="O199" s="11" t="s">
        <v>827</v>
      </c>
      <c r="P199" s="10" t="n">
        <v>1</v>
      </c>
      <c r="Q199" s="10" t="s">
        <v>1377</v>
      </c>
      <c r="R199" s="11" t="s">
        <v>1378</v>
      </c>
      <c r="S199" s="10" t="s">
        <v>1395</v>
      </c>
      <c r="T199" s="11" t="s">
        <v>1380</v>
      </c>
      <c r="U199" s="10" t="s">
        <v>735</v>
      </c>
      <c r="V199" s="10" t="s">
        <v>116</v>
      </c>
    </row>
    <row r="200" customFormat="false" ht="39.55" hidden="false" customHeight="false" outlineLevel="0" collapsed="false">
      <c r="A200" s="10" t="s">
        <v>738</v>
      </c>
      <c r="B200" s="10" t="s">
        <v>740</v>
      </c>
      <c r="C200" s="10" t="s">
        <v>716</v>
      </c>
      <c r="D200" s="10" t="s">
        <v>739</v>
      </c>
      <c r="E200" s="11" t="s">
        <v>1396</v>
      </c>
      <c r="F200" s="11" t="s">
        <v>1397</v>
      </c>
      <c r="G200" s="10" t="n">
        <v>3</v>
      </c>
      <c r="H200" s="10" t="n">
        <v>2</v>
      </c>
      <c r="I200" s="10" t="n">
        <v>3</v>
      </c>
      <c r="J200" s="11" t="s">
        <v>789</v>
      </c>
      <c r="K200" s="10" t="n">
        <v>1.5</v>
      </c>
      <c r="L200" s="10"/>
      <c r="M200" s="10" t="s">
        <v>98</v>
      </c>
      <c r="N200" s="10" t="s">
        <v>1398</v>
      </c>
      <c r="O200" s="11" t="s">
        <v>791</v>
      </c>
      <c r="P200" s="10" t="n">
        <v>1</v>
      </c>
      <c r="Q200" s="10" t="s">
        <v>1377</v>
      </c>
      <c r="R200" s="11" t="s">
        <v>1378</v>
      </c>
      <c r="S200" s="10" t="s">
        <v>1399</v>
      </c>
      <c r="T200" s="11" t="s">
        <v>1380</v>
      </c>
      <c r="U200" s="10" t="s">
        <v>738</v>
      </c>
      <c r="V200" s="10" t="s">
        <v>100</v>
      </c>
    </row>
    <row r="201" customFormat="false" ht="39.55" hidden="false" customHeight="false" outlineLevel="0" collapsed="false">
      <c r="A201" s="10" t="s">
        <v>742</v>
      </c>
      <c r="B201" s="11" t="s">
        <v>743</v>
      </c>
      <c r="C201" s="10" t="s">
        <v>716</v>
      </c>
      <c r="D201" s="10" t="s">
        <v>739</v>
      </c>
      <c r="E201" s="11" t="s">
        <v>1400</v>
      </c>
      <c r="F201" s="11" t="s">
        <v>1397</v>
      </c>
      <c r="G201" s="10" t="n">
        <v>3</v>
      </c>
      <c r="H201" s="10" t="n">
        <v>2</v>
      </c>
      <c r="I201" s="10" t="n">
        <v>3</v>
      </c>
      <c r="J201" s="11" t="s">
        <v>789</v>
      </c>
      <c r="K201" s="10" t="n">
        <v>1.5</v>
      </c>
      <c r="L201" s="10"/>
      <c r="M201" s="10" t="s">
        <v>98</v>
      </c>
      <c r="N201" s="10" t="s">
        <v>1401</v>
      </c>
      <c r="O201" s="11" t="s">
        <v>791</v>
      </c>
      <c r="P201" s="10" t="n">
        <v>1</v>
      </c>
      <c r="Q201" s="10" t="s">
        <v>1377</v>
      </c>
      <c r="R201" s="11" t="s">
        <v>1378</v>
      </c>
      <c r="S201" s="11" t="s">
        <v>1402</v>
      </c>
      <c r="T201" s="11" t="s">
        <v>1380</v>
      </c>
      <c r="U201" s="10" t="s">
        <v>742</v>
      </c>
      <c r="V201" s="10" t="s">
        <v>100</v>
      </c>
    </row>
    <row r="202" customFormat="false" ht="39.55" hidden="false" customHeight="false" outlineLevel="0" collapsed="false">
      <c r="A202" s="10" t="s">
        <v>745</v>
      </c>
      <c r="B202" s="10" t="s">
        <v>746</v>
      </c>
      <c r="C202" s="10" t="s">
        <v>716</v>
      </c>
      <c r="D202" s="10" t="s">
        <v>739</v>
      </c>
      <c r="E202" s="11" t="s">
        <v>1403</v>
      </c>
      <c r="F202" s="11" t="s">
        <v>1397</v>
      </c>
      <c r="G202" s="10" t="n">
        <v>3</v>
      </c>
      <c r="H202" s="10" t="n">
        <v>2</v>
      </c>
      <c r="I202" s="10" t="n">
        <v>3</v>
      </c>
      <c r="J202" s="11" t="s">
        <v>789</v>
      </c>
      <c r="K202" s="10" t="n">
        <v>1.5</v>
      </c>
      <c r="L202" s="10"/>
      <c r="M202" s="10" t="s">
        <v>98</v>
      </c>
      <c r="N202" s="10" t="s">
        <v>1404</v>
      </c>
      <c r="O202" s="11" t="s">
        <v>791</v>
      </c>
      <c r="P202" s="10" t="n">
        <v>1</v>
      </c>
      <c r="Q202" s="10" t="s">
        <v>1377</v>
      </c>
      <c r="R202" s="11" t="s">
        <v>1378</v>
      </c>
      <c r="S202" s="10" t="s">
        <v>1405</v>
      </c>
      <c r="T202" s="11" t="s">
        <v>1380</v>
      </c>
      <c r="U202" s="10" t="s">
        <v>745</v>
      </c>
      <c r="V202" s="10" t="s">
        <v>100</v>
      </c>
    </row>
    <row r="203" customFormat="false" ht="39.55" hidden="false" customHeight="false" outlineLevel="0" collapsed="false">
      <c r="A203" s="10" t="s">
        <v>748</v>
      </c>
      <c r="B203" s="11" t="s">
        <v>749</v>
      </c>
      <c r="C203" s="10" t="s">
        <v>716</v>
      </c>
      <c r="D203" s="10" t="s">
        <v>739</v>
      </c>
      <c r="E203" s="10" t="s">
        <v>1406</v>
      </c>
      <c r="F203" s="11" t="s">
        <v>1397</v>
      </c>
      <c r="G203" s="10" t="n">
        <v>3</v>
      </c>
      <c r="H203" s="10" t="n">
        <v>2</v>
      </c>
      <c r="I203" s="10" t="n">
        <v>3</v>
      </c>
      <c r="J203" s="11" t="s">
        <v>789</v>
      </c>
      <c r="K203" s="10" t="n">
        <v>1.5</v>
      </c>
      <c r="L203" s="10"/>
      <c r="M203" s="10" t="s">
        <v>98</v>
      </c>
      <c r="N203" s="10" t="s">
        <v>1407</v>
      </c>
      <c r="O203" s="11" t="s">
        <v>791</v>
      </c>
      <c r="P203" s="10" t="n">
        <v>1.2</v>
      </c>
      <c r="Q203" s="10" t="s">
        <v>1377</v>
      </c>
      <c r="R203" s="11" t="s">
        <v>1378</v>
      </c>
      <c r="S203" s="11" t="s">
        <v>1408</v>
      </c>
      <c r="T203" s="11" t="s">
        <v>1380</v>
      </c>
      <c r="U203" s="10" t="s">
        <v>748</v>
      </c>
      <c r="V203" s="10" t="s">
        <v>100</v>
      </c>
    </row>
    <row r="204" customFormat="false" ht="39.55" hidden="false" customHeight="false" outlineLevel="0" collapsed="false">
      <c r="A204" s="10" t="s">
        <v>751</v>
      </c>
      <c r="B204" s="11" t="s">
        <v>752</v>
      </c>
      <c r="C204" s="10" t="s">
        <v>716</v>
      </c>
      <c r="D204" s="10" t="s">
        <v>739</v>
      </c>
      <c r="E204" s="11" t="s">
        <v>1409</v>
      </c>
      <c r="F204" s="11" t="s">
        <v>1397</v>
      </c>
      <c r="G204" s="10" t="n">
        <v>3</v>
      </c>
      <c r="H204" s="10" t="n">
        <v>4</v>
      </c>
      <c r="I204" s="10" t="n">
        <v>9</v>
      </c>
      <c r="J204" s="11" t="s">
        <v>917</v>
      </c>
      <c r="K204" s="10" t="n">
        <v>1</v>
      </c>
      <c r="L204" s="10"/>
      <c r="M204" s="10" t="s">
        <v>133</v>
      </c>
      <c r="N204" s="10" t="s">
        <v>1410</v>
      </c>
      <c r="O204" s="11" t="s">
        <v>919</v>
      </c>
      <c r="P204" s="10" t="n">
        <v>1</v>
      </c>
      <c r="Q204" s="10" t="s">
        <v>1377</v>
      </c>
      <c r="R204" s="11" t="s">
        <v>1378</v>
      </c>
      <c r="S204" s="11" t="s">
        <v>1411</v>
      </c>
      <c r="T204" s="11" t="s">
        <v>1380</v>
      </c>
      <c r="U204" s="10" t="s">
        <v>751</v>
      </c>
      <c r="V204" s="10" t="s">
        <v>116</v>
      </c>
    </row>
    <row r="205" customFormat="false" ht="39.55" hidden="false" customHeight="false" outlineLevel="0" collapsed="false">
      <c r="A205" s="10" t="s">
        <v>754</v>
      </c>
      <c r="B205" s="11" t="s">
        <v>755</v>
      </c>
      <c r="C205" s="10" t="s">
        <v>716</v>
      </c>
      <c r="D205" s="10" t="s">
        <v>739</v>
      </c>
      <c r="E205" s="10" t="s">
        <v>1412</v>
      </c>
      <c r="F205" s="11" t="s">
        <v>1397</v>
      </c>
      <c r="G205" s="10" t="n">
        <v>3</v>
      </c>
      <c r="H205" s="10" t="n">
        <v>2</v>
      </c>
      <c r="I205" s="10" t="n">
        <v>3</v>
      </c>
      <c r="J205" s="11" t="s">
        <v>789</v>
      </c>
      <c r="K205" s="10" t="n">
        <v>1.5</v>
      </c>
      <c r="L205" s="10"/>
      <c r="M205" s="10" t="s">
        <v>98</v>
      </c>
      <c r="N205" s="10" t="s">
        <v>1413</v>
      </c>
      <c r="O205" s="11" t="s">
        <v>791</v>
      </c>
      <c r="P205" s="10" t="n">
        <v>1</v>
      </c>
      <c r="Q205" s="10" t="s">
        <v>1377</v>
      </c>
      <c r="R205" s="11" t="s">
        <v>1378</v>
      </c>
      <c r="S205" s="11" t="s">
        <v>1414</v>
      </c>
      <c r="T205" s="11" t="s">
        <v>1380</v>
      </c>
      <c r="U205" s="10" t="s">
        <v>754</v>
      </c>
      <c r="V205" s="10" t="s">
        <v>116</v>
      </c>
    </row>
    <row r="206" customFormat="false" ht="39.55" hidden="false" customHeight="false" outlineLevel="0" collapsed="false">
      <c r="A206" s="10" t="s">
        <v>757</v>
      </c>
      <c r="B206" s="11" t="s">
        <v>759</v>
      </c>
      <c r="C206" s="10" t="s">
        <v>716</v>
      </c>
      <c r="D206" s="10" t="s">
        <v>758</v>
      </c>
      <c r="E206" s="11" t="s">
        <v>1415</v>
      </c>
      <c r="F206" s="11" t="s">
        <v>1416</v>
      </c>
      <c r="G206" s="10" t="n">
        <v>4</v>
      </c>
      <c r="H206" s="10" t="n">
        <v>4</v>
      </c>
      <c r="I206" s="10" t="n">
        <v>9</v>
      </c>
      <c r="J206" s="11" t="s">
        <v>917</v>
      </c>
      <c r="K206" s="10" t="n">
        <v>1</v>
      </c>
      <c r="L206" s="10"/>
      <c r="M206" s="10" t="s">
        <v>133</v>
      </c>
      <c r="N206" s="10" t="s">
        <v>1417</v>
      </c>
      <c r="O206" s="11" t="s">
        <v>919</v>
      </c>
      <c r="P206" s="10" t="n">
        <v>1</v>
      </c>
      <c r="Q206" s="10" t="s">
        <v>1377</v>
      </c>
      <c r="R206" s="11" t="s">
        <v>1378</v>
      </c>
      <c r="S206" s="11" t="s">
        <v>1418</v>
      </c>
      <c r="T206" s="11" t="s">
        <v>1380</v>
      </c>
      <c r="U206" s="10" t="s">
        <v>757</v>
      </c>
      <c r="V206" s="10" t="s">
        <v>100</v>
      </c>
    </row>
    <row r="207" customFormat="false" ht="39.55" hidden="false" customHeight="false" outlineLevel="0" collapsed="false">
      <c r="A207" s="10" t="s">
        <v>761</v>
      </c>
      <c r="B207" s="11" t="s">
        <v>762</v>
      </c>
      <c r="C207" s="10" t="s">
        <v>716</v>
      </c>
      <c r="D207" s="10" t="s">
        <v>758</v>
      </c>
      <c r="E207" s="11" t="s">
        <v>1419</v>
      </c>
      <c r="F207" s="11" t="s">
        <v>1416</v>
      </c>
      <c r="G207" s="10" t="n">
        <v>4</v>
      </c>
      <c r="H207" s="10" t="n">
        <v>4</v>
      </c>
      <c r="I207" s="10" t="n">
        <v>9</v>
      </c>
      <c r="J207" s="11" t="s">
        <v>917</v>
      </c>
      <c r="K207" s="10" t="n">
        <v>1</v>
      </c>
      <c r="L207" s="10"/>
      <c r="M207" s="10" t="s">
        <v>133</v>
      </c>
      <c r="N207" s="10" t="s">
        <v>1420</v>
      </c>
      <c r="O207" s="11" t="s">
        <v>919</v>
      </c>
      <c r="P207" s="10" t="n">
        <v>1.2</v>
      </c>
      <c r="Q207" s="10" t="s">
        <v>1377</v>
      </c>
      <c r="R207" s="11" t="s">
        <v>1378</v>
      </c>
      <c r="S207" s="11" t="s">
        <v>1421</v>
      </c>
      <c r="T207" s="11" t="s">
        <v>1380</v>
      </c>
      <c r="U207" s="10" t="s">
        <v>761</v>
      </c>
      <c r="V207" s="10" t="s">
        <v>116</v>
      </c>
    </row>
    <row r="208" customFormat="false" ht="39.55" hidden="false" customHeight="false" outlineLevel="0" collapsed="false">
      <c r="A208" s="10" t="s">
        <v>764</v>
      </c>
      <c r="B208" s="11" t="s">
        <v>766</v>
      </c>
      <c r="C208" s="10" t="s">
        <v>716</v>
      </c>
      <c r="D208" s="10" t="s">
        <v>765</v>
      </c>
      <c r="E208" s="11" t="s">
        <v>1422</v>
      </c>
      <c r="F208" s="11" t="s">
        <v>1423</v>
      </c>
      <c r="G208" s="10" t="n">
        <v>4</v>
      </c>
      <c r="H208" s="10" t="n">
        <v>3</v>
      </c>
      <c r="I208" s="10" t="n">
        <v>6</v>
      </c>
      <c r="J208" s="11" t="s">
        <v>825</v>
      </c>
      <c r="K208" s="10" t="n">
        <v>1</v>
      </c>
      <c r="L208" s="10"/>
      <c r="M208" s="10" t="s">
        <v>133</v>
      </c>
      <c r="N208" s="10" t="s">
        <v>1424</v>
      </c>
      <c r="O208" s="11" t="s">
        <v>827</v>
      </c>
      <c r="P208" s="10" t="n">
        <v>1.2</v>
      </c>
      <c r="Q208" s="10" t="s">
        <v>1377</v>
      </c>
      <c r="R208" s="11" t="s">
        <v>1378</v>
      </c>
      <c r="S208" s="11" t="s">
        <v>1425</v>
      </c>
      <c r="T208" s="11" t="s">
        <v>1380</v>
      </c>
      <c r="U208" s="10" t="s">
        <v>764</v>
      </c>
      <c r="V208" s="10" t="s">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5"/>
    <col collapsed="false" customWidth="true" hidden="false" outlineLevel="0" max="3" min="3" style="0" width="26"/>
    <col collapsed="false" customWidth="true" hidden="false" outlineLevel="0" max="4" min="4" style="0" width="5"/>
    <col collapsed="false" customWidth="true" hidden="false" outlineLevel="0" max="5" min="5" style="0" width="44"/>
    <col collapsed="false" customWidth="true" hidden="false" outlineLevel="0" max="6" min="6" style="0" width="40"/>
  </cols>
  <sheetData>
    <row r="1" customFormat="false" ht="15" hidden="false" customHeight="false" outlineLevel="0" collapsed="false">
      <c r="A1" s="8" t="s">
        <v>69</v>
      </c>
      <c r="B1" s="8" t="s">
        <v>1426</v>
      </c>
      <c r="C1" s="8" t="s">
        <v>1427</v>
      </c>
      <c r="D1" s="8" t="s">
        <v>70</v>
      </c>
      <c r="E1" s="8" t="s">
        <v>1428</v>
      </c>
      <c r="F1" s="8" t="s">
        <v>1429</v>
      </c>
    </row>
    <row r="2" customFormat="false" ht="26.85" hidden="false" customHeight="false" outlineLevel="0" collapsed="false">
      <c r="A2" s="10" t="s">
        <v>93</v>
      </c>
      <c r="B2" s="10" t="s">
        <v>93</v>
      </c>
      <c r="C2" s="10" t="s">
        <v>96</v>
      </c>
      <c r="D2" s="10" t="s">
        <v>94</v>
      </c>
      <c r="E2" s="11" t="s">
        <v>1430</v>
      </c>
      <c r="F2" s="11" t="s">
        <v>1431</v>
      </c>
    </row>
    <row r="3" customFormat="false" ht="26.85" hidden="false" customHeight="false" outlineLevel="0" collapsed="false">
      <c r="A3" s="10" t="s">
        <v>101</v>
      </c>
      <c r="B3" s="10" t="s">
        <v>101</v>
      </c>
      <c r="C3" s="10" t="s">
        <v>102</v>
      </c>
      <c r="D3" s="10" t="s">
        <v>94</v>
      </c>
      <c r="E3" s="11" t="s">
        <v>1430</v>
      </c>
      <c r="F3" s="11" t="s">
        <v>1431</v>
      </c>
    </row>
    <row r="4" customFormat="false" ht="26.85" hidden="false" customHeight="false" outlineLevel="0" collapsed="false">
      <c r="A4" s="10" t="s">
        <v>104</v>
      </c>
      <c r="B4" s="10" t="s">
        <v>104</v>
      </c>
      <c r="C4" s="10" t="s">
        <v>105</v>
      </c>
      <c r="D4" s="10" t="s">
        <v>94</v>
      </c>
      <c r="E4" s="11" t="s">
        <v>1430</v>
      </c>
      <c r="F4" s="11" t="s">
        <v>1431</v>
      </c>
    </row>
    <row r="5" customFormat="false" ht="26.85" hidden="false" customHeight="false" outlineLevel="0" collapsed="false">
      <c r="A5" s="10" t="s">
        <v>107</v>
      </c>
      <c r="B5" s="10" t="s">
        <v>107</v>
      </c>
      <c r="C5" s="10" t="s">
        <v>108</v>
      </c>
      <c r="D5" s="10" t="s">
        <v>94</v>
      </c>
      <c r="E5" s="11" t="s">
        <v>1430</v>
      </c>
      <c r="F5" s="11" t="s">
        <v>1431</v>
      </c>
    </row>
    <row r="6" customFormat="false" ht="26.85" hidden="false" customHeight="false" outlineLevel="0" collapsed="false">
      <c r="A6" s="10" t="s">
        <v>110</v>
      </c>
      <c r="B6" s="10" t="s">
        <v>110</v>
      </c>
      <c r="C6" s="10" t="s">
        <v>111</v>
      </c>
      <c r="D6" s="10" t="s">
        <v>94</v>
      </c>
      <c r="E6" s="11" t="s">
        <v>1430</v>
      </c>
      <c r="F6" s="11" t="s">
        <v>1431</v>
      </c>
    </row>
    <row r="7" customFormat="false" ht="26.85" hidden="false" customHeight="false" outlineLevel="0" collapsed="false">
      <c r="A7" s="10" t="s">
        <v>113</v>
      </c>
      <c r="B7" s="10" t="s">
        <v>113</v>
      </c>
      <c r="C7" s="10" t="s">
        <v>114</v>
      </c>
      <c r="D7" s="10" t="s">
        <v>94</v>
      </c>
      <c r="E7" s="11" t="s">
        <v>1430</v>
      </c>
      <c r="F7" s="11" t="s">
        <v>1431</v>
      </c>
    </row>
    <row r="8" customFormat="false" ht="26.85" hidden="false" customHeight="false" outlineLevel="0" collapsed="false">
      <c r="A8" s="10" t="s">
        <v>117</v>
      </c>
      <c r="B8" s="10" t="s">
        <v>117</v>
      </c>
      <c r="C8" s="10" t="s">
        <v>118</v>
      </c>
      <c r="D8" s="10" t="s">
        <v>94</v>
      </c>
      <c r="E8" s="11" t="s">
        <v>1430</v>
      </c>
      <c r="F8" s="11" t="s">
        <v>1431</v>
      </c>
    </row>
    <row r="9" customFormat="false" ht="26.85" hidden="false" customHeight="false" outlineLevel="0" collapsed="false">
      <c r="A9" s="10" t="s">
        <v>120</v>
      </c>
      <c r="B9" s="10" t="s">
        <v>120</v>
      </c>
      <c r="C9" s="10" t="s">
        <v>121</v>
      </c>
      <c r="D9" s="10" t="s">
        <v>94</v>
      </c>
      <c r="E9" s="11" t="s">
        <v>1430</v>
      </c>
      <c r="F9" s="11" t="s">
        <v>1431</v>
      </c>
    </row>
    <row r="10" customFormat="false" ht="26.85" hidden="false" customHeight="false" outlineLevel="0" collapsed="false">
      <c r="A10" s="10" t="s">
        <v>123</v>
      </c>
      <c r="B10" s="10" t="s">
        <v>123</v>
      </c>
      <c r="C10" s="10" t="s">
        <v>124</v>
      </c>
      <c r="D10" s="10" t="s">
        <v>94</v>
      </c>
      <c r="E10" s="11" t="s">
        <v>1430</v>
      </c>
      <c r="F10" s="11" t="s">
        <v>1431</v>
      </c>
    </row>
    <row r="11" customFormat="false" ht="26.85" hidden="false" customHeight="false" outlineLevel="0" collapsed="false">
      <c r="A11" s="10" t="s">
        <v>126</v>
      </c>
      <c r="B11" s="10" t="s">
        <v>126</v>
      </c>
      <c r="C11" s="10" t="s">
        <v>128</v>
      </c>
      <c r="D11" s="10" t="s">
        <v>94</v>
      </c>
      <c r="E11" s="11" t="s">
        <v>1430</v>
      </c>
      <c r="F11" s="11" t="s">
        <v>1431</v>
      </c>
    </row>
    <row r="12" customFormat="false" ht="26.85" hidden="false" customHeight="false" outlineLevel="0" collapsed="false">
      <c r="A12" s="10" t="s">
        <v>130</v>
      </c>
      <c r="B12" s="10" t="s">
        <v>130</v>
      </c>
      <c r="C12" s="11" t="s">
        <v>131</v>
      </c>
      <c r="D12" s="10" t="s">
        <v>94</v>
      </c>
      <c r="E12" s="11" t="s">
        <v>1430</v>
      </c>
      <c r="F12" s="11" t="s">
        <v>1431</v>
      </c>
    </row>
    <row r="13" customFormat="false" ht="26.85" hidden="false" customHeight="false" outlineLevel="0" collapsed="false">
      <c r="A13" s="10" t="s">
        <v>135</v>
      </c>
      <c r="B13" s="10" t="s">
        <v>135</v>
      </c>
      <c r="C13" s="11" t="s">
        <v>136</v>
      </c>
      <c r="D13" s="10" t="s">
        <v>94</v>
      </c>
      <c r="E13" s="11" t="s">
        <v>1430</v>
      </c>
      <c r="F13" s="11" t="s">
        <v>1431</v>
      </c>
    </row>
    <row r="14" customFormat="false" ht="26.85" hidden="false" customHeight="false" outlineLevel="0" collapsed="false">
      <c r="A14" s="10" t="s">
        <v>138</v>
      </c>
      <c r="B14" s="10" t="s">
        <v>138</v>
      </c>
      <c r="C14" s="10" t="s">
        <v>139</v>
      </c>
      <c r="D14" s="10" t="s">
        <v>94</v>
      </c>
      <c r="E14" s="11" t="s">
        <v>1430</v>
      </c>
      <c r="F14" s="11" t="s">
        <v>1431</v>
      </c>
    </row>
    <row r="15" customFormat="false" ht="26.85" hidden="false" customHeight="false" outlineLevel="0" collapsed="false">
      <c r="A15" s="10" t="s">
        <v>141</v>
      </c>
      <c r="B15" s="10" t="s">
        <v>141</v>
      </c>
      <c r="C15" s="11" t="s">
        <v>142</v>
      </c>
      <c r="D15" s="10" t="s">
        <v>94</v>
      </c>
      <c r="E15" s="11" t="s">
        <v>1430</v>
      </c>
      <c r="F15" s="11" t="s">
        <v>1431</v>
      </c>
    </row>
    <row r="16" customFormat="false" ht="26.85" hidden="false" customHeight="false" outlineLevel="0" collapsed="false">
      <c r="A16" s="10" t="s">
        <v>144</v>
      </c>
      <c r="B16" s="10" t="s">
        <v>144</v>
      </c>
      <c r="C16" s="10" t="s">
        <v>146</v>
      </c>
      <c r="D16" s="10" t="s">
        <v>94</v>
      </c>
      <c r="E16" s="11" t="s">
        <v>1430</v>
      </c>
      <c r="F16" s="11" t="s">
        <v>1431</v>
      </c>
    </row>
    <row r="17" customFormat="false" ht="26.85" hidden="false" customHeight="false" outlineLevel="0" collapsed="false">
      <c r="A17" s="10" t="s">
        <v>148</v>
      </c>
      <c r="B17" s="10" t="s">
        <v>148</v>
      </c>
      <c r="C17" s="10" t="s">
        <v>149</v>
      </c>
      <c r="D17" s="10" t="s">
        <v>94</v>
      </c>
      <c r="E17" s="11" t="s">
        <v>1430</v>
      </c>
      <c r="F17" s="11" t="s">
        <v>1431</v>
      </c>
    </row>
    <row r="18" customFormat="false" ht="26.85" hidden="false" customHeight="false" outlineLevel="0" collapsed="false">
      <c r="A18" s="10" t="s">
        <v>151</v>
      </c>
      <c r="B18" s="10" t="s">
        <v>151</v>
      </c>
      <c r="C18" s="10" t="s">
        <v>152</v>
      </c>
      <c r="D18" s="10" t="s">
        <v>94</v>
      </c>
      <c r="E18" s="11" t="s">
        <v>1430</v>
      </c>
      <c r="F18" s="11" t="s">
        <v>1431</v>
      </c>
    </row>
    <row r="19" customFormat="false" ht="26.85" hidden="false" customHeight="false" outlineLevel="0" collapsed="false">
      <c r="A19" s="10" t="s">
        <v>154</v>
      </c>
      <c r="B19" s="10" t="s">
        <v>154</v>
      </c>
      <c r="C19" s="10" t="s">
        <v>155</v>
      </c>
      <c r="D19" s="10" t="s">
        <v>94</v>
      </c>
      <c r="E19" s="11" t="s">
        <v>1430</v>
      </c>
      <c r="F19" s="11" t="s">
        <v>1431</v>
      </c>
    </row>
    <row r="20" customFormat="false" ht="26.85" hidden="false" customHeight="false" outlineLevel="0" collapsed="false">
      <c r="A20" s="10" t="s">
        <v>157</v>
      </c>
      <c r="B20" s="10" t="s">
        <v>157</v>
      </c>
      <c r="C20" s="11" t="s">
        <v>158</v>
      </c>
      <c r="D20" s="10" t="s">
        <v>94</v>
      </c>
      <c r="E20" s="11" t="s">
        <v>1430</v>
      </c>
      <c r="F20" s="11" t="s">
        <v>1431</v>
      </c>
    </row>
    <row r="21" customFormat="false" ht="26.85" hidden="false" customHeight="false" outlineLevel="0" collapsed="false">
      <c r="A21" s="10" t="s">
        <v>160</v>
      </c>
      <c r="B21" s="10" t="s">
        <v>160</v>
      </c>
      <c r="C21" s="11" t="s">
        <v>161</v>
      </c>
      <c r="D21" s="10" t="s">
        <v>94</v>
      </c>
      <c r="E21" s="11" t="s">
        <v>1430</v>
      </c>
      <c r="F21" s="11" t="s">
        <v>1431</v>
      </c>
    </row>
    <row r="22" customFormat="false" ht="26.85" hidden="false" customHeight="false" outlineLevel="0" collapsed="false">
      <c r="A22" s="10" t="s">
        <v>163</v>
      </c>
      <c r="B22" s="10" t="s">
        <v>163</v>
      </c>
      <c r="C22" s="11" t="s">
        <v>164</v>
      </c>
      <c r="D22" s="10" t="s">
        <v>94</v>
      </c>
      <c r="E22" s="11" t="s">
        <v>1430</v>
      </c>
      <c r="F22" s="11" t="s">
        <v>1431</v>
      </c>
    </row>
    <row r="23" customFormat="false" ht="26.85" hidden="false" customHeight="false" outlineLevel="0" collapsed="false">
      <c r="A23" s="10" t="s">
        <v>167</v>
      </c>
      <c r="B23" s="10" t="s">
        <v>167</v>
      </c>
      <c r="C23" s="10" t="s">
        <v>168</v>
      </c>
      <c r="D23" s="10" t="s">
        <v>94</v>
      </c>
      <c r="E23" s="11" t="s">
        <v>1430</v>
      </c>
      <c r="F23" s="11" t="s">
        <v>1431</v>
      </c>
    </row>
    <row r="24" customFormat="false" ht="26.85" hidden="false" customHeight="false" outlineLevel="0" collapsed="false">
      <c r="A24" s="10" t="s">
        <v>170</v>
      </c>
      <c r="B24" s="10" t="s">
        <v>170</v>
      </c>
      <c r="C24" s="10" t="s">
        <v>172</v>
      </c>
      <c r="D24" s="10" t="s">
        <v>94</v>
      </c>
      <c r="E24" s="11" t="s">
        <v>1430</v>
      </c>
      <c r="F24" s="11" t="s">
        <v>1431</v>
      </c>
    </row>
    <row r="25" customFormat="false" ht="26.85" hidden="false" customHeight="false" outlineLevel="0" collapsed="false">
      <c r="A25" s="10" t="s">
        <v>174</v>
      </c>
      <c r="B25" s="10" t="s">
        <v>174</v>
      </c>
      <c r="C25" s="11" t="s">
        <v>175</v>
      </c>
      <c r="D25" s="10" t="s">
        <v>94</v>
      </c>
      <c r="E25" s="11" t="s">
        <v>1430</v>
      </c>
      <c r="F25" s="11" t="s">
        <v>1431</v>
      </c>
    </row>
    <row r="26" customFormat="false" ht="26.85" hidden="false" customHeight="false" outlineLevel="0" collapsed="false">
      <c r="A26" s="10" t="s">
        <v>177</v>
      </c>
      <c r="B26" s="10" t="s">
        <v>177</v>
      </c>
      <c r="C26" s="11" t="s">
        <v>178</v>
      </c>
      <c r="D26" s="10" t="s">
        <v>94</v>
      </c>
      <c r="E26" s="11" t="s">
        <v>1430</v>
      </c>
      <c r="F26" s="11" t="s">
        <v>1431</v>
      </c>
    </row>
    <row r="27" customFormat="false" ht="26.85" hidden="false" customHeight="false" outlineLevel="0" collapsed="false">
      <c r="A27" s="10" t="s">
        <v>180</v>
      </c>
      <c r="B27" s="10" t="s">
        <v>180</v>
      </c>
      <c r="C27" s="10" t="s">
        <v>181</v>
      </c>
      <c r="D27" s="10" t="s">
        <v>94</v>
      </c>
      <c r="E27" s="11" t="s">
        <v>1430</v>
      </c>
      <c r="F27" s="11" t="s">
        <v>1431</v>
      </c>
    </row>
    <row r="28" customFormat="false" ht="26.85" hidden="false" customHeight="false" outlineLevel="0" collapsed="false">
      <c r="A28" s="10" t="s">
        <v>183</v>
      </c>
      <c r="B28" s="10" t="s">
        <v>183</v>
      </c>
      <c r="C28" s="11" t="s">
        <v>184</v>
      </c>
      <c r="D28" s="10" t="s">
        <v>94</v>
      </c>
      <c r="E28" s="11" t="s">
        <v>1430</v>
      </c>
      <c r="F28" s="11" t="s">
        <v>1431</v>
      </c>
    </row>
    <row r="29" customFormat="false" ht="26.85" hidden="false" customHeight="false" outlineLevel="0" collapsed="false">
      <c r="A29" s="10" t="s">
        <v>186</v>
      </c>
      <c r="B29" s="10" t="s">
        <v>186</v>
      </c>
      <c r="C29" s="11" t="s">
        <v>188</v>
      </c>
      <c r="D29" s="10" t="s">
        <v>94</v>
      </c>
      <c r="E29" s="11" t="s">
        <v>1430</v>
      </c>
      <c r="F29" s="11" t="s">
        <v>1431</v>
      </c>
    </row>
    <row r="30" customFormat="false" ht="26.85" hidden="false" customHeight="false" outlineLevel="0" collapsed="false">
      <c r="A30" s="10" t="s">
        <v>190</v>
      </c>
      <c r="B30" s="10" t="s">
        <v>190</v>
      </c>
      <c r="C30" s="10" t="s">
        <v>191</v>
      </c>
      <c r="D30" s="10" t="s">
        <v>94</v>
      </c>
      <c r="E30" s="11" t="s">
        <v>1430</v>
      </c>
      <c r="F30" s="11" t="s">
        <v>1431</v>
      </c>
    </row>
    <row r="31" customFormat="false" ht="26.85" hidden="false" customHeight="false" outlineLevel="0" collapsed="false">
      <c r="A31" s="10" t="s">
        <v>193</v>
      </c>
      <c r="B31" s="10" t="s">
        <v>193</v>
      </c>
      <c r="C31" s="11" t="s">
        <v>194</v>
      </c>
      <c r="D31" s="10" t="s">
        <v>94</v>
      </c>
      <c r="E31" s="11" t="s">
        <v>1430</v>
      </c>
      <c r="F31" s="11" t="s">
        <v>1431</v>
      </c>
    </row>
    <row r="32" customFormat="false" ht="26.85" hidden="false" customHeight="false" outlineLevel="0" collapsed="false">
      <c r="A32" s="10" t="s">
        <v>196</v>
      </c>
      <c r="B32" s="10" t="s">
        <v>196</v>
      </c>
      <c r="C32" s="10" t="s">
        <v>197</v>
      </c>
      <c r="D32" s="10" t="s">
        <v>94</v>
      </c>
      <c r="E32" s="11" t="s">
        <v>1430</v>
      </c>
      <c r="F32" s="11" t="s">
        <v>1431</v>
      </c>
    </row>
    <row r="33" customFormat="false" ht="26.85" hidden="false" customHeight="false" outlineLevel="0" collapsed="false">
      <c r="A33" s="10" t="s">
        <v>199</v>
      </c>
      <c r="B33" s="10" t="s">
        <v>199</v>
      </c>
      <c r="C33" s="11" t="s">
        <v>201</v>
      </c>
      <c r="D33" s="10" t="s">
        <v>94</v>
      </c>
      <c r="E33" s="11" t="s">
        <v>1430</v>
      </c>
      <c r="F33" s="11" t="s">
        <v>1431</v>
      </c>
    </row>
    <row r="34" customFormat="false" ht="26.85" hidden="false" customHeight="false" outlineLevel="0" collapsed="false">
      <c r="A34" s="10" t="s">
        <v>204</v>
      </c>
      <c r="B34" s="10" t="s">
        <v>204</v>
      </c>
      <c r="C34" s="11" t="s">
        <v>205</v>
      </c>
      <c r="D34" s="10" t="s">
        <v>94</v>
      </c>
      <c r="E34" s="11" t="s">
        <v>1430</v>
      </c>
      <c r="F34" s="11" t="s">
        <v>1431</v>
      </c>
    </row>
    <row r="35" customFormat="false" ht="26.85" hidden="false" customHeight="false" outlineLevel="0" collapsed="false">
      <c r="A35" s="10" t="s">
        <v>207</v>
      </c>
      <c r="B35" s="10" t="s">
        <v>207</v>
      </c>
      <c r="C35" s="10" t="s">
        <v>208</v>
      </c>
      <c r="D35" s="10" t="s">
        <v>94</v>
      </c>
      <c r="E35" s="11" t="s">
        <v>1430</v>
      </c>
      <c r="F35" s="11" t="s">
        <v>1431</v>
      </c>
    </row>
    <row r="36" customFormat="false" ht="26.85" hidden="false" customHeight="false" outlineLevel="0" collapsed="false">
      <c r="A36" s="10" t="s">
        <v>210</v>
      </c>
      <c r="B36" s="10" t="s">
        <v>210</v>
      </c>
      <c r="C36" s="11" t="s">
        <v>211</v>
      </c>
      <c r="D36" s="10" t="s">
        <v>94</v>
      </c>
      <c r="E36" s="11" t="s">
        <v>1430</v>
      </c>
      <c r="F36" s="11" t="s">
        <v>1431</v>
      </c>
    </row>
    <row r="37" customFormat="false" ht="26.85" hidden="false" customHeight="false" outlineLevel="0" collapsed="false">
      <c r="A37" s="10" t="s">
        <v>213</v>
      </c>
      <c r="B37" s="10" t="s">
        <v>213</v>
      </c>
      <c r="C37" s="11" t="s">
        <v>214</v>
      </c>
      <c r="D37" s="10" t="s">
        <v>94</v>
      </c>
      <c r="E37" s="11" t="s">
        <v>1430</v>
      </c>
      <c r="F37" s="11" t="s">
        <v>1431</v>
      </c>
    </row>
    <row r="38" customFormat="false" ht="26.85" hidden="false" customHeight="false" outlineLevel="0" collapsed="false">
      <c r="A38" s="10" t="s">
        <v>216</v>
      </c>
      <c r="B38" s="10" t="s">
        <v>216</v>
      </c>
      <c r="C38" s="10" t="s">
        <v>219</v>
      </c>
      <c r="D38" s="10" t="s">
        <v>217</v>
      </c>
      <c r="E38" s="11" t="s">
        <v>1430</v>
      </c>
      <c r="F38" s="11" t="s">
        <v>1431</v>
      </c>
    </row>
    <row r="39" customFormat="false" ht="26.85" hidden="false" customHeight="false" outlineLevel="0" collapsed="false">
      <c r="A39" s="10" t="s">
        <v>221</v>
      </c>
      <c r="B39" s="10" t="s">
        <v>221</v>
      </c>
      <c r="C39" s="10" t="s">
        <v>222</v>
      </c>
      <c r="D39" s="10" t="s">
        <v>217</v>
      </c>
      <c r="E39" s="11" t="s">
        <v>1430</v>
      </c>
      <c r="F39" s="11" t="s">
        <v>1431</v>
      </c>
    </row>
    <row r="40" customFormat="false" ht="26.85" hidden="false" customHeight="false" outlineLevel="0" collapsed="false">
      <c r="A40" s="10" t="s">
        <v>224</v>
      </c>
      <c r="B40" s="10" t="s">
        <v>224</v>
      </c>
      <c r="C40" s="10" t="s">
        <v>225</v>
      </c>
      <c r="D40" s="10" t="s">
        <v>217</v>
      </c>
      <c r="E40" s="11" t="s">
        <v>1430</v>
      </c>
      <c r="F40" s="11" t="s">
        <v>1431</v>
      </c>
    </row>
    <row r="41" customFormat="false" ht="26.85" hidden="false" customHeight="false" outlineLevel="0" collapsed="false">
      <c r="A41" s="10" t="s">
        <v>227</v>
      </c>
      <c r="B41" s="10" t="s">
        <v>227</v>
      </c>
      <c r="C41" s="10" t="s">
        <v>228</v>
      </c>
      <c r="D41" s="10" t="s">
        <v>217</v>
      </c>
      <c r="E41" s="11" t="s">
        <v>1430</v>
      </c>
      <c r="F41" s="11" t="s">
        <v>1431</v>
      </c>
    </row>
    <row r="42" customFormat="false" ht="26.85" hidden="false" customHeight="false" outlineLevel="0" collapsed="false">
      <c r="A42" s="10" t="s">
        <v>230</v>
      </c>
      <c r="B42" s="10" t="s">
        <v>230</v>
      </c>
      <c r="C42" s="11" t="s">
        <v>231</v>
      </c>
      <c r="D42" s="10" t="s">
        <v>217</v>
      </c>
      <c r="E42" s="11" t="s">
        <v>1430</v>
      </c>
      <c r="F42" s="11" t="s">
        <v>1431</v>
      </c>
    </row>
    <row r="43" customFormat="false" ht="26.85" hidden="false" customHeight="false" outlineLevel="0" collapsed="false">
      <c r="A43" s="10" t="s">
        <v>234</v>
      </c>
      <c r="B43" s="10" t="s">
        <v>234</v>
      </c>
      <c r="C43" s="10" t="s">
        <v>235</v>
      </c>
      <c r="D43" s="10" t="s">
        <v>217</v>
      </c>
      <c r="E43" s="11" t="s">
        <v>1430</v>
      </c>
      <c r="F43" s="11" t="s">
        <v>1431</v>
      </c>
    </row>
    <row r="44" customFormat="false" ht="26.85" hidden="false" customHeight="false" outlineLevel="0" collapsed="false">
      <c r="A44" s="10" t="s">
        <v>237</v>
      </c>
      <c r="B44" s="10" t="s">
        <v>237</v>
      </c>
      <c r="C44" s="11" t="s">
        <v>238</v>
      </c>
      <c r="D44" s="10" t="s">
        <v>217</v>
      </c>
      <c r="E44" s="11" t="s">
        <v>1430</v>
      </c>
      <c r="F44" s="11" t="s">
        <v>1431</v>
      </c>
    </row>
    <row r="45" customFormat="false" ht="26.85" hidden="false" customHeight="false" outlineLevel="0" collapsed="false">
      <c r="A45" s="10" t="s">
        <v>240</v>
      </c>
      <c r="B45" s="10" t="s">
        <v>240</v>
      </c>
      <c r="C45" s="11" t="s">
        <v>241</v>
      </c>
      <c r="D45" s="10" t="s">
        <v>217</v>
      </c>
      <c r="E45" s="11" t="s">
        <v>1430</v>
      </c>
      <c r="F45" s="11" t="s">
        <v>1431</v>
      </c>
    </row>
    <row r="46" customFormat="false" ht="26.85" hidden="false" customHeight="false" outlineLevel="0" collapsed="false">
      <c r="A46" s="10" t="s">
        <v>243</v>
      </c>
      <c r="B46" s="10" t="s">
        <v>243</v>
      </c>
      <c r="C46" s="10" t="s">
        <v>245</v>
      </c>
      <c r="D46" s="10" t="s">
        <v>217</v>
      </c>
      <c r="E46" s="11" t="s">
        <v>1430</v>
      </c>
      <c r="F46" s="11" t="s">
        <v>1431</v>
      </c>
    </row>
    <row r="47" customFormat="false" ht="26.85" hidden="false" customHeight="false" outlineLevel="0" collapsed="false">
      <c r="A47" s="10" t="s">
        <v>247</v>
      </c>
      <c r="B47" s="10" t="s">
        <v>247</v>
      </c>
      <c r="C47" s="11" t="s">
        <v>248</v>
      </c>
      <c r="D47" s="10" t="s">
        <v>217</v>
      </c>
      <c r="E47" s="11" t="s">
        <v>1430</v>
      </c>
      <c r="F47" s="11" t="s">
        <v>1431</v>
      </c>
    </row>
    <row r="48" customFormat="false" ht="26.85" hidden="false" customHeight="false" outlineLevel="0" collapsed="false">
      <c r="A48" s="10" t="s">
        <v>250</v>
      </c>
      <c r="B48" s="10" t="s">
        <v>250</v>
      </c>
      <c r="C48" s="10" t="s">
        <v>251</v>
      </c>
      <c r="D48" s="10" t="s">
        <v>217</v>
      </c>
      <c r="E48" s="11" t="s">
        <v>1430</v>
      </c>
      <c r="F48" s="11" t="s">
        <v>1431</v>
      </c>
    </row>
    <row r="49" customFormat="false" ht="26.85" hidden="false" customHeight="false" outlineLevel="0" collapsed="false">
      <c r="A49" s="10" t="s">
        <v>253</v>
      </c>
      <c r="B49" s="10" t="s">
        <v>253</v>
      </c>
      <c r="C49" s="11" t="s">
        <v>254</v>
      </c>
      <c r="D49" s="10" t="s">
        <v>217</v>
      </c>
      <c r="E49" s="11" t="s">
        <v>1430</v>
      </c>
      <c r="F49" s="11" t="s">
        <v>1431</v>
      </c>
    </row>
    <row r="50" customFormat="false" ht="26.85" hidden="false" customHeight="false" outlineLevel="0" collapsed="false">
      <c r="A50" s="10" t="s">
        <v>256</v>
      </c>
      <c r="B50" s="10" t="s">
        <v>256</v>
      </c>
      <c r="C50" s="10" t="s">
        <v>258</v>
      </c>
      <c r="D50" s="10" t="s">
        <v>217</v>
      </c>
      <c r="E50" s="11" t="s">
        <v>1430</v>
      </c>
      <c r="F50" s="11" t="s">
        <v>1431</v>
      </c>
    </row>
    <row r="51" customFormat="false" ht="26.85" hidden="false" customHeight="false" outlineLevel="0" collapsed="false">
      <c r="A51" s="10" t="s">
        <v>260</v>
      </c>
      <c r="B51" s="10" t="s">
        <v>260</v>
      </c>
      <c r="C51" s="10" t="s">
        <v>261</v>
      </c>
      <c r="D51" s="10" t="s">
        <v>217</v>
      </c>
      <c r="E51" s="11" t="s">
        <v>1430</v>
      </c>
      <c r="F51" s="11" t="s">
        <v>1431</v>
      </c>
    </row>
    <row r="52" customFormat="false" ht="26.85" hidden="false" customHeight="false" outlineLevel="0" collapsed="false">
      <c r="A52" s="10" t="s">
        <v>263</v>
      </c>
      <c r="B52" s="10" t="s">
        <v>263</v>
      </c>
      <c r="C52" s="10" t="s">
        <v>264</v>
      </c>
      <c r="D52" s="10" t="s">
        <v>217</v>
      </c>
      <c r="E52" s="11" t="s">
        <v>1430</v>
      </c>
      <c r="F52" s="11" t="s">
        <v>1431</v>
      </c>
    </row>
    <row r="53" customFormat="false" ht="26.85" hidden="false" customHeight="false" outlineLevel="0" collapsed="false">
      <c r="A53" s="10" t="s">
        <v>266</v>
      </c>
      <c r="B53" s="10" t="s">
        <v>266</v>
      </c>
      <c r="C53" s="11" t="s">
        <v>267</v>
      </c>
      <c r="D53" s="10" t="s">
        <v>217</v>
      </c>
      <c r="E53" s="11" t="s">
        <v>1430</v>
      </c>
      <c r="F53" s="11" t="s">
        <v>1431</v>
      </c>
    </row>
    <row r="54" customFormat="false" ht="26.85" hidden="false" customHeight="false" outlineLevel="0" collapsed="false">
      <c r="A54" s="10" t="s">
        <v>269</v>
      </c>
      <c r="B54" s="10" t="s">
        <v>269</v>
      </c>
      <c r="C54" s="10" t="s">
        <v>270</v>
      </c>
      <c r="D54" s="10" t="s">
        <v>217</v>
      </c>
      <c r="E54" s="11" t="s">
        <v>1430</v>
      </c>
      <c r="F54" s="11" t="s">
        <v>1431</v>
      </c>
    </row>
    <row r="55" customFormat="false" ht="26.85" hidden="false" customHeight="false" outlineLevel="0" collapsed="false">
      <c r="A55" s="10" t="s">
        <v>272</v>
      </c>
      <c r="B55" s="10" t="s">
        <v>272</v>
      </c>
      <c r="C55" s="10" t="s">
        <v>273</v>
      </c>
      <c r="D55" s="10" t="s">
        <v>217</v>
      </c>
      <c r="E55" s="11" t="s">
        <v>1430</v>
      </c>
      <c r="F55" s="11" t="s">
        <v>1431</v>
      </c>
    </row>
    <row r="56" customFormat="false" ht="26.85" hidden="false" customHeight="false" outlineLevel="0" collapsed="false">
      <c r="A56" s="10" t="s">
        <v>275</v>
      </c>
      <c r="B56" s="10" t="s">
        <v>275</v>
      </c>
      <c r="C56" s="10" t="s">
        <v>276</v>
      </c>
      <c r="D56" s="10" t="s">
        <v>217</v>
      </c>
      <c r="E56" s="11" t="s">
        <v>1430</v>
      </c>
      <c r="F56" s="11" t="s">
        <v>1431</v>
      </c>
    </row>
    <row r="57" customFormat="false" ht="26.85" hidden="false" customHeight="false" outlineLevel="0" collapsed="false">
      <c r="A57" s="10" t="s">
        <v>278</v>
      </c>
      <c r="B57" s="10" t="s">
        <v>278</v>
      </c>
      <c r="C57" s="11" t="s">
        <v>279</v>
      </c>
      <c r="D57" s="10" t="s">
        <v>217</v>
      </c>
      <c r="E57" s="11" t="s">
        <v>1430</v>
      </c>
      <c r="F57" s="11" t="s">
        <v>1431</v>
      </c>
    </row>
    <row r="58" customFormat="false" ht="26.85" hidden="false" customHeight="false" outlineLevel="0" collapsed="false">
      <c r="A58" s="10" t="s">
        <v>281</v>
      </c>
      <c r="B58" s="10" t="s">
        <v>281</v>
      </c>
      <c r="C58" s="11" t="s">
        <v>283</v>
      </c>
      <c r="D58" s="10" t="s">
        <v>217</v>
      </c>
      <c r="E58" s="11" t="s">
        <v>1430</v>
      </c>
      <c r="F58" s="11" t="s">
        <v>1431</v>
      </c>
    </row>
    <row r="59" customFormat="false" ht="26.85" hidden="false" customHeight="false" outlineLevel="0" collapsed="false">
      <c r="A59" s="10" t="s">
        <v>286</v>
      </c>
      <c r="B59" s="10" t="s">
        <v>286</v>
      </c>
      <c r="C59" s="11" t="s">
        <v>287</v>
      </c>
      <c r="D59" s="10" t="s">
        <v>217</v>
      </c>
      <c r="E59" s="11" t="s">
        <v>1430</v>
      </c>
      <c r="F59" s="11" t="s">
        <v>1431</v>
      </c>
    </row>
    <row r="60" customFormat="false" ht="26.85" hidden="false" customHeight="false" outlineLevel="0" collapsed="false">
      <c r="A60" s="10" t="s">
        <v>289</v>
      </c>
      <c r="B60" s="10" t="s">
        <v>289</v>
      </c>
      <c r="C60" s="11" t="s">
        <v>290</v>
      </c>
      <c r="D60" s="10" t="s">
        <v>217</v>
      </c>
      <c r="E60" s="11" t="s">
        <v>1430</v>
      </c>
      <c r="F60" s="11" t="s">
        <v>1431</v>
      </c>
    </row>
    <row r="61" customFormat="false" ht="26.85" hidden="false" customHeight="false" outlineLevel="0" collapsed="false">
      <c r="A61" s="10" t="s">
        <v>292</v>
      </c>
      <c r="B61" s="10" t="s">
        <v>292</v>
      </c>
      <c r="C61" s="11" t="s">
        <v>293</v>
      </c>
      <c r="D61" s="10" t="s">
        <v>217</v>
      </c>
      <c r="E61" s="11" t="s">
        <v>1430</v>
      </c>
      <c r="F61" s="11" t="s">
        <v>1431</v>
      </c>
    </row>
    <row r="62" customFormat="false" ht="26.85" hidden="false" customHeight="false" outlineLevel="0" collapsed="false">
      <c r="A62" s="10" t="s">
        <v>295</v>
      </c>
      <c r="B62" s="10" t="s">
        <v>295</v>
      </c>
      <c r="C62" s="11" t="s">
        <v>296</v>
      </c>
      <c r="D62" s="10" t="s">
        <v>217</v>
      </c>
      <c r="E62" s="11" t="s">
        <v>1430</v>
      </c>
      <c r="F62" s="11" t="s">
        <v>1431</v>
      </c>
    </row>
    <row r="63" customFormat="false" ht="26.85" hidden="false" customHeight="false" outlineLevel="0" collapsed="false">
      <c r="A63" s="10" t="s">
        <v>298</v>
      </c>
      <c r="B63" s="10" t="s">
        <v>298</v>
      </c>
      <c r="C63" s="10" t="s">
        <v>300</v>
      </c>
      <c r="D63" s="10" t="s">
        <v>217</v>
      </c>
      <c r="E63" s="11" t="s">
        <v>1430</v>
      </c>
      <c r="F63" s="11" t="s">
        <v>1431</v>
      </c>
    </row>
    <row r="64" customFormat="false" ht="26.85" hidden="false" customHeight="false" outlineLevel="0" collapsed="false">
      <c r="A64" s="10" t="s">
        <v>302</v>
      </c>
      <c r="B64" s="10" t="s">
        <v>302</v>
      </c>
      <c r="C64" s="11" t="s">
        <v>303</v>
      </c>
      <c r="D64" s="10" t="s">
        <v>217</v>
      </c>
      <c r="E64" s="11" t="s">
        <v>1430</v>
      </c>
      <c r="F64" s="11" t="s">
        <v>1431</v>
      </c>
    </row>
    <row r="65" customFormat="false" ht="26.85" hidden="false" customHeight="false" outlineLevel="0" collapsed="false">
      <c r="A65" s="10" t="s">
        <v>305</v>
      </c>
      <c r="B65" s="10" t="s">
        <v>305</v>
      </c>
      <c r="C65" s="10" t="s">
        <v>306</v>
      </c>
      <c r="D65" s="10" t="s">
        <v>217</v>
      </c>
      <c r="E65" s="11" t="s">
        <v>1430</v>
      </c>
      <c r="F65" s="11" t="s">
        <v>1431</v>
      </c>
    </row>
    <row r="66" customFormat="false" ht="26.85" hidden="false" customHeight="false" outlineLevel="0" collapsed="false">
      <c r="A66" s="10" t="s">
        <v>308</v>
      </c>
      <c r="B66" s="10" t="s">
        <v>308</v>
      </c>
      <c r="C66" s="10" t="s">
        <v>309</v>
      </c>
      <c r="D66" s="10" t="s">
        <v>217</v>
      </c>
      <c r="E66" s="11" t="s">
        <v>1430</v>
      </c>
      <c r="F66" s="11" t="s">
        <v>1431</v>
      </c>
    </row>
    <row r="67" customFormat="false" ht="26.85" hidden="false" customHeight="false" outlineLevel="0" collapsed="false">
      <c r="A67" s="10" t="s">
        <v>311</v>
      </c>
      <c r="B67" s="10" t="s">
        <v>311</v>
      </c>
      <c r="C67" s="11" t="s">
        <v>314</v>
      </c>
      <c r="D67" s="10" t="s">
        <v>312</v>
      </c>
      <c r="E67" s="11" t="s">
        <v>1430</v>
      </c>
      <c r="F67" s="11" t="s">
        <v>1431</v>
      </c>
    </row>
    <row r="68" customFormat="false" ht="26.85" hidden="false" customHeight="false" outlineLevel="0" collapsed="false">
      <c r="A68" s="10" t="s">
        <v>316</v>
      </c>
      <c r="B68" s="10" t="s">
        <v>316</v>
      </c>
      <c r="C68" s="10" t="s">
        <v>317</v>
      </c>
      <c r="D68" s="10" t="s">
        <v>312</v>
      </c>
      <c r="E68" s="11" t="s">
        <v>1430</v>
      </c>
      <c r="F68" s="11" t="s">
        <v>1431</v>
      </c>
    </row>
    <row r="69" customFormat="false" ht="26.85" hidden="false" customHeight="false" outlineLevel="0" collapsed="false">
      <c r="A69" s="10" t="s">
        <v>319</v>
      </c>
      <c r="B69" s="10" t="s">
        <v>319</v>
      </c>
      <c r="C69" s="11" t="s">
        <v>320</v>
      </c>
      <c r="D69" s="10" t="s">
        <v>312</v>
      </c>
      <c r="E69" s="11" t="s">
        <v>1430</v>
      </c>
      <c r="F69" s="11" t="s">
        <v>1431</v>
      </c>
    </row>
    <row r="70" customFormat="false" ht="26.85" hidden="false" customHeight="false" outlineLevel="0" collapsed="false">
      <c r="A70" s="10" t="s">
        <v>322</v>
      </c>
      <c r="B70" s="10" t="s">
        <v>322</v>
      </c>
      <c r="C70" s="11" t="s">
        <v>323</v>
      </c>
      <c r="D70" s="10" t="s">
        <v>312</v>
      </c>
      <c r="E70" s="11" t="s">
        <v>1430</v>
      </c>
      <c r="F70" s="11" t="s">
        <v>1431</v>
      </c>
    </row>
    <row r="71" customFormat="false" ht="26.85" hidden="false" customHeight="false" outlineLevel="0" collapsed="false">
      <c r="A71" s="10" t="s">
        <v>325</v>
      </c>
      <c r="B71" s="10" t="s">
        <v>325</v>
      </c>
      <c r="C71" s="10" t="s">
        <v>326</v>
      </c>
      <c r="D71" s="10" t="s">
        <v>312</v>
      </c>
      <c r="E71" s="11" t="s">
        <v>1430</v>
      </c>
      <c r="F71" s="11" t="s">
        <v>1431</v>
      </c>
    </row>
    <row r="72" customFormat="false" ht="26.85" hidden="false" customHeight="false" outlineLevel="0" collapsed="false">
      <c r="A72" s="10" t="s">
        <v>328</v>
      </c>
      <c r="B72" s="10" t="s">
        <v>328</v>
      </c>
      <c r="C72" s="10" t="s">
        <v>330</v>
      </c>
      <c r="D72" s="10" t="s">
        <v>312</v>
      </c>
      <c r="E72" s="11" t="s">
        <v>1430</v>
      </c>
      <c r="F72" s="11" t="s">
        <v>1431</v>
      </c>
    </row>
    <row r="73" customFormat="false" ht="26.85" hidden="false" customHeight="false" outlineLevel="0" collapsed="false">
      <c r="A73" s="10" t="s">
        <v>332</v>
      </c>
      <c r="B73" s="10" t="s">
        <v>332</v>
      </c>
      <c r="C73" s="11" t="s">
        <v>333</v>
      </c>
      <c r="D73" s="10" t="s">
        <v>312</v>
      </c>
      <c r="E73" s="11" t="s">
        <v>1430</v>
      </c>
      <c r="F73" s="11" t="s">
        <v>1431</v>
      </c>
    </row>
    <row r="74" customFormat="false" ht="26.85" hidden="false" customHeight="false" outlineLevel="0" collapsed="false">
      <c r="A74" s="10" t="s">
        <v>335</v>
      </c>
      <c r="B74" s="10" t="s">
        <v>335</v>
      </c>
      <c r="C74" s="11" t="s">
        <v>336</v>
      </c>
      <c r="D74" s="10" t="s">
        <v>312</v>
      </c>
      <c r="E74" s="11" t="s">
        <v>1430</v>
      </c>
      <c r="F74" s="11" t="s">
        <v>1431</v>
      </c>
    </row>
    <row r="75" customFormat="false" ht="26.85" hidden="false" customHeight="false" outlineLevel="0" collapsed="false">
      <c r="A75" s="10" t="s">
        <v>338</v>
      </c>
      <c r="B75" s="10" t="s">
        <v>338</v>
      </c>
      <c r="C75" s="10" t="s">
        <v>339</v>
      </c>
      <c r="D75" s="10" t="s">
        <v>312</v>
      </c>
      <c r="E75" s="11" t="s">
        <v>1430</v>
      </c>
      <c r="F75" s="11" t="s">
        <v>1431</v>
      </c>
    </row>
    <row r="76" customFormat="false" ht="26.85" hidden="false" customHeight="false" outlineLevel="0" collapsed="false">
      <c r="A76" s="10" t="s">
        <v>341</v>
      </c>
      <c r="B76" s="10" t="s">
        <v>341</v>
      </c>
      <c r="C76" s="11" t="s">
        <v>342</v>
      </c>
      <c r="D76" s="10" t="s">
        <v>312</v>
      </c>
      <c r="E76" s="11" t="s">
        <v>1430</v>
      </c>
      <c r="F76" s="11" t="s">
        <v>1431</v>
      </c>
    </row>
    <row r="77" customFormat="false" ht="26.85" hidden="false" customHeight="false" outlineLevel="0" collapsed="false">
      <c r="A77" s="10" t="s">
        <v>344</v>
      </c>
      <c r="B77" s="10" t="s">
        <v>344</v>
      </c>
      <c r="C77" s="11" t="s">
        <v>345</v>
      </c>
      <c r="D77" s="10" t="s">
        <v>312</v>
      </c>
      <c r="E77" s="11" t="s">
        <v>1430</v>
      </c>
      <c r="F77" s="11" t="s">
        <v>1431</v>
      </c>
    </row>
    <row r="78" customFormat="false" ht="26.85" hidden="false" customHeight="false" outlineLevel="0" collapsed="false">
      <c r="A78" s="10" t="s">
        <v>347</v>
      </c>
      <c r="B78" s="10" t="s">
        <v>347</v>
      </c>
      <c r="C78" s="10" t="s">
        <v>348</v>
      </c>
      <c r="D78" s="10" t="s">
        <v>312</v>
      </c>
      <c r="E78" s="11" t="s">
        <v>1430</v>
      </c>
      <c r="F78" s="11" t="s">
        <v>1431</v>
      </c>
    </row>
    <row r="79" customFormat="false" ht="26.85" hidden="false" customHeight="false" outlineLevel="0" collapsed="false">
      <c r="A79" s="10" t="s">
        <v>350</v>
      </c>
      <c r="B79" s="10" t="s">
        <v>350</v>
      </c>
      <c r="C79" s="10" t="s">
        <v>352</v>
      </c>
      <c r="D79" s="10" t="s">
        <v>312</v>
      </c>
      <c r="E79" s="11" t="s">
        <v>1430</v>
      </c>
      <c r="F79" s="11" t="s">
        <v>1431</v>
      </c>
    </row>
    <row r="80" customFormat="false" ht="26.85" hidden="false" customHeight="false" outlineLevel="0" collapsed="false">
      <c r="A80" s="10" t="s">
        <v>354</v>
      </c>
      <c r="B80" s="10" t="s">
        <v>354</v>
      </c>
      <c r="C80" s="10" t="s">
        <v>355</v>
      </c>
      <c r="D80" s="10" t="s">
        <v>312</v>
      </c>
      <c r="E80" s="11" t="s">
        <v>1430</v>
      </c>
      <c r="F80" s="11" t="s">
        <v>1431</v>
      </c>
    </row>
    <row r="81" customFormat="false" ht="26.85" hidden="false" customHeight="false" outlineLevel="0" collapsed="false">
      <c r="A81" s="10" t="s">
        <v>357</v>
      </c>
      <c r="B81" s="10" t="s">
        <v>357</v>
      </c>
      <c r="C81" s="10" t="s">
        <v>358</v>
      </c>
      <c r="D81" s="10" t="s">
        <v>312</v>
      </c>
      <c r="E81" s="11" t="s">
        <v>1430</v>
      </c>
      <c r="F81" s="11" t="s">
        <v>1431</v>
      </c>
    </row>
    <row r="82" customFormat="false" ht="26.85" hidden="false" customHeight="false" outlineLevel="0" collapsed="false">
      <c r="A82" s="10" t="s">
        <v>360</v>
      </c>
      <c r="B82" s="10" t="s">
        <v>360</v>
      </c>
      <c r="C82" s="11" t="s">
        <v>361</v>
      </c>
      <c r="D82" s="10" t="s">
        <v>312</v>
      </c>
      <c r="E82" s="11" t="s">
        <v>1430</v>
      </c>
      <c r="F82" s="11" t="s">
        <v>1431</v>
      </c>
    </row>
    <row r="83" customFormat="false" ht="26.85" hidden="false" customHeight="false" outlineLevel="0" collapsed="false">
      <c r="A83" s="10" t="s">
        <v>363</v>
      </c>
      <c r="B83" s="10" t="s">
        <v>363</v>
      </c>
      <c r="C83" s="11" t="s">
        <v>364</v>
      </c>
      <c r="D83" s="10" t="s">
        <v>312</v>
      </c>
      <c r="E83" s="11" t="s">
        <v>1430</v>
      </c>
      <c r="F83" s="11" t="s">
        <v>1431</v>
      </c>
    </row>
    <row r="84" customFormat="false" ht="26.85" hidden="false" customHeight="false" outlineLevel="0" collapsed="false">
      <c r="A84" s="10" t="s">
        <v>366</v>
      </c>
      <c r="B84" s="10" t="s">
        <v>366</v>
      </c>
      <c r="C84" s="11" t="s">
        <v>367</v>
      </c>
      <c r="D84" s="10" t="s">
        <v>312</v>
      </c>
      <c r="E84" s="11" t="s">
        <v>1430</v>
      </c>
      <c r="F84" s="11" t="s">
        <v>1431</v>
      </c>
    </row>
    <row r="85" customFormat="false" ht="26.85" hidden="false" customHeight="false" outlineLevel="0" collapsed="false">
      <c r="A85" s="10" t="s">
        <v>369</v>
      </c>
      <c r="B85" s="10" t="s">
        <v>369</v>
      </c>
      <c r="C85" s="11" t="s">
        <v>370</v>
      </c>
      <c r="D85" s="10" t="s">
        <v>312</v>
      </c>
      <c r="E85" s="11" t="s">
        <v>1430</v>
      </c>
      <c r="F85" s="11" t="s">
        <v>1431</v>
      </c>
    </row>
    <row r="86" customFormat="false" ht="26.85" hidden="false" customHeight="false" outlineLevel="0" collapsed="false">
      <c r="A86" s="10" t="s">
        <v>372</v>
      </c>
      <c r="B86" s="10" t="s">
        <v>372</v>
      </c>
      <c r="C86" s="10" t="s">
        <v>373</v>
      </c>
      <c r="D86" s="10" t="s">
        <v>312</v>
      </c>
      <c r="E86" s="11" t="s">
        <v>1430</v>
      </c>
      <c r="F86" s="11" t="s">
        <v>1431</v>
      </c>
    </row>
    <row r="87" customFormat="false" ht="26.85" hidden="false" customHeight="false" outlineLevel="0" collapsed="false">
      <c r="A87" s="10" t="s">
        <v>375</v>
      </c>
      <c r="B87" s="10" t="s">
        <v>375</v>
      </c>
      <c r="C87" s="11" t="s">
        <v>377</v>
      </c>
      <c r="D87" s="10" t="s">
        <v>312</v>
      </c>
      <c r="E87" s="11" t="s">
        <v>1430</v>
      </c>
      <c r="F87" s="11" t="s">
        <v>1431</v>
      </c>
    </row>
    <row r="88" customFormat="false" ht="26.85" hidden="false" customHeight="false" outlineLevel="0" collapsed="false">
      <c r="A88" s="10" t="s">
        <v>379</v>
      </c>
      <c r="B88" s="10" t="s">
        <v>379</v>
      </c>
      <c r="C88" s="11" t="s">
        <v>380</v>
      </c>
      <c r="D88" s="10" t="s">
        <v>312</v>
      </c>
      <c r="E88" s="11" t="s">
        <v>1430</v>
      </c>
      <c r="F88" s="11" t="s">
        <v>1431</v>
      </c>
    </row>
    <row r="89" customFormat="false" ht="26.85" hidden="false" customHeight="false" outlineLevel="0" collapsed="false">
      <c r="A89" s="10" t="s">
        <v>382</v>
      </c>
      <c r="B89" s="10" t="s">
        <v>382</v>
      </c>
      <c r="C89" s="11" t="s">
        <v>383</v>
      </c>
      <c r="D89" s="10" t="s">
        <v>312</v>
      </c>
      <c r="E89" s="11" t="s">
        <v>1430</v>
      </c>
      <c r="F89" s="11" t="s">
        <v>1431</v>
      </c>
    </row>
    <row r="90" customFormat="false" ht="26.85" hidden="false" customHeight="false" outlineLevel="0" collapsed="false">
      <c r="A90" s="10" t="s">
        <v>385</v>
      </c>
      <c r="B90" s="10" t="s">
        <v>385</v>
      </c>
      <c r="C90" s="11" t="s">
        <v>386</v>
      </c>
      <c r="D90" s="10" t="s">
        <v>312</v>
      </c>
      <c r="E90" s="11" t="s">
        <v>1430</v>
      </c>
      <c r="F90" s="11" t="s">
        <v>1431</v>
      </c>
    </row>
    <row r="91" customFormat="false" ht="26.85" hidden="false" customHeight="false" outlineLevel="0" collapsed="false">
      <c r="A91" s="10" t="s">
        <v>388</v>
      </c>
      <c r="B91" s="10" t="s">
        <v>388</v>
      </c>
      <c r="C91" s="11" t="s">
        <v>389</v>
      </c>
      <c r="D91" s="10" t="s">
        <v>312</v>
      </c>
      <c r="E91" s="11" t="s">
        <v>1430</v>
      </c>
      <c r="F91" s="11" t="s">
        <v>1431</v>
      </c>
    </row>
    <row r="92" customFormat="false" ht="26.85" hidden="false" customHeight="false" outlineLevel="0" collapsed="false">
      <c r="A92" s="10" t="s">
        <v>391</v>
      </c>
      <c r="B92" s="10" t="s">
        <v>391</v>
      </c>
      <c r="C92" s="11" t="s">
        <v>393</v>
      </c>
      <c r="D92" s="10" t="s">
        <v>312</v>
      </c>
      <c r="E92" s="11" t="s">
        <v>1430</v>
      </c>
      <c r="F92" s="11" t="s">
        <v>1431</v>
      </c>
    </row>
    <row r="93" customFormat="false" ht="26.85" hidden="false" customHeight="false" outlineLevel="0" collapsed="false">
      <c r="A93" s="10" t="s">
        <v>395</v>
      </c>
      <c r="B93" s="10" t="s">
        <v>395</v>
      </c>
      <c r="C93" s="11" t="s">
        <v>396</v>
      </c>
      <c r="D93" s="10" t="s">
        <v>312</v>
      </c>
      <c r="E93" s="11" t="s">
        <v>1430</v>
      </c>
      <c r="F93" s="11" t="s">
        <v>1431</v>
      </c>
    </row>
    <row r="94" customFormat="false" ht="26.85" hidden="false" customHeight="false" outlineLevel="0" collapsed="false">
      <c r="A94" s="10" t="s">
        <v>398</v>
      </c>
      <c r="B94" s="10" t="s">
        <v>398</v>
      </c>
      <c r="C94" s="11" t="s">
        <v>399</v>
      </c>
      <c r="D94" s="10" t="s">
        <v>312</v>
      </c>
      <c r="E94" s="11" t="s">
        <v>1430</v>
      </c>
      <c r="F94" s="11" t="s">
        <v>1431</v>
      </c>
    </row>
    <row r="95" customFormat="false" ht="26.85" hidden="false" customHeight="false" outlineLevel="0" collapsed="false">
      <c r="A95" s="10" t="s">
        <v>401</v>
      </c>
      <c r="B95" s="10" t="s">
        <v>401</v>
      </c>
      <c r="C95" s="11" t="s">
        <v>402</v>
      </c>
      <c r="D95" s="10" t="s">
        <v>312</v>
      </c>
      <c r="E95" s="11" t="s">
        <v>1430</v>
      </c>
      <c r="F95" s="11" t="s">
        <v>1431</v>
      </c>
    </row>
    <row r="96" customFormat="false" ht="26.85" hidden="false" customHeight="false" outlineLevel="0" collapsed="false">
      <c r="A96" s="10" t="s">
        <v>404</v>
      </c>
      <c r="B96" s="10" t="s">
        <v>404</v>
      </c>
      <c r="C96" s="11" t="s">
        <v>405</v>
      </c>
      <c r="D96" s="10" t="s">
        <v>312</v>
      </c>
      <c r="E96" s="11" t="s">
        <v>1430</v>
      </c>
      <c r="F96" s="11" t="s">
        <v>1431</v>
      </c>
    </row>
    <row r="97" customFormat="false" ht="26.85" hidden="false" customHeight="false" outlineLevel="0" collapsed="false">
      <c r="A97" s="10" t="s">
        <v>407</v>
      </c>
      <c r="B97" s="10" t="s">
        <v>407</v>
      </c>
      <c r="C97" s="11" t="s">
        <v>408</v>
      </c>
      <c r="D97" s="10" t="s">
        <v>312</v>
      </c>
      <c r="E97" s="11" t="s">
        <v>1430</v>
      </c>
      <c r="F97" s="11" t="s">
        <v>1431</v>
      </c>
    </row>
    <row r="98" customFormat="false" ht="26.85" hidden="false" customHeight="false" outlineLevel="0" collapsed="false">
      <c r="A98" s="10" t="s">
        <v>410</v>
      </c>
      <c r="B98" s="10" t="s">
        <v>410</v>
      </c>
      <c r="C98" s="11" t="s">
        <v>411</v>
      </c>
      <c r="D98" s="10" t="s">
        <v>312</v>
      </c>
      <c r="E98" s="11" t="s">
        <v>1430</v>
      </c>
      <c r="F98" s="11" t="s">
        <v>1431</v>
      </c>
    </row>
    <row r="99" customFormat="false" ht="26.85" hidden="false" customHeight="false" outlineLevel="0" collapsed="false">
      <c r="A99" s="10" t="s">
        <v>413</v>
      </c>
      <c r="B99" s="10" t="s">
        <v>413</v>
      </c>
      <c r="C99" s="10" t="s">
        <v>415</v>
      </c>
      <c r="D99" s="10" t="s">
        <v>312</v>
      </c>
      <c r="E99" s="11" t="s">
        <v>1430</v>
      </c>
      <c r="F99" s="11" t="s">
        <v>1431</v>
      </c>
    </row>
    <row r="100" customFormat="false" ht="26.85" hidden="false" customHeight="false" outlineLevel="0" collapsed="false">
      <c r="A100" s="10" t="s">
        <v>417</v>
      </c>
      <c r="B100" s="10" t="s">
        <v>417</v>
      </c>
      <c r="C100" s="11" t="s">
        <v>418</v>
      </c>
      <c r="D100" s="10" t="s">
        <v>312</v>
      </c>
      <c r="E100" s="11" t="s">
        <v>1430</v>
      </c>
      <c r="F100" s="11" t="s">
        <v>1431</v>
      </c>
    </row>
    <row r="101" customFormat="false" ht="26.85" hidden="false" customHeight="false" outlineLevel="0" collapsed="false">
      <c r="A101" s="10" t="s">
        <v>420</v>
      </c>
      <c r="B101" s="10" t="s">
        <v>420</v>
      </c>
      <c r="C101" s="10" t="s">
        <v>421</v>
      </c>
      <c r="D101" s="10" t="s">
        <v>312</v>
      </c>
      <c r="E101" s="11" t="s">
        <v>1430</v>
      </c>
      <c r="F101" s="11" t="s">
        <v>1431</v>
      </c>
    </row>
    <row r="102" customFormat="false" ht="26.85" hidden="false" customHeight="false" outlineLevel="0" collapsed="false">
      <c r="A102" s="10" t="s">
        <v>423</v>
      </c>
      <c r="B102" s="10" t="s">
        <v>423</v>
      </c>
      <c r="C102" s="11" t="s">
        <v>424</v>
      </c>
      <c r="D102" s="10" t="s">
        <v>312</v>
      </c>
      <c r="E102" s="11" t="s">
        <v>1430</v>
      </c>
      <c r="F102" s="11" t="s">
        <v>1431</v>
      </c>
    </row>
    <row r="103" customFormat="false" ht="26.85" hidden="false" customHeight="false" outlineLevel="0" collapsed="false">
      <c r="A103" s="10" t="s">
        <v>426</v>
      </c>
      <c r="B103" s="10" t="s">
        <v>426</v>
      </c>
      <c r="C103" s="10" t="s">
        <v>427</v>
      </c>
      <c r="D103" s="10" t="s">
        <v>312</v>
      </c>
      <c r="E103" s="11" t="s">
        <v>1430</v>
      </c>
      <c r="F103" s="11" t="s">
        <v>1431</v>
      </c>
    </row>
    <row r="104" customFormat="false" ht="26.85" hidden="false" customHeight="false" outlineLevel="0" collapsed="false">
      <c r="A104" s="10" t="s">
        <v>429</v>
      </c>
      <c r="B104" s="10" t="s">
        <v>429</v>
      </c>
      <c r="C104" s="10" t="s">
        <v>430</v>
      </c>
      <c r="D104" s="10" t="s">
        <v>312</v>
      </c>
      <c r="E104" s="11" t="s">
        <v>1430</v>
      </c>
      <c r="F104" s="11" t="s">
        <v>1431</v>
      </c>
    </row>
    <row r="105" customFormat="false" ht="26.85" hidden="false" customHeight="false" outlineLevel="0" collapsed="false">
      <c r="A105" s="10" t="s">
        <v>432</v>
      </c>
      <c r="B105" s="10" t="s">
        <v>432</v>
      </c>
      <c r="C105" s="11" t="s">
        <v>434</v>
      </c>
      <c r="D105" s="10" t="s">
        <v>312</v>
      </c>
      <c r="E105" s="11" t="s">
        <v>1430</v>
      </c>
      <c r="F105" s="11" t="s">
        <v>1431</v>
      </c>
    </row>
    <row r="106" customFormat="false" ht="26.85" hidden="false" customHeight="false" outlineLevel="0" collapsed="false">
      <c r="A106" s="10" t="s">
        <v>436</v>
      </c>
      <c r="B106" s="10" t="s">
        <v>436</v>
      </c>
      <c r="C106" s="10" t="s">
        <v>437</v>
      </c>
      <c r="D106" s="10" t="s">
        <v>312</v>
      </c>
      <c r="E106" s="11" t="s">
        <v>1430</v>
      </c>
      <c r="F106" s="11" t="s">
        <v>1431</v>
      </c>
    </row>
    <row r="107" customFormat="false" ht="26.85" hidden="false" customHeight="false" outlineLevel="0" collapsed="false">
      <c r="A107" s="10" t="s">
        <v>439</v>
      </c>
      <c r="B107" s="10" t="s">
        <v>439</v>
      </c>
      <c r="C107" s="10" t="s">
        <v>440</v>
      </c>
      <c r="D107" s="10" t="s">
        <v>312</v>
      </c>
      <c r="E107" s="11" t="s">
        <v>1430</v>
      </c>
      <c r="F107" s="11" t="s">
        <v>1431</v>
      </c>
    </row>
    <row r="108" customFormat="false" ht="26.85" hidden="false" customHeight="false" outlineLevel="0" collapsed="false">
      <c r="A108" s="10" t="s">
        <v>442</v>
      </c>
      <c r="B108" s="10" t="s">
        <v>442</v>
      </c>
      <c r="C108" s="11" t="s">
        <v>443</v>
      </c>
      <c r="D108" s="10" t="s">
        <v>312</v>
      </c>
      <c r="E108" s="11" t="s">
        <v>1430</v>
      </c>
      <c r="F108" s="11" t="s">
        <v>1431</v>
      </c>
    </row>
    <row r="109" customFormat="false" ht="26.85" hidden="false" customHeight="false" outlineLevel="0" collapsed="false">
      <c r="A109" s="10" t="s">
        <v>445</v>
      </c>
      <c r="B109" s="10" t="s">
        <v>445</v>
      </c>
      <c r="C109" s="11" t="s">
        <v>446</v>
      </c>
      <c r="D109" s="10" t="s">
        <v>312</v>
      </c>
      <c r="E109" s="11" t="s">
        <v>1430</v>
      </c>
      <c r="F109" s="11" t="s">
        <v>1431</v>
      </c>
    </row>
    <row r="110" customFormat="false" ht="26.85" hidden="false" customHeight="false" outlineLevel="0" collapsed="false">
      <c r="A110" s="10" t="s">
        <v>448</v>
      </c>
      <c r="B110" s="10" t="s">
        <v>448</v>
      </c>
      <c r="C110" s="11" t="s">
        <v>449</v>
      </c>
      <c r="D110" s="10" t="s">
        <v>312</v>
      </c>
      <c r="E110" s="11" t="s">
        <v>1430</v>
      </c>
      <c r="F110" s="11" t="s">
        <v>1431</v>
      </c>
    </row>
    <row r="111" customFormat="false" ht="26.85" hidden="false" customHeight="false" outlineLevel="0" collapsed="false">
      <c r="A111" s="10" t="s">
        <v>451</v>
      </c>
      <c r="B111" s="10" t="s">
        <v>451</v>
      </c>
      <c r="C111" s="10" t="s">
        <v>452</v>
      </c>
      <c r="D111" s="10" t="s">
        <v>312</v>
      </c>
      <c r="E111" s="11" t="s">
        <v>1430</v>
      </c>
      <c r="F111" s="11" t="s">
        <v>1431</v>
      </c>
    </row>
    <row r="112" customFormat="false" ht="39.55" hidden="false" customHeight="false" outlineLevel="0" collapsed="false">
      <c r="A112" s="10" t="s">
        <v>454</v>
      </c>
      <c r="B112" s="10" t="s">
        <v>454</v>
      </c>
      <c r="C112" s="11" t="s">
        <v>455</v>
      </c>
      <c r="D112" s="10" t="s">
        <v>312</v>
      </c>
      <c r="E112" s="11" t="s">
        <v>1430</v>
      </c>
      <c r="F112" s="11" t="s">
        <v>1431</v>
      </c>
    </row>
    <row r="113" customFormat="false" ht="26.85" hidden="false" customHeight="false" outlineLevel="0" collapsed="false">
      <c r="A113" s="10" t="s">
        <v>457</v>
      </c>
      <c r="B113" s="10" t="s">
        <v>457</v>
      </c>
      <c r="C113" s="11" t="s">
        <v>459</v>
      </c>
      <c r="D113" s="10" t="s">
        <v>312</v>
      </c>
      <c r="E113" s="11" t="s">
        <v>1430</v>
      </c>
      <c r="F113" s="11" t="s">
        <v>1431</v>
      </c>
    </row>
    <row r="114" customFormat="false" ht="26.85" hidden="false" customHeight="false" outlineLevel="0" collapsed="false">
      <c r="A114" s="10" t="s">
        <v>461</v>
      </c>
      <c r="B114" s="10" t="s">
        <v>461</v>
      </c>
      <c r="C114" s="10" t="s">
        <v>462</v>
      </c>
      <c r="D114" s="10" t="s">
        <v>312</v>
      </c>
      <c r="E114" s="11" t="s">
        <v>1430</v>
      </c>
      <c r="F114" s="11" t="s">
        <v>1431</v>
      </c>
    </row>
    <row r="115" customFormat="false" ht="26.85" hidden="false" customHeight="false" outlineLevel="0" collapsed="false">
      <c r="A115" s="10" t="s">
        <v>464</v>
      </c>
      <c r="B115" s="10" t="s">
        <v>464</v>
      </c>
      <c r="C115" s="11" t="s">
        <v>465</v>
      </c>
      <c r="D115" s="10" t="s">
        <v>312</v>
      </c>
      <c r="E115" s="11" t="s">
        <v>1430</v>
      </c>
      <c r="F115" s="11" t="s">
        <v>1431</v>
      </c>
    </row>
    <row r="116" customFormat="false" ht="26.85" hidden="false" customHeight="false" outlineLevel="0" collapsed="false">
      <c r="A116" s="10" t="s">
        <v>467</v>
      </c>
      <c r="B116" s="10" t="s">
        <v>467</v>
      </c>
      <c r="C116" s="11" t="s">
        <v>468</v>
      </c>
      <c r="D116" s="10" t="s">
        <v>312</v>
      </c>
      <c r="E116" s="11" t="s">
        <v>1430</v>
      </c>
      <c r="F116" s="11" t="s">
        <v>1431</v>
      </c>
    </row>
    <row r="117" customFormat="false" ht="26.85" hidden="false" customHeight="false" outlineLevel="0" collapsed="false">
      <c r="A117" s="10" t="s">
        <v>470</v>
      </c>
      <c r="B117" s="10" t="s">
        <v>470</v>
      </c>
      <c r="C117" s="11" t="s">
        <v>471</v>
      </c>
      <c r="D117" s="10" t="s">
        <v>312</v>
      </c>
      <c r="E117" s="11" t="s">
        <v>1430</v>
      </c>
      <c r="F117" s="11" t="s">
        <v>1431</v>
      </c>
    </row>
    <row r="118" customFormat="false" ht="26.85" hidden="false" customHeight="false" outlineLevel="0" collapsed="false">
      <c r="A118" s="10" t="s">
        <v>473</v>
      </c>
      <c r="B118" s="10" t="s">
        <v>473</v>
      </c>
      <c r="C118" s="11" t="s">
        <v>474</v>
      </c>
      <c r="D118" s="10" t="s">
        <v>312</v>
      </c>
      <c r="E118" s="11" t="s">
        <v>1430</v>
      </c>
      <c r="F118" s="11" t="s">
        <v>1431</v>
      </c>
    </row>
    <row r="119" customFormat="false" ht="26.85" hidden="false" customHeight="false" outlineLevel="0" collapsed="false">
      <c r="A119" s="10" t="s">
        <v>476</v>
      </c>
      <c r="B119" s="10" t="s">
        <v>476</v>
      </c>
      <c r="C119" s="11" t="s">
        <v>477</v>
      </c>
      <c r="D119" s="10" t="s">
        <v>312</v>
      </c>
      <c r="E119" s="11" t="s">
        <v>1430</v>
      </c>
      <c r="F119" s="11" t="s">
        <v>1431</v>
      </c>
    </row>
    <row r="120" customFormat="false" ht="26.85" hidden="false" customHeight="false" outlineLevel="0" collapsed="false">
      <c r="A120" s="10" t="s">
        <v>479</v>
      </c>
      <c r="B120" s="10" t="s">
        <v>479</v>
      </c>
      <c r="C120" s="11" t="s">
        <v>480</v>
      </c>
      <c r="D120" s="10" t="s">
        <v>312</v>
      </c>
      <c r="E120" s="11" t="s">
        <v>1430</v>
      </c>
      <c r="F120" s="11" t="s">
        <v>1431</v>
      </c>
    </row>
    <row r="121" customFormat="false" ht="26.85" hidden="false" customHeight="false" outlineLevel="0" collapsed="false">
      <c r="A121" s="10" t="s">
        <v>483</v>
      </c>
      <c r="B121" s="10" t="s">
        <v>483</v>
      </c>
      <c r="C121" s="11" t="s">
        <v>484</v>
      </c>
      <c r="D121" s="10" t="s">
        <v>312</v>
      </c>
      <c r="E121" s="11" t="s">
        <v>1430</v>
      </c>
      <c r="F121" s="11" t="s">
        <v>1431</v>
      </c>
    </row>
    <row r="122" customFormat="false" ht="26.85" hidden="false" customHeight="false" outlineLevel="0" collapsed="false">
      <c r="A122" s="10" t="s">
        <v>486</v>
      </c>
      <c r="B122" s="10" t="s">
        <v>486</v>
      </c>
      <c r="C122" s="11" t="s">
        <v>487</v>
      </c>
      <c r="D122" s="10" t="s">
        <v>312</v>
      </c>
      <c r="E122" s="11" t="s">
        <v>1430</v>
      </c>
      <c r="F122" s="11" t="s">
        <v>1431</v>
      </c>
    </row>
    <row r="123" customFormat="false" ht="26.85" hidden="false" customHeight="false" outlineLevel="0" collapsed="false">
      <c r="A123" s="10" t="s">
        <v>489</v>
      </c>
      <c r="B123" s="10" t="s">
        <v>489</v>
      </c>
      <c r="C123" s="11" t="s">
        <v>491</v>
      </c>
      <c r="D123" s="10" t="s">
        <v>312</v>
      </c>
      <c r="E123" s="11" t="s">
        <v>1430</v>
      </c>
      <c r="F123" s="11" t="s">
        <v>1431</v>
      </c>
    </row>
    <row r="124" customFormat="false" ht="26.85" hidden="false" customHeight="false" outlineLevel="0" collapsed="false">
      <c r="A124" s="10" t="s">
        <v>493</v>
      </c>
      <c r="B124" s="10" t="s">
        <v>493</v>
      </c>
      <c r="C124" s="11" t="s">
        <v>494</v>
      </c>
      <c r="D124" s="10" t="s">
        <v>312</v>
      </c>
      <c r="E124" s="11" t="s">
        <v>1430</v>
      </c>
      <c r="F124" s="11" t="s">
        <v>1431</v>
      </c>
    </row>
    <row r="125" customFormat="false" ht="26.85" hidden="false" customHeight="false" outlineLevel="0" collapsed="false">
      <c r="A125" s="10" t="s">
        <v>496</v>
      </c>
      <c r="B125" s="10" t="s">
        <v>496</v>
      </c>
      <c r="C125" s="11" t="s">
        <v>497</v>
      </c>
      <c r="D125" s="10" t="s">
        <v>312</v>
      </c>
      <c r="E125" s="11" t="s">
        <v>1430</v>
      </c>
      <c r="F125" s="11" t="s">
        <v>1431</v>
      </c>
    </row>
    <row r="126" customFormat="false" ht="26.85" hidden="false" customHeight="false" outlineLevel="0" collapsed="false">
      <c r="A126" s="10" t="s">
        <v>499</v>
      </c>
      <c r="B126" s="10" t="s">
        <v>499</v>
      </c>
      <c r="C126" s="11" t="s">
        <v>501</v>
      </c>
      <c r="D126" s="10" t="s">
        <v>312</v>
      </c>
      <c r="E126" s="11" t="s">
        <v>1430</v>
      </c>
      <c r="F126" s="11" t="s">
        <v>1431</v>
      </c>
    </row>
    <row r="127" customFormat="false" ht="26.85" hidden="false" customHeight="false" outlineLevel="0" collapsed="false">
      <c r="A127" s="10" t="s">
        <v>504</v>
      </c>
      <c r="B127" s="10" t="s">
        <v>504</v>
      </c>
      <c r="C127" s="11" t="s">
        <v>505</v>
      </c>
      <c r="D127" s="10" t="s">
        <v>312</v>
      </c>
      <c r="E127" s="11" t="s">
        <v>1430</v>
      </c>
      <c r="F127" s="11" t="s">
        <v>1431</v>
      </c>
    </row>
    <row r="128" customFormat="false" ht="26.85" hidden="false" customHeight="false" outlineLevel="0" collapsed="false">
      <c r="A128" s="10" t="s">
        <v>507</v>
      </c>
      <c r="B128" s="10" t="s">
        <v>507</v>
      </c>
      <c r="C128" s="11" t="s">
        <v>508</v>
      </c>
      <c r="D128" s="10" t="s">
        <v>312</v>
      </c>
      <c r="E128" s="11" t="s">
        <v>1430</v>
      </c>
      <c r="F128" s="11" t="s">
        <v>1431</v>
      </c>
    </row>
    <row r="129" customFormat="false" ht="26.85" hidden="false" customHeight="false" outlineLevel="0" collapsed="false">
      <c r="A129" s="10" t="s">
        <v>510</v>
      </c>
      <c r="B129" s="10" t="s">
        <v>510</v>
      </c>
      <c r="C129" s="11" t="s">
        <v>511</v>
      </c>
      <c r="D129" s="10" t="s">
        <v>312</v>
      </c>
      <c r="E129" s="11" t="s">
        <v>1430</v>
      </c>
      <c r="F129" s="11" t="s">
        <v>1431</v>
      </c>
    </row>
    <row r="130" customFormat="false" ht="26.85" hidden="false" customHeight="false" outlineLevel="0" collapsed="false">
      <c r="A130" s="10" t="s">
        <v>513</v>
      </c>
      <c r="B130" s="10" t="s">
        <v>513</v>
      </c>
      <c r="C130" s="11" t="s">
        <v>515</v>
      </c>
      <c r="D130" s="10" t="s">
        <v>312</v>
      </c>
      <c r="E130" s="11" t="s">
        <v>1430</v>
      </c>
      <c r="F130" s="11" t="s">
        <v>1431</v>
      </c>
    </row>
    <row r="131" customFormat="false" ht="26.85" hidden="false" customHeight="false" outlineLevel="0" collapsed="false">
      <c r="A131" s="10" t="s">
        <v>517</v>
      </c>
      <c r="B131" s="10" t="s">
        <v>517</v>
      </c>
      <c r="C131" s="10" t="s">
        <v>518</v>
      </c>
      <c r="D131" s="10" t="s">
        <v>312</v>
      </c>
      <c r="E131" s="11" t="s">
        <v>1430</v>
      </c>
      <c r="F131" s="11" t="s">
        <v>1431</v>
      </c>
    </row>
    <row r="132" customFormat="false" ht="26.85" hidden="false" customHeight="false" outlineLevel="0" collapsed="false">
      <c r="A132" s="10" t="s">
        <v>520</v>
      </c>
      <c r="B132" s="10" t="s">
        <v>520</v>
      </c>
      <c r="C132" s="10" t="s">
        <v>521</v>
      </c>
      <c r="D132" s="10" t="s">
        <v>312</v>
      </c>
      <c r="E132" s="11" t="s">
        <v>1430</v>
      </c>
      <c r="F132" s="11" t="s">
        <v>1431</v>
      </c>
    </row>
    <row r="133" customFormat="false" ht="26.85" hidden="false" customHeight="false" outlineLevel="0" collapsed="false">
      <c r="A133" s="10" t="s">
        <v>523</v>
      </c>
      <c r="B133" s="10" t="s">
        <v>523</v>
      </c>
      <c r="C133" s="11" t="s">
        <v>524</v>
      </c>
      <c r="D133" s="10" t="s">
        <v>312</v>
      </c>
      <c r="E133" s="11" t="s">
        <v>1430</v>
      </c>
      <c r="F133" s="11" t="s">
        <v>1431</v>
      </c>
    </row>
    <row r="134" customFormat="false" ht="26.85" hidden="false" customHeight="false" outlineLevel="0" collapsed="false">
      <c r="A134" s="10" t="s">
        <v>526</v>
      </c>
      <c r="B134" s="10" t="s">
        <v>526</v>
      </c>
      <c r="C134" s="10" t="s">
        <v>527</v>
      </c>
      <c r="D134" s="10" t="s">
        <v>312</v>
      </c>
      <c r="E134" s="11" t="s">
        <v>1430</v>
      </c>
      <c r="F134" s="11" t="s">
        <v>1431</v>
      </c>
    </row>
    <row r="135" customFormat="false" ht="26.85" hidden="false" customHeight="false" outlineLevel="0" collapsed="false">
      <c r="A135" s="10" t="s">
        <v>529</v>
      </c>
      <c r="B135" s="10" t="s">
        <v>529</v>
      </c>
      <c r="C135" s="11" t="s">
        <v>530</v>
      </c>
      <c r="D135" s="10" t="s">
        <v>312</v>
      </c>
      <c r="E135" s="11" t="s">
        <v>1430</v>
      </c>
      <c r="F135" s="11" t="s">
        <v>1431</v>
      </c>
    </row>
    <row r="136" customFormat="false" ht="26.85" hidden="false" customHeight="false" outlineLevel="0" collapsed="false">
      <c r="A136" s="10" t="s">
        <v>532</v>
      </c>
      <c r="B136" s="10" t="s">
        <v>532</v>
      </c>
      <c r="C136" s="10" t="s">
        <v>533</v>
      </c>
      <c r="D136" s="10" t="s">
        <v>312</v>
      </c>
      <c r="E136" s="11" t="s">
        <v>1430</v>
      </c>
      <c r="F136" s="11" t="s">
        <v>1431</v>
      </c>
    </row>
    <row r="137" customFormat="false" ht="26.85" hidden="false" customHeight="false" outlineLevel="0" collapsed="false">
      <c r="A137" s="10" t="s">
        <v>535</v>
      </c>
      <c r="B137" s="10" t="s">
        <v>535</v>
      </c>
      <c r="C137" s="11" t="s">
        <v>537</v>
      </c>
      <c r="D137" s="10" t="s">
        <v>312</v>
      </c>
      <c r="E137" s="11" t="s">
        <v>1430</v>
      </c>
      <c r="F137" s="11" t="s">
        <v>1431</v>
      </c>
    </row>
    <row r="138" customFormat="false" ht="26.85" hidden="false" customHeight="false" outlineLevel="0" collapsed="false">
      <c r="A138" s="10" t="s">
        <v>539</v>
      </c>
      <c r="B138" s="10" t="s">
        <v>539</v>
      </c>
      <c r="C138" s="11" t="s">
        <v>540</v>
      </c>
      <c r="D138" s="10" t="s">
        <v>312</v>
      </c>
      <c r="E138" s="11" t="s">
        <v>1430</v>
      </c>
      <c r="F138" s="11" t="s">
        <v>1431</v>
      </c>
    </row>
    <row r="139" customFormat="false" ht="26.85" hidden="false" customHeight="false" outlineLevel="0" collapsed="false">
      <c r="A139" s="10" t="s">
        <v>542</v>
      </c>
      <c r="B139" s="10" t="s">
        <v>542</v>
      </c>
      <c r="C139" s="10" t="s">
        <v>543</v>
      </c>
      <c r="D139" s="10" t="s">
        <v>312</v>
      </c>
      <c r="E139" s="11" t="s">
        <v>1430</v>
      </c>
      <c r="F139" s="11" t="s">
        <v>1431</v>
      </c>
    </row>
    <row r="140" customFormat="false" ht="26.85" hidden="false" customHeight="false" outlineLevel="0" collapsed="false">
      <c r="A140" s="10" t="s">
        <v>545</v>
      </c>
      <c r="B140" s="10" t="s">
        <v>545</v>
      </c>
      <c r="C140" s="11" t="s">
        <v>546</v>
      </c>
      <c r="D140" s="10" t="s">
        <v>312</v>
      </c>
      <c r="E140" s="11" t="s">
        <v>1430</v>
      </c>
      <c r="F140" s="11" t="s">
        <v>1431</v>
      </c>
    </row>
    <row r="141" customFormat="false" ht="26.85" hidden="false" customHeight="false" outlineLevel="0" collapsed="false">
      <c r="A141" s="10" t="s">
        <v>548</v>
      </c>
      <c r="B141" s="10" t="s">
        <v>548</v>
      </c>
      <c r="C141" s="10" t="s">
        <v>550</v>
      </c>
      <c r="D141" s="10" t="s">
        <v>549</v>
      </c>
      <c r="E141" s="11" t="s">
        <v>1430</v>
      </c>
      <c r="F141" s="11" t="s">
        <v>1431</v>
      </c>
    </row>
    <row r="142" customFormat="false" ht="26.85" hidden="false" customHeight="false" outlineLevel="0" collapsed="false">
      <c r="A142" s="10" t="s">
        <v>552</v>
      </c>
      <c r="B142" s="10" t="s">
        <v>552</v>
      </c>
      <c r="C142" s="11" t="s">
        <v>553</v>
      </c>
      <c r="D142" s="10" t="s">
        <v>549</v>
      </c>
      <c r="E142" s="11" t="s">
        <v>1430</v>
      </c>
      <c r="F142" s="11" t="s">
        <v>1431</v>
      </c>
    </row>
    <row r="143" customFormat="false" ht="26.85" hidden="false" customHeight="false" outlineLevel="0" collapsed="false">
      <c r="A143" s="10" t="s">
        <v>555</v>
      </c>
      <c r="B143" s="10" t="s">
        <v>555</v>
      </c>
      <c r="C143" s="11" t="s">
        <v>556</v>
      </c>
      <c r="D143" s="10" t="s">
        <v>549</v>
      </c>
      <c r="E143" s="11" t="s">
        <v>1430</v>
      </c>
      <c r="F143" s="11" t="s">
        <v>1431</v>
      </c>
    </row>
    <row r="144" customFormat="false" ht="26.85" hidden="false" customHeight="false" outlineLevel="0" collapsed="false">
      <c r="A144" s="10" t="s">
        <v>558</v>
      </c>
      <c r="B144" s="10" t="s">
        <v>558</v>
      </c>
      <c r="C144" s="11" t="s">
        <v>560</v>
      </c>
      <c r="D144" s="10" t="s">
        <v>549</v>
      </c>
      <c r="E144" s="11" t="s">
        <v>1430</v>
      </c>
      <c r="F144" s="11" t="s">
        <v>1431</v>
      </c>
    </row>
    <row r="145" customFormat="false" ht="26.85" hidden="false" customHeight="false" outlineLevel="0" collapsed="false">
      <c r="A145" s="10" t="s">
        <v>562</v>
      </c>
      <c r="B145" s="10" t="s">
        <v>562</v>
      </c>
      <c r="C145" s="10" t="s">
        <v>563</v>
      </c>
      <c r="D145" s="10" t="s">
        <v>549</v>
      </c>
      <c r="E145" s="11" t="s">
        <v>1430</v>
      </c>
      <c r="F145" s="11" t="s">
        <v>1431</v>
      </c>
    </row>
    <row r="146" customFormat="false" ht="26.85" hidden="false" customHeight="false" outlineLevel="0" collapsed="false">
      <c r="A146" s="10" t="s">
        <v>565</v>
      </c>
      <c r="B146" s="10" t="s">
        <v>565</v>
      </c>
      <c r="C146" s="11" t="s">
        <v>566</v>
      </c>
      <c r="D146" s="10" t="s">
        <v>549</v>
      </c>
      <c r="E146" s="11" t="s">
        <v>1430</v>
      </c>
      <c r="F146" s="11" t="s">
        <v>1431</v>
      </c>
    </row>
    <row r="147" customFormat="false" ht="26.85" hidden="false" customHeight="false" outlineLevel="0" collapsed="false">
      <c r="A147" s="10" t="s">
        <v>568</v>
      </c>
      <c r="B147" s="10" t="s">
        <v>568</v>
      </c>
      <c r="C147" s="11" t="s">
        <v>569</v>
      </c>
      <c r="D147" s="10" t="s">
        <v>549</v>
      </c>
      <c r="E147" s="11" t="s">
        <v>1430</v>
      </c>
      <c r="F147" s="11" t="s">
        <v>1431</v>
      </c>
    </row>
    <row r="148" customFormat="false" ht="26.85" hidden="false" customHeight="false" outlineLevel="0" collapsed="false">
      <c r="A148" s="10" t="s">
        <v>571</v>
      </c>
      <c r="B148" s="10" t="s">
        <v>571</v>
      </c>
      <c r="C148" s="11" t="s">
        <v>572</v>
      </c>
      <c r="D148" s="10" t="s">
        <v>549</v>
      </c>
      <c r="E148" s="11" t="s">
        <v>1430</v>
      </c>
      <c r="F148" s="11" t="s">
        <v>1431</v>
      </c>
    </row>
    <row r="149" customFormat="false" ht="26.85" hidden="false" customHeight="false" outlineLevel="0" collapsed="false">
      <c r="A149" s="10" t="s">
        <v>574</v>
      </c>
      <c r="B149" s="10" t="s">
        <v>574</v>
      </c>
      <c r="C149" s="11" t="s">
        <v>575</v>
      </c>
      <c r="D149" s="10" t="s">
        <v>549</v>
      </c>
      <c r="E149" s="11" t="s">
        <v>1430</v>
      </c>
      <c r="F149" s="11" t="s">
        <v>1431</v>
      </c>
    </row>
    <row r="150" customFormat="false" ht="26.85" hidden="false" customHeight="false" outlineLevel="0" collapsed="false">
      <c r="A150" s="10" t="s">
        <v>577</v>
      </c>
      <c r="B150" s="10" t="s">
        <v>577</v>
      </c>
      <c r="C150" s="11" t="s">
        <v>578</v>
      </c>
      <c r="D150" s="10" t="s">
        <v>549</v>
      </c>
      <c r="E150" s="11" t="s">
        <v>1430</v>
      </c>
      <c r="F150" s="11" t="s">
        <v>1431</v>
      </c>
    </row>
    <row r="151" customFormat="false" ht="26.85" hidden="false" customHeight="false" outlineLevel="0" collapsed="false">
      <c r="A151" s="10" t="s">
        <v>580</v>
      </c>
      <c r="B151" s="10" t="s">
        <v>580</v>
      </c>
      <c r="C151" s="11" t="s">
        <v>581</v>
      </c>
      <c r="D151" s="10" t="s">
        <v>549</v>
      </c>
      <c r="E151" s="11" t="s">
        <v>1430</v>
      </c>
      <c r="F151" s="11" t="s">
        <v>1431</v>
      </c>
    </row>
    <row r="152" customFormat="false" ht="26.85" hidden="false" customHeight="false" outlineLevel="0" collapsed="false">
      <c r="A152" s="10" t="s">
        <v>583</v>
      </c>
      <c r="B152" s="10" t="s">
        <v>583</v>
      </c>
      <c r="C152" s="11" t="s">
        <v>584</v>
      </c>
      <c r="D152" s="10" t="s">
        <v>549</v>
      </c>
      <c r="E152" s="11" t="s">
        <v>1430</v>
      </c>
      <c r="F152" s="11" t="s">
        <v>1431</v>
      </c>
    </row>
    <row r="153" customFormat="false" ht="26.85" hidden="false" customHeight="false" outlineLevel="0" collapsed="false">
      <c r="A153" s="10" t="s">
        <v>586</v>
      </c>
      <c r="B153" s="10" t="s">
        <v>586</v>
      </c>
      <c r="C153" s="11" t="s">
        <v>587</v>
      </c>
      <c r="D153" s="10" t="s">
        <v>549</v>
      </c>
      <c r="E153" s="11" t="s">
        <v>1430</v>
      </c>
      <c r="F153" s="11" t="s">
        <v>1431</v>
      </c>
    </row>
    <row r="154" customFormat="false" ht="26.85" hidden="false" customHeight="false" outlineLevel="0" collapsed="false">
      <c r="A154" s="10" t="s">
        <v>589</v>
      </c>
      <c r="B154" s="10" t="s">
        <v>589</v>
      </c>
      <c r="C154" s="11" t="s">
        <v>590</v>
      </c>
      <c r="D154" s="10" t="s">
        <v>549</v>
      </c>
      <c r="E154" s="11" t="s">
        <v>1430</v>
      </c>
      <c r="F154" s="11" t="s">
        <v>1431</v>
      </c>
    </row>
    <row r="155" customFormat="false" ht="26.85" hidden="false" customHeight="false" outlineLevel="0" collapsed="false">
      <c r="A155" s="10" t="s">
        <v>592</v>
      </c>
      <c r="B155" s="10" t="s">
        <v>592</v>
      </c>
      <c r="C155" s="11" t="s">
        <v>593</v>
      </c>
      <c r="D155" s="10" t="s">
        <v>549</v>
      </c>
      <c r="E155" s="11" t="s">
        <v>1430</v>
      </c>
      <c r="F155" s="11" t="s">
        <v>1431</v>
      </c>
    </row>
    <row r="156" customFormat="false" ht="26.85" hidden="false" customHeight="false" outlineLevel="0" collapsed="false">
      <c r="A156" s="10" t="s">
        <v>595</v>
      </c>
      <c r="B156" s="10" t="s">
        <v>595</v>
      </c>
      <c r="C156" s="11" t="s">
        <v>596</v>
      </c>
      <c r="D156" s="10" t="s">
        <v>549</v>
      </c>
      <c r="E156" s="11" t="s">
        <v>1430</v>
      </c>
      <c r="F156" s="11" t="s">
        <v>1431</v>
      </c>
    </row>
    <row r="157" customFormat="false" ht="26.85" hidden="false" customHeight="false" outlineLevel="0" collapsed="false">
      <c r="A157" s="10" t="s">
        <v>598</v>
      </c>
      <c r="B157" s="10" t="s">
        <v>598</v>
      </c>
      <c r="C157" s="11" t="s">
        <v>599</v>
      </c>
      <c r="D157" s="10" t="s">
        <v>549</v>
      </c>
      <c r="E157" s="11" t="s">
        <v>1430</v>
      </c>
      <c r="F157" s="11" t="s">
        <v>1431</v>
      </c>
    </row>
    <row r="158" customFormat="false" ht="26.85" hidden="false" customHeight="false" outlineLevel="0" collapsed="false">
      <c r="A158" s="10" t="s">
        <v>601</v>
      </c>
      <c r="B158" s="10" t="s">
        <v>601</v>
      </c>
      <c r="C158" s="11" t="s">
        <v>602</v>
      </c>
      <c r="D158" s="10" t="s">
        <v>549</v>
      </c>
      <c r="E158" s="11" t="s">
        <v>1430</v>
      </c>
      <c r="F158" s="11" t="s">
        <v>1431</v>
      </c>
    </row>
    <row r="159" customFormat="false" ht="26.85" hidden="false" customHeight="false" outlineLevel="0" collapsed="false">
      <c r="A159" s="10" t="s">
        <v>604</v>
      </c>
      <c r="B159" s="10" t="s">
        <v>604</v>
      </c>
      <c r="C159" s="10" t="s">
        <v>606</v>
      </c>
      <c r="D159" s="10" t="s">
        <v>549</v>
      </c>
      <c r="E159" s="11" t="s">
        <v>1430</v>
      </c>
      <c r="F159" s="11" t="s">
        <v>1431</v>
      </c>
    </row>
    <row r="160" customFormat="false" ht="26.85" hidden="false" customHeight="false" outlineLevel="0" collapsed="false">
      <c r="A160" s="10" t="s">
        <v>608</v>
      </c>
      <c r="B160" s="10" t="s">
        <v>608</v>
      </c>
      <c r="C160" s="11" t="s">
        <v>609</v>
      </c>
      <c r="D160" s="10" t="s">
        <v>549</v>
      </c>
      <c r="E160" s="11" t="s">
        <v>1430</v>
      </c>
      <c r="F160" s="11" t="s">
        <v>1431</v>
      </c>
    </row>
    <row r="161" customFormat="false" ht="26.85" hidden="false" customHeight="false" outlineLevel="0" collapsed="false">
      <c r="A161" s="10" t="s">
        <v>612</v>
      </c>
      <c r="B161" s="10" t="s">
        <v>612</v>
      </c>
      <c r="C161" s="11" t="s">
        <v>613</v>
      </c>
      <c r="D161" s="10" t="s">
        <v>549</v>
      </c>
      <c r="E161" s="11" t="s">
        <v>1430</v>
      </c>
      <c r="F161" s="11" t="s">
        <v>1431</v>
      </c>
    </row>
    <row r="162" customFormat="false" ht="26.85" hidden="false" customHeight="false" outlineLevel="0" collapsed="false">
      <c r="A162" s="10" t="s">
        <v>615</v>
      </c>
      <c r="B162" s="10" t="s">
        <v>615</v>
      </c>
      <c r="C162" s="11" t="s">
        <v>616</v>
      </c>
      <c r="D162" s="10" t="s">
        <v>549</v>
      </c>
      <c r="E162" s="11" t="s">
        <v>1430</v>
      </c>
      <c r="F162" s="11" t="s">
        <v>1431</v>
      </c>
    </row>
    <row r="163" customFormat="false" ht="26.85" hidden="false" customHeight="false" outlineLevel="0" collapsed="false">
      <c r="A163" s="10" t="s">
        <v>618</v>
      </c>
      <c r="B163" s="10" t="s">
        <v>618</v>
      </c>
      <c r="C163" s="10" t="s">
        <v>619</v>
      </c>
      <c r="D163" s="10" t="s">
        <v>549</v>
      </c>
      <c r="E163" s="11" t="s">
        <v>1430</v>
      </c>
      <c r="F163" s="11" t="s">
        <v>1431</v>
      </c>
    </row>
    <row r="164" customFormat="false" ht="26.85" hidden="false" customHeight="false" outlineLevel="0" collapsed="false">
      <c r="A164" s="10" t="s">
        <v>621</v>
      </c>
      <c r="B164" s="10" t="s">
        <v>621</v>
      </c>
      <c r="C164" s="10" t="s">
        <v>622</v>
      </c>
      <c r="D164" s="10" t="s">
        <v>549</v>
      </c>
      <c r="E164" s="11" t="s">
        <v>1430</v>
      </c>
      <c r="F164" s="11" t="s">
        <v>1431</v>
      </c>
    </row>
    <row r="165" customFormat="false" ht="26.85" hidden="false" customHeight="false" outlineLevel="0" collapsed="false">
      <c r="A165" s="10" t="s">
        <v>624</v>
      </c>
      <c r="B165" s="10" t="s">
        <v>624</v>
      </c>
      <c r="C165" s="10" t="s">
        <v>626</v>
      </c>
      <c r="D165" s="10" t="s">
        <v>549</v>
      </c>
      <c r="E165" s="11" t="s">
        <v>1430</v>
      </c>
      <c r="F165" s="11" t="s">
        <v>1431</v>
      </c>
    </row>
    <row r="166" customFormat="false" ht="26.85" hidden="false" customHeight="false" outlineLevel="0" collapsed="false">
      <c r="A166" s="10" t="s">
        <v>628</v>
      </c>
      <c r="B166" s="10" t="s">
        <v>628</v>
      </c>
      <c r="C166" s="10" t="s">
        <v>629</v>
      </c>
      <c r="D166" s="10" t="s">
        <v>549</v>
      </c>
      <c r="E166" s="11" t="s">
        <v>1430</v>
      </c>
      <c r="F166" s="11" t="s">
        <v>1431</v>
      </c>
    </row>
    <row r="167" customFormat="false" ht="26.85" hidden="false" customHeight="false" outlineLevel="0" collapsed="false">
      <c r="A167" s="10" t="s">
        <v>631</v>
      </c>
      <c r="B167" s="10" t="s">
        <v>631</v>
      </c>
      <c r="C167" s="10" t="s">
        <v>632</v>
      </c>
      <c r="D167" s="10" t="s">
        <v>549</v>
      </c>
      <c r="E167" s="11" t="s">
        <v>1430</v>
      </c>
      <c r="F167" s="11" t="s">
        <v>1431</v>
      </c>
    </row>
    <row r="168" customFormat="false" ht="26.85" hidden="false" customHeight="false" outlineLevel="0" collapsed="false">
      <c r="A168" s="10" t="s">
        <v>634</v>
      </c>
      <c r="B168" s="10" t="s">
        <v>634</v>
      </c>
      <c r="C168" s="10" t="s">
        <v>635</v>
      </c>
      <c r="D168" s="10" t="s">
        <v>549</v>
      </c>
      <c r="E168" s="11" t="s">
        <v>1430</v>
      </c>
      <c r="F168" s="11" t="s">
        <v>1431</v>
      </c>
    </row>
    <row r="169" customFormat="false" ht="26.85" hidden="false" customHeight="false" outlineLevel="0" collapsed="false">
      <c r="A169" s="10" t="s">
        <v>637</v>
      </c>
      <c r="B169" s="10" t="s">
        <v>637</v>
      </c>
      <c r="C169" s="11" t="s">
        <v>638</v>
      </c>
      <c r="D169" s="10" t="s">
        <v>549</v>
      </c>
      <c r="E169" s="11" t="s">
        <v>1430</v>
      </c>
      <c r="F169" s="11" t="s">
        <v>1431</v>
      </c>
    </row>
    <row r="170" customFormat="false" ht="26.85" hidden="false" customHeight="false" outlineLevel="0" collapsed="false">
      <c r="A170" s="10" t="s">
        <v>640</v>
      </c>
      <c r="B170" s="10" t="s">
        <v>640</v>
      </c>
      <c r="C170" s="10" t="s">
        <v>642</v>
      </c>
      <c r="D170" s="10" t="s">
        <v>549</v>
      </c>
      <c r="E170" s="11" t="s">
        <v>1430</v>
      </c>
      <c r="F170" s="11" t="s">
        <v>1431</v>
      </c>
    </row>
    <row r="171" customFormat="false" ht="26.85" hidden="false" customHeight="false" outlineLevel="0" collapsed="false">
      <c r="A171" s="10" t="s">
        <v>644</v>
      </c>
      <c r="B171" s="10" t="s">
        <v>644</v>
      </c>
      <c r="C171" s="11" t="s">
        <v>645</v>
      </c>
      <c r="D171" s="10" t="s">
        <v>549</v>
      </c>
      <c r="E171" s="11" t="s">
        <v>1430</v>
      </c>
      <c r="F171" s="11" t="s">
        <v>1431</v>
      </c>
    </row>
    <row r="172" customFormat="false" ht="26.85" hidden="false" customHeight="false" outlineLevel="0" collapsed="false">
      <c r="A172" s="10" t="s">
        <v>647</v>
      </c>
      <c r="B172" s="10" t="s">
        <v>647</v>
      </c>
      <c r="C172" s="11" t="s">
        <v>648</v>
      </c>
      <c r="D172" s="10" t="s">
        <v>549</v>
      </c>
      <c r="E172" s="11" t="s">
        <v>1430</v>
      </c>
      <c r="F172" s="11" t="s">
        <v>1431</v>
      </c>
    </row>
    <row r="173" customFormat="false" ht="26.85" hidden="false" customHeight="false" outlineLevel="0" collapsed="false">
      <c r="A173" s="10" t="s">
        <v>650</v>
      </c>
      <c r="B173" s="10" t="s">
        <v>650</v>
      </c>
      <c r="C173" s="10" t="s">
        <v>653</v>
      </c>
      <c r="D173" s="10" t="s">
        <v>651</v>
      </c>
      <c r="E173" s="11" t="s">
        <v>1430</v>
      </c>
      <c r="F173" s="11" t="s">
        <v>1431</v>
      </c>
    </row>
    <row r="174" customFormat="false" ht="26.85" hidden="false" customHeight="false" outlineLevel="0" collapsed="false">
      <c r="A174" s="10" t="s">
        <v>655</v>
      </c>
      <c r="B174" s="10" t="s">
        <v>655</v>
      </c>
      <c r="C174" s="11" t="s">
        <v>656</v>
      </c>
      <c r="D174" s="10" t="s">
        <v>651</v>
      </c>
      <c r="E174" s="11" t="s">
        <v>1430</v>
      </c>
      <c r="F174" s="11" t="s">
        <v>1431</v>
      </c>
    </row>
    <row r="175" customFormat="false" ht="26.85" hidden="false" customHeight="false" outlineLevel="0" collapsed="false">
      <c r="A175" s="10" t="s">
        <v>658</v>
      </c>
      <c r="B175" s="10" t="s">
        <v>658</v>
      </c>
      <c r="C175" s="11" t="s">
        <v>659</v>
      </c>
      <c r="D175" s="10" t="s">
        <v>651</v>
      </c>
      <c r="E175" s="11" t="s">
        <v>1430</v>
      </c>
      <c r="F175" s="11" t="s">
        <v>1431</v>
      </c>
    </row>
    <row r="176" customFormat="false" ht="26.85" hidden="false" customHeight="false" outlineLevel="0" collapsed="false">
      <c r="A176" s="10" t="s">
        <v>661</v>
      </c>
      <c r="B176" s="10" t="s">
        <v>661</v>
      </c>
      <c r="C176" s="10" t="s">
        <v>662</v>
      </c>
      <c r="D176" s="10" t="s">
        <v>651</v>
      </c>
      <c r="E176" s="11" t="s">
        <v>1430</v>
      </c>
      <c r="F176" s="11" t="s">
        <v>1431</v>
      </c>
    </row>
    <row r="177" customFormat="false" ht="26.85" hidden="false" customHeight="false" outlineLevel="0" collapsed="false">
      <c r="A177" s="10" t="s">
        <v>664</v>
      </c>
      <c r="B177" s="10" t="s">
        <v>664</v>
      </c>
      <c r="C177" s="10" t="s">
        <v>665</v>
      </c>
      <c r="D177" s="10" t="s">
        <v>651</v>
      </c>
      <c r="E177" s="11" t="s">
        <v>1430</v>
      </c>
      <c r="F177" s="11" t="s">
        <v>1431</v>
      </c>
    </row>
    <row r="178" customFormat="false" ht="26.85" hidden="false" customHeight="false" outlineLevel="0" collapsed="false">
      <c r="A178" s="10" t="s">
        <v>667</v>
      </c>
      <c r="B178" s="10" t="s">
        <v>667</v>
      </c>
      <c r="C178" s="10" t="s">
        <v>668</v>
      </c>
      <c r="D178" s="10" t="s">
        <v>651</v>
      </c>
      <c r="E178" s="11" t="s">
        <v>1430</v>
      </c>
      <c r="F178" s="11" t="s">
        <v>1431</v>
      </c>
    </row>
    <row r="179" customFormat="false" ht="26.85" hidden="false" customHeight="false" outlineLevel="0" collapsed="false">
      <c r="A179" s="10" t="s">
        <v>670</v>
      </c>
      <c r="B179" s="10" t="s">
        <v>670</v>
      </c>
      <c r="C179" s="11" t="s">
        <v>671</v>
      </c>
      <c r="D179" s="10" t="s">
        <v>651</v>
      </c>
      <c r="E179" s="11" t="s">
        <v>1430</v>
      </c>
      <c r="F179" s="11" t="s">
        <v>1431</v>
      </c>
    </row>
    <row r="180" customFormat="false" ht="26.85" hidden="false" customHeight="false" outlineLevel="0" collapsed="false">
      <c r="A180" s="10" t="s">
        <v>673</v>
      </c>
      <c r="B180" s="10" t="s">
        <v>673</v>
      </c>
      <c r="C180" s="11" t="s">
        <v>674</v>
      </c>
      <c r="D180" s="10" t="s">
        <v>651</v>
      </c>
      <c r="E180" s="11" t="s">
        <v>1430</v>
      </c>
      <c r="F180" s="11" t="s">
        <v>1431</v>
      </c>
    </row>
    <row r="181" customFormat="false" ht="26.85" hidden="false" customHeight="false" outlineLevel="0" collapsed="false">
      <c r="A181" s="10" t="s">
        <v>676</v>
      </c>
      <c r="B181" s="10" t="s">
        <v>676</v>
      </c>
      <c r="C181" s="10" t="s">
        <v>678</v>
      </c>
      <c r="D181" s="10" t="s">
        <v>651</v>
      </c>
      <c r="E181" s="11" t="s">
        <v>1430</v>
      </c>
      <c r="F181" s="11" t="s">
        <v>1431</v>
      </c>
    </row>
    <row r="182" customFormat="false" ht="26.85" hidden="false" customHeight="false" outlineLevel="0" collapsed="false">
      <c r="A182" s="10" t="s">
        <v>680</v>
      </c>
      <c r="B182" s="10" t="s">
        <v>680</v>
      </c>
      <c r="C182" s="11" t="s">
        <v>681</v>
      </c>
      <c r="D182" s="10" t="s">
        <v>651</v>
      </c>
      <c r="E182" s="11" t="s">
        <v>1430</v>
      </c>
      <c r="F182" s="11" t="s">
        <v>1431</v>
      </c>
    </row>
    <row r="183" customFormat="false" ht="26.85" hidden="false" customHeight="false" outlineLevel="0" collapsed="false">
      <c r="A183" s="10" t="s">
        <v>683</v>
      </c>
      <c r="B183" s="10" t="s">
        <v>683</v>
      </c>
      <c r="C183" s="11" t="s">
        <v>684</v>
      </c>
      <c r="D183" s="10" t="s">
        <v>651</v>
      </c>
      <c r="E183" s="11" t="s">
        <v>1430</v>
      </c>
      <c r="F183" s="11" t="s">
        <v>1431</v>
      </c>
    </row>
    <row r="184" customFormat="false" ht="26.85" hidden="false" customHeight="false" outlineLevel="0" collapsed="false">
      <c r="A184" s="10" t="s">
        <v>686</v>
      </c>
      <c r="B184" s="10" t="s">
        <v>686</v>
      </c>
      <c r="C184" s="11" t="s">
        <v>687</v>
      </c>
      <c r="D184" s="10" t="s">
        <v>651</v>
      </c>
      <c r="E184" s="11" t="s">
        <v>1430</v>
      </c>
      <c r="F184" s="11" t="s">
        <v>1431</v>
      </c>
    </row>
    <row r="185" customFormat="false" ht="26.85" hidden="false" customHeight="false" outlineLevel="0" collapsed="false">
      <c r="A185" s="10" t="s">
        <v>689</v>
      </c>
      <c r="B185" s="10" t="s">
        <v>689</v>
      </c>
      <c r="C185" s="11" t="s">
        <v>690</v>
      </c>
      <c r="D185" s="10" t="s">
        <v>651</v>
      </c>
      <c r="E185" s="11" t="s">
        <v>1430</v>
      </c>
      <c r="F185" s="11" t="s">
        <v>1431</v>
      </c>
    </row>
    <row r="186" customFormat="false" ht="26.85" hidden="false" customHeight="false" outlineLevel="0" collapsed="false">
      <c r="A186" s="10" t="s">
        <v>692</v>
      </c>
      <c r="B186" s="10" t="s">
        <v>692</v>
      </c>
      <c r="C186" s="11" t="s">
        <v>694</v>
      </c>
      <c r="D186" s="10" t="s">
        <v>651</v>
      </c>
      <c r="E186" s="11" t="s">
        <v>1430</v>
      </c>
      <c r="F186" s="11" t="s">
        <v>1431</v>
      </c>
    </row>
    <row r="187" customFormat="false" ht="26.85" hidden="false" customHeight="false" outlineLevel="0" collapsed="false">
      <c r="A187" s="10" t="s">
        <v>696</v>
      </c>
      <c r="B187" s="10" t="s">
        <v>696</v>
      </c>
      <c r="C187" s="11" t="s">
        <v>697</v>
      </c>
      <c r="D187" s="10" t="s">
        <v>651</v>
      </c>
      <c r="E187" s="11" t="s">
        <v>1430</v>
      </c>
      <c r="F187" s="11" t="s">
        <v>1431</v>
      </c>
    </row>
    <row r="188" customFormat="false" ht="26.85" hidden="false" customHeight="false" outlineLevel="0" collapsed="false">
      <c r="A188" s="10" t="s">
        <v>699</v>
      </c>
      <c r="B188" s="10" t="s">
        <v>699</v>
      </c>
      <c r="C188" s="11" t="s">
        <v>700</v>
      </c>
      <c r="D188" s="10" t="s">
        <v>651</v>
      </c>
      <c r="E188" s="11" t="s">
        <v>1430</v>
      </c>
      <c r="F188" s="11" t="s">
        <v>1431</v>
      </c>
    </row>
    <row r="189" customFormat="false" ht="26.85" hidden="false" customHeight="false" outlineLevel="0" collapsed="false">
      <c r="A189" s="10" t="s">
        <v>702</v>
      </c>
      <c r="B189" s="10" t="s">
        <v>702</v>
      </c>
      <c r="C189" s="11" t="s">
        <v>703</v>
      </c>
      <c r="D189" s="10" t="s">
        <v>651</v>
      </c>
      <c r="E189" s="11" t="s">
        <v>1430</v>
      </c>
      <c r="F189" s="11" t="s">
        <v>1431</v>
      </c>
    </row>
    <row r="190" customFormat="false" ht="26.85" hidden="false" customHeight="false" outlineLevel="0" collapsed="false">
      <c r="A190" s="10" t="s">
        <v>705</v>
      </c>
      <c r="B190" s="10" t="s">
        <v>705</v>
      </c>
      <c r="C190" s="10" t="s">
        <v>707</v>
      </c>
      <c r="D190" s="10" t="s">
        <v>651</v>
      </c>
      <c r="E190" s="11" t="s">
        <v>1430</v>
      </c>
      <c r="F190" s="11" t="s">
        <v>1431</v>
      </c>
    </row>
    <row r="191" customFormat="false" ht="26.85" hidden="false" customHeight="false" outlineLevel="0" collapsed="false">
      <c r="A191" s="10" t="s">
        <v>709</v>
      </c>
      <c r="B191" s="10" t="s">
        <v>709</v>
      </c>
      <c r="C191" s="11" t="s">
        <v>710</v>
      </c>
      <c r="D191" s="10" t="s">
        <v>651</v>
      </c>
      <c r="E191" s="11" t="s">
        <v>1430</v>
      </c>
      <c r="F191" s="11" t="s">
        <v>1431</v>
      </c>
    </row>
    <row r="192" customFormat="false" ht="26.85" hidden="false" customHeight="false" outlineLevel="0" collapsed="false">
      <c r="A192" s="10" t="s">
        <v>712</v>
      </c>
      <c r="B192" s="10" t="s">
        <v>712</v>
      </c>
      <c r="C192" s="11" t="s">
        <v>713</v>
      </c>
      <c r="D192" s="10" t="s">
        <v>651</v>
      </c>
      <c r="E192" s="11" t="s">
        <v>1430</v>
      </c>
      <c r="F192" s="11" t="s">
        <v>1431</v>
      </c>
    </row>
    <row r="193" customFormat="false" ht="26.85" hidden="false" customHeight="false" outlineLevel="0" collapsed="false">
      <c r="A193" s="10" t="s">
        <v>715</v>
      </c>
      <c r="B193" s="10" t="s">
        <v>715</v>
      </c>
      <c r="C193" s="10" t="s">
        <v>718</v>
      </c>
      <c r="D193" s="10" t="s">
        <v>716</v>
      </c>
      <c r="E193" s="11" t="s">
        <v>1430</v>
      </c>
      <c r="F193" s="11" t="s">
        <v>1431</v>
      </c>
    </row>
    <row r="194" customFormat="false" ht="26.85" hidden="false" customHeight="false" outlineLevel="0" collapsed="false">
      <c r="A194" s="10" t="s">
        <v>720</v>
      </c>
      <c r="B194" s="10" t="s">
        <v>720</v>
      </c>
      <c r="C194" s="10" t="s">
        <v>721</v>
      </c>
      <c r="D194" s="10" t="s">
        <v>716</v>
      </c>
      <c r="E194" s="11" t="s">
        <v>1430</v>
      </c>
      <c r="F194" s="11" t="s">
        <v>1431</v>
      </c>
    </row>
    <row r="195" customFormat="false" ht="26.85" hidden="false" customHeight="false" outlineLevel="0" collapsed="false">
      <c r="A195" s="10" t="s">
        <v>723</v>
      </c>
      <c r="B195" s="10" t="s">
        <v>723</v>
      </c>
      <c r="C195" s="10" t="s">
        <v>724</v>
      </c>
      <c r="D195" s="10" t="s">
        <v>716</v>
      </c>
      <c r="E195" s="11" t="s">
        <v>1430</v>
      </c>
      <c r="F195" s="11" t="s">
        <v>1431</v>
      </c>
    </row>
    <row r="196" customFormat="false" ht="26.85" hidden="false" customHeight="false" outlineLevel="0" collapsed="false">
      <c r="A196" s="10" t="s">
        <v>726</v>
      </c>
      <c r="B196" s="10" t="s">
        <v>726</v>
      </c>
      <c r="C196" s="11" t="s">
        <v>727</v>
      </c>
      <c r="D196" s="10" t="s">
        <v>716</v>
      </c>
      <c r="E196" s="11" t="s">
        <v>1430</v>
      </c>
      <c r="F196" s="11" t="s">
        <v>1431</v>
      </c>
    </row>
    <row r="197" customFormat="false" ht="26.85" hidden="false" customHeight="false" outlineLevel="0" collapsed="false">
      <c r="A197" s="10" t="s">
        <v>729</v>
      </c>
      <c r="B197" s="10" t="s">
        <v>729</v>
      </c>
      <c r="C197" s="11" t="s">
        <v>730</v>
      </c>
      <c r="D197" s="10" t="s">
        <v>716</v>
      </c>
      <c r="E197" s="11" t="s">
        <v>1430</v>
      </c>
      <c r="F197" s="11" t="s">
        <v>1431</v>
      </c>
    </row>
    <row r="198" customFormat="false" ht="26.85" hidden="false" customHeight="false" outlineLevel="0" collapsed="false">
      <c r="A198" s="10" t="s">
        <v>732</v>
      </c>
      <c r="B198" s="10" t="s">
        <v>732</v>
      </c>
      <c r="C198" s="10" t="s">
        <v>733</v>
      </c>
      <c r="D198" s="10" t="s">
        <v>716</v>
      </c>
      <c r="E198" s="11" t="s">
        <v>1430</v>
      </c>
      <c r="F198" s="11" t="s">
        <v>1431</v>
      </c>
    </row>
    <row r="199" customFormat="false" ht="26.85" hidden="false" customHeight="false" outlineLevel="0" collapsed="false">
      <c r="A199" s="10" t="s">
        <v>735</v>
      </c>
      <c r="B199" s="10" t="s">
        <v>735</v>
      </c>
      <c r="C199" s="10" t="s">
        <v>736</v>
      </c>
      <c r="D199" s="10" t="s">
        <v>716</v>
      </c>
      <c r="E199" s="11" t="s">
        <v>1430</v>
      </c>
      <c r="F199" s="11" t="s">
        <v>1431</v>
      </c>
    </row>
    <row r="200" customFormat="false" ht="26.85" hidden="false" customHeight="false" outlineLevel="0" collapsed="false">
      <c r="A200" s="10" t="s">
        <v>738</v>
      </c>
      <c r="B200" s="10" t="s">
        <v>738</v>
      </c>
      <c r="C200" s="10" t="s">
        <v>740</v>
      </c>
      <c r="D200" s="10" t="s">
        <v>716</v>
      </c>
      <c r="E200" s="11" t="s">
        <v>1430</v>
      </c>
      <c r="F200" s="11" t="s">
        <v>1431</v>
      </c>
    </row>
    <row r="201" customFormat="false" ht="26.85" hidden="false" customHeight="false" outlineLevel="0" collapsed="false">
      <c r="A201" s="10" t="s">
        <v>742</v>
      </c>
      <c r="B201" s="10" t="s">
        <v>742</v>
      </c>
      <c r="C201" s="11" t="s">
        <v>743</v>
      </c>
      <c r="D201" s="10" t="s">
        <v>716</v>
      </c>
      <c r="E201" s="11" t="s">
        <v>1430</v>
      </c>
      <c r="F201" s="11" t="s">
        <v>1431</v>
      </c>
    </row>
    <row r="202" customFormat="false" ht="26.85" hidden="false" customHeight="false" outlineLevel="0" collapsed="false">
      <c r="A202" s="10" t="s">
        <v>745</v>
      </c>
      <c r="B202" s="10" t="s">
        <v>745</v>
      </c>
      <c r="C202" s="10" t="s">
        <v>746</v>
      </c>
      <c r="D202" s="10" t="s">
        <v>716</v>
      </c>
      <c r="E202" s="11" t="s">
        <v>1430</v>
      </c>
      <c r="F202" s="11" t="s">
        <v>1431</v>
      </c>
    </row>
    <row r="203" customFormat="false" ht="26.85" hidden="false" customHeight="false" outlineLevel="0" collapsed="false">
      <c r="A203" s="10" t="s">
        <v>748</v>
      </c>
      <c r="B203" s="10" t="s">
        <v>748</v>
      </c>
      <c r="C203" s="11" t="s">
        <v>749</v>
      </c>
      <c r="D203" s="10" t="s">
        <v>716</v>
      </c>
      <c r="E203" s="11" t="s">
        <v>1430</v>
      </c>
      <c r="F203" s="11" t="s">
        <v>1431</v>
      </c>
    </row>
    <row r="204" customFormat="false" ht="26.85" hidden="false" customHeight="false" outlineLevel="0" collapsed="false">
      <c r="A204" s="10" t="s">
        <v>751</v>
      </c>
      <c r="B204" s="10" t="s">
        <v>751</v>
      </c>
      <c r="C204" s="11" t="s">
        <v>752</v>
      </c>
      <c r="D204" s="10" t="s">
        <v>716</v>
      </c>
      <c r="E204" s="11" t="s">
        <v>1430</v>
      </c>
      <c r="F204" s="11" t="s">
        <v>1431</v>
      </c>
    </row>
    <row r="205" customFormat="false" ht="26.85" hidden="false" customHeight="false" outlineLevel="0" collapsed="false">
      <c r="A205" s="10" t="s">
        <v>754</v>
      </c>
      <c r="B205" s="10" t="s">
        <v>754</v>
      </c>
      <c r="C205" s="11" t="s">
        <v>755</v>
      </c>
      <c r="D205" s="10" t="s">
        <v>716</v>
      </c>
      <c r="E205" s="11" t="s">
        <v>1430</v>
      </c>
      <c r="F205" s="11" t="s">
        <v>1431</v>
      </c>
    </row>
    <row r="206" customFormat="false" ht="26.85" hidden="false" customHeight="false" outlineLevel="0" collapsed="false">
      <c r="A206" s="10" t="s">
        <v>757</v>
      </c>
      <c r="B206" s="10" t="s">
        <v>757</v>
      </c>
      <c r="C206" s="11" t="s">
        <v>759</v>
      </c>
      <c r="D206" s="10" t="s">
        <v>716</v>
      </c>
      <c r="E206" s="11" t="s">
        <v>1430</v>
      </c>
      <c r="F206" s="11" t="s">
        <v>1431</v>
      </c>
    </row>
    <row r="207" customFormat="false" ht="26.85" hidden="false" customHeight="false" outlineLevel="0" collapsed="false">
      <c r="A207" s="10" t="s">
        <v>761</v>
      </c>
      <c r="B207" s="10" t="s">
        <v>761</v>
      </c>
      <c r="C207" s="11" t="s">
        <v>762</v>
      </c>
      <c r="D207" s="10" t="s">
        <v>716</v>
      </c>
      <c r="E207" s="11" t="s">
        <v>1430</v>
      </c>
      <c r="F207" s="11" t="s">
        <v>1431</v>
      </c>
    </row>
    <row r="208" customFormat="false" ht="26.85" hidden="false" customHeight="false" outlineLevel="0" collapsed="false">
      <c r="A208" s="10" t="s">
        <v>764</v>
      </c>
      <c r="B208" s="10" t="s">
        <v>764</v>
      </c>
      <c r="C208" s="11" t="s">
        <v>766</v>
      </c>
      <c r="D208" s="10" t="s">
        <v>716</v>
      </c>
      <c r="E208" s="11" t="s">
        <v>1430</v>
      </c>
      <c r="F208" s="11" t="s">
        <v>1431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30"/>
    <col collapsed="false" customWidth="true" hidden="false" outlineLevel="0" max="3" min="3" style="0" width="15"/>
    <col collapsed="false" customWidth="true" hidden="false" outlineLevel="0" max="4" min="4" style="0" width="30"/>
    <col collapsed="false" customWidth="true" hidden="false" outlineLevel="0" max="5" min="5" style="0" width="36"/>
    <col collapsed="false" customWidth="true" hidden="false" outlineLevel="0" max="6" min="6" style="0" width="22"/>
  </cols>
  <sheetData>
    <row r="1" customFormat="false" ht="15" hidden="false" customHeight="false" outlineLevel="0" collapsed="false">
      <c r="A1" s="8" t="s">
        <v>768</v>
      </c>
      <c r="B1" s="8" t="s">
        <v>769</v>
      </c>
      <c r="C1" s="8" t="s">
        <v>777</v>
      </c>
      <c r="D1" s="8" t="s">
        <v>1432</v>
      </c>
      <c r="E1" s="8" t="s">
        <v>1433</v>
      </c>
      <c r="F1" s="8" t="s">
        <v>1434</v>
      </c>
    </row>
    <row r="2" customFormat="false" ht="26.85" hidden="false" customHeight="false" outlineLevel="0" collapsed="false">
      <c r="A2" s="10" t="s">
        <v>350</v>
      </c>
      <c r="B2" s="10" t="s">
        <v>352</v>
      </c>
      <c r="C2" s="10" t="s">
        <v>221</v>
      </c>
      <c r="D2" s="10" t="s">
        <v>222</v>
      </c>
      <c r="E2" s="11" t="s">
        <v>1435</v>
      </c>
      <c r="F2" s="11" t="s">
        <v>1436</v>
      </c>
    </row>
    <row r="3" customFormat="false" ht="26.85" hidden="false" customHeight="false" outlineLevel="0" collapsed="false">
      <c r="A3" s="10" t="s">
        <v>548</v>
      </c>
      <c r="B3" s="10" t="s">
        <v>550</v>
      </c>
      <c r="C3" s="10" t="s">
        <v>260</v>
      </c>
      <c r="D3" s="10" t="s">
        <v>261</v>
      </c>
      <c r="E3" s="11" t="s">
        <v>1437</v>
      </c>
      <c r="F3" s="10" t="s">
        <v>1438</v>
      </c>
    </row>
    <row r="4" customFormat="false" ht="26.85" hidden="false" customHeight="false" outlineLevel="0" collapsed="false">
      <c r="A4" s="10" t="s">
        <v>354</v>
      </c>
      <c r="B4" s="10" t="s">
        <v>355</v>
      </c>
      <c r="C4" s="10" t="s">
        <v>224</v>
      </c>
      <c r="D4" s="10" t="s">
        <v>225</v>
      </c>
      <c r="E4" s="11" t="s">
        <v>1439</v>
      </c>
      <c r="F4" s="11" t="s">
        <v>1440</v>
      </c>
    </row>
    <row r="5" customFormat="false" ht="26.85" hidden="false" customHeight="false" outlineLevel="0" collapsed="false">
      <c r="A5" s="10" t="s">
        <v>470</v>
      </c>
      <c r="B5" s="11" t="s">
        <v>471</v>
      </c>
      <c r="C5" s="10" t="s">
        <v>269</v>
      </c>
      <c r="D5" s="10" t="s">
        <v>270</v>
      </c>
      <c r="E5" s="11" t="s">
        <v>1441</v>
      </c>
      <c r="F5" s="11" t="s">
        <v>1442</v>
      </c>
    </row>
    <row r="6" customFormat="false" ht="22.35" hidden="false" customHeight="false" outlineLevel="0" collapsed="false">
      <c r="A6" s="10" t="s">
        <v>624</v>
      </c>
      <c r="B6" s="10" t="s">
        <v>626</v>
      </c>
      <c r="C6" s="10" t="s">
        <v>640</v>
      </c>
      <c r="D6" s="10" t="s">
        <v>642</v>
      </c>
      <c r="E6" s="11" t="s">
        <v>1443</v>
      </c>
      <c r="F6" s="11" t="s">
        <v>1444</v>
      </c>
    </row>
    <row r="7" customFormat="false" ht="22.35" hidden="false" customHeight="false" outlineLevel="0" collapsed="false">
      <c r="A7" s="10" t="s">
        <v>634</v>
      </c>
      <c r="B7" s="10" t="s">
        <v>635</v>
      </c>
      <c r="C7" s="10" t="s">
        <v>624</v>
      </c>
      <c r="D7" s="10" t="s">
        <v>626</v>
      </c>
      <c r="E7" s="11" t="s">
        <v>1445</v>
      </c>
      <c r="F7" s="10" t="s">
        <v>1446</v>
      </c>
    </row>
    <row r="8" customFormat="false" ht="26.85" hidden="false" customHeight="false" outlineLevel="0" collapsed="false">
      <c r="A8" s="10" t="s">
        <v>628</v>
      </c>
      <c r="B8" s="10" t="s">
        <v>629</v>
      </c>
      <c r="C8" s="10" t="s">
        <v>298</v>
      </c>
      <c r="D8" s="10" t="s">
        <v>300</v>
      </c>
      <c r="E8" s="11" t="s">
        <v>1447</v>
      </c>
      <c r="F8" s="11" t="s">
        <v>1448</v>
      </c>
    </row>
    <row r="9" customFormat="false" ht="26.85" hidden="false" customHeight="false" outlineLevel="0" collapsed="false">
      <c r="A9" s="10" t="s">
        <v>432</v>
      </c>
      <c r="B9" s="11" t="s">
        <v>434</v>
      </c>
      <c r="C9" s="10" t="s">
        <v>216</v>
      </c>
      <c r="D9" s="10" t="s">
        <v>219</v>
      </c>
      <c r="E9" s="11" t="s">
        <v>1449</v>
      </c>
      <c r="F9" s="11" t="s">
        <v>1450</v>
      </c>
    </row>
    <row r="10" customFormat="false" ht="26.85" hidden="false" customHeight="false" outlineLevel="0" collapsed="false">
      <c r="A10" s="10" t="s">
        <v>592</v>
      </c>
      <c r="B10" s="11" t="s">
        <v>593</v>
      </c>
      <c r="C10" s="10" t="s">
        <v>467</v>
      </c>
      <c r="D10" s="11" t="s">
        <v>468</v>
      </c>
      <c r="E10" s="11" t="s">
        <v>1451</v>
      </c>
      <c r="F10" s="11" t="s">
        <v>1452</v>
      </c>
    </row>
    <row r="11" customFormat="false" ht="26.85" hidden="false" customHeight="false" outlineLevel="0" collapsed="false">
      <c r="A11" s="10" t="s">
        <v>676</v>
      </c>
      <c r="B11" s="10" t="s">
        <v>678</v>
      </c>
      <c r="C11" s="10" t="s">
        <v>583</v>
      </c>
      <c r="D11" s="11" t="s">
        <v>584</v>
      </c>
      <c r="E11" s="11" t="s">
        <v>1453</v>
      </c>
      <c r="F11" s="11" t="s">
        <v>1454</v>
      </c>
    </row>
    <row r="12" customFormat="false" ht="26.85" hidden="false" customHeight="false" outlineLevel="0" collapsed="false">
      <c r="A12" s="10" t="s">
        <v>401</v>
      </c>
      <c r="B12" s="11" t="s">
        <v>402</v>
      </c>
      <c r="C12" s="10" t="s">
        <v>263</v>
      </c>
      <c r="D12" s="10" t="s">
        <v>264</v>
      </c>
      <c r="E12" s="11" t="s">
        <v>1455</v>
      </c>
      <c r="F12" s="10" t="s">
        <v>1456</v>
      </c>
    </row>
    <row r="13" customFormat="false" ht="26.85" hidden="false" customHeight="false" outlineLevel="0" collapsed="false">
      <c r="A13" s="10" t="s">
        <v>366</v>
      </c>
      <c r="B13" s="11" t="s">
        <v>367</v>
      </c>
      <c r="C13" s="10" t="s">
        <v>363</v>
      </c>
      <c r="D13" s="11" t="s">
        <v>364</v>
      </c>
      <c r="E13" s="11" t="s">
        <v>1457</v>
      </c>
      <c r="F13" s="10" t="s">
        <v>1458</v>
      </c>
    </row>
    <row r="14" customFormat="false" ht="26.85" hidden="false" customHeight="false" outlineLevel="0" collapsed="false">
      <c r="A14" s="10" t="s">
        <v>729</v>
      </c>
      <c r="B14" s="11" t="s">
        <v>730</v>
      </c>
      <c r="C14" s="10" t="s">
        <v>272</v>
      </c>
      <c r="D14" s="10" t="s">
        <v>273</v>
      </c>
      <c r="E14" s="11" t="s">
        <v>1459</v>
      </c>
      <c r="F14" s="11" t="s">
        <v>1460</v>
      </c>
    </row>
    <row r="15" customFormat="false" ht="26.85" hidden="false" customHeight="false" outlineLevel="0" collapsed="false">
      <c r="A15" s="10" t="s">
        <v>426</v>
      </c>
      <c r="B15" s="10" t="s">
        <v>427</v>
      </c>
      <c r="C15" s="10" t="s">
        <v>423</v>
      </c>
      <c r="D15" s="11" t="s">
        <v>424</v>
      </c>
      <c r="E15" s="11" t="s">
        <v>1461</v>
      </c>
      <c r="F15" s="11" t="s">
        <v>1462</v>
      </c>
    </row>
    <row r="16" customFormat="false" ht="26.85" hidden="false" customHeight="false" outlineLevel="0" collapsed="false">
      <c r="A16" s="10" t="s">
        <v>692</v>
      </c>
      <c r="B16" s="11" t="s">
        <v>694</v>
      </c>
      <c r="C16" s="10" t="s">
        <v>661</v>
      </c>
      <c r="D16" s="10" t="s">
        <v>662</v>
      </c>
      <c r="E16" s="11" t="s">
        <v>1463</v>
      </c>
      <c r="F16" s="11" t="s">
        <v>1464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6"/>
    <col collapsed="false" customWidth="true" hidden="false" outlineLevel="0" max="3" min="3" style="0" width="10"/>
    <col collapsed="false" customWidth="true" hidden="false" outlineLevel="0" max="4" min="4" style="0" width="7"/>
    <col collapsed="false" customWidth="true" hidden="false" outlineLevel="0" max="5" min="5" style="0" width="15"/>
    <col collapsed="false" customWidth="true" hidden="false" outlineLevel="0" max="6" min="6" style="0" width="26"/>
    <col collapsed="false" customWidth="true" hidden="false" outlineLevel="0" max="7" min="7" style="0" width="6"/>
  </cols>
  <sheetData>
    <row r="1" customFormat="false" ht="29.85" hidden="false" customHeight="false" outlineLevel="0" collapsed="false">
      <c r="A1" s="8" t="s">
        <v>69</v>
      </c>
      <c r="B1" s="8" t="s">
        <v>1465</v>
      </c>
      <c r="C1" s="8" t="s">
        <v>58</v>
      </c>
      <c r="D1" s="8" t="s">
        <v>79</v>
      </c>
      <c r="E1" s="8" t="s">
        <v>768</v>
      </c>
      <c r="F1" s="8" t="s">
        <v>769</v>
      </c>
      <c r="G1" s="8" t="s">
        <v>70</v>
      </c>
    </row>
    <row r="2" customFormat="false" ht="22.35" hidden="false" customHeight="false" outlineLevel="0" collapsed="false">
      <c r="A2" s="10" t="str">
        <f aca="false">01_評価入力!A2</f>
        <v>AIMF-GV-ORG-001</v>
      </c>
      <c r="B2" s="10" t="str">
        <f aca="false">01_評価入力!S2</f>
        <v/>
      </c>
      <c r="C2" s="10" t="str">
        <f aca="false">01_評価入力!R2</f>
        <v/>
      </c>
      <c r="D2" s="10" t="str">
        <f aca="false">01_評価入力!K2</f>
        <v/>
      </c>
      <c r="E2" s="10" t="str">
        <f aca="false">01_評価入力!T2</f>
        <v>AIMF-GV-ORG-001</v>
      </c>
      <c r="F2" s="10" t="str">
        <f aca="false">01_評価入力!U2</f>
        <v>AIガバナンス委員会の設置</v>
      </c>
      <c r="G2" s="10" t="str">
        <f aca="false">IF($E2="","",IFERROR(VLOOKUP($E2,02_施策マスター!$A:$C,3,0),""))</f>
        <v>GV</v>
      </c>
    </row>
    <row r="3" customFormat="false" ht="26.85" hidden="false" customHeight="false" outlineLevel="0" collapsed="false">
      <c r="A3" s="10" t="str">
        <f aca="false">01_評価入力!A3</f>
        <v>AIMF-GV-ORG-002</v>
      </c>
      <c r="B3" s="10" t="str">
        <f aca="false">01_評価入力!S3</f>
        <v/>
      </c>
      <c r="C3" s="10" t="str">
        <f aca="false">01_評価入力!R3</f>
        <v/>
      </c>
      <c r="D3" s="10" t="str">
        <f aca="false">01_評価入力!K3</f>
        <v/>
      </c>
      <c r="E3" s="10" t="str">
        <f aca="false">01_評価入力!T3</f>
        <v>AIMF-GV-ORG-002</v>
      </c>
      <c r="F3" s="10" t="str">
        <f aca="false">01_評価入力!U3</f>
        <v>AI活用基本方針・ガイドラインの策定</v>
      </c>
      <c r="G3" s="10" t="str">
        <f aca="false">IF($E3="","",IFERROR(VLOOKUP($E3,02_施策マスター!$A:$C,3,0),""))</f>
        <v>GV</v>
      </c>
    </row>
    <row r="4" customFormat="false" ht="26.85" hidden="false" customHeight="false" outlineLevel="0" collapsed="false">
      <c r="A4" s="10" t="str">
        <f aca="false">01_評価入力!A4</f>
        <v>AIMF-GV-ORG-003</v>
      </c>
      <c r="B4" s="10" t="str">
        <f aca="false">01_評価入力!S4</f>
        <v/>
      </c>
      <c r="C4" s="10" t="str">
        <f aca="false">01_評価入力!R4</f>
        <v/>
      </c>
      <c r="D4" s="10" t="str">
        <f aca="false">01_評価入力!K4</f>
        <v/>
      </c>
      <c r="E4" s="10" t="str">
        <f aca="false">01_評価入力!T4</f>
        <v>AIMF-GV-ORG-003</v>
      </c>
      <c r="F4" s="10" t="str">
        <f aca="false">01_評価入力!U4</f>
        <v>AIリスクアセスメント・プロジェクト承認プロセスの構築</v>
      </c>
      <c r="G4" s="10" t="str">
        <f aca="false">IF($E4="","",IFERROR(VLOOKUP($E4,02_施策マスター!$A:$C,3,0),""))</f>
        <v>GV</v>
      </c>
    </row>
    <row r="5" customFormat="false" ht="22.35" hidden="false" customHeight="false" outlineLevel="0" collapsed="false">
      <c r="A5" s="10" t="str">
        <f aca="false">01_評価入力!A5</f>
        <v>AIMF-GV-ORG-004</v>
      </c>
      <c r="B5" s="10" t="str">
        <f aca="false">01_評価入力!S5</f>
        <v/>
      </c>
      <c r="C5" s="10" t="str">
        <f aca="false">01_評価入力!R5</f>
        <v/>
      </c>
      <c r="D5" s="10" t="str">
        <f aca="false">01_評価入力!K5</f>
        <v/>
      </c>
      <c r="E5" s="10" t="str">
        <f aca="false">01_評価入力!T5</f>
        <v>AIMF-GV-ORG-004</v>
      </c>
      <c r="F5" s="10" t="str">
        <f aca="false">01_評価入力!U5</f>
        <v>AIセキュリティ文化の醸成</v>
      </c>
      <c r="G5" s="10" t="str">
        <f aca="false">IF($E5="","",IFERROR(VLOOKUP($E5,02_施策マスター!$A:$C,3,0),""))</f>
        <v>GV</v>
      </c>
    </row>
    <row r="6" customFormat="false" ht="26.85" hidden="false" customHeight="false" outlineLevel="0" collapsed="false">
      <c r="A6" s="10" t="str">
        <f aca="false">01_評価入力!A6</f>
        <v>AIMF-GV-ORG-005</v>
      </c>
      <c r="B6" s="10" t="str">
        <f aca="false">01_評価入力!S6</f>
        <v/>
      </c>
      <c r="C6" s="10" t="str">
        <f aca="false">01_評価入力!R6</f>
        <v/>
      </c>
      <c r="D6" s="10" t="str">
        <f aca="false">01_評価入力!K6</f>
        <v/>
      </c>
      <c r="E6" s="10" t="str">
        <f aca="false">01_評価入力!T6</f>
        <v>AIMF-GV-ORG-005</v>
      </c>
      <c r="F6" s="10" t="str">
        <f aca="false">01_評価入力!U6</f>
        <v>AIセキュリティの社内コミュニケーション強化</v>
      </c>
      <c r="G6" s="10" t="str">
        <f aca="false">IF($E6="","",IFERROR(VLOOKUP($E6,02_施策マスター!$A:$C,3,0),""))</f>
        <v>GV</v>
      </c>
    </row>
    <row r="7" customFormat="false" ht="26.85" hidden="false" customHeight="false" outlineLevel="0" collapsed="false">
      <c r="A7" s="10" t="str">
        <f aca="false">01_評価入力!A7</f>
        <v>AIMF-GV-ORG-006</v>
      </c>
      <c r="B7" s="10" t="str">
        <f aca="false">01_評価入力!S7</f>
        <v/>
      </c>
      <c r="C7" s="10" t="str">
        <f aca="false">01_評価入力!R7</f>
        <v/>
      </c>
      <c r="D7" s="10" t="str">
        <f aca="false">01_評価入力!K7</f>
        <v/>
      </c>
      <c r="E7" s="10" t="str">
        <f aca="false">01_評価入力!T7</f>
        <v>AIMF-GV-ORG-006</v>
      </c>
      <c r="F7" s="10" t="str">
        <f aca="false">01_評価入力!U7</f>
        <v>AI統括責任者（CAIO/AIセキュリティ責任者）の任命</v>
      </c>
      <c r="G7" s="10" t="str">
        <f aca="false">IF($E7="","",IFERROR(VLOOKUP($E7,02_施策マスター!$A:$C,3,0),""))</f>
        <v>GV</v>
      </c>
    </row>
    <row r="8" customFormat="false" ht="26.85" hidden="false" customHeight="false" outlineLevel="0" collapsed="false">
      <c r="A8" s="10" t="str">
        <f aca="false">01_評価入力!A8</f>
        <v>AIMF-GV-ORG-007</v>
      </c>
      <c r="B8" s="10" t="str">
        <f aca="false">01_評価入力!S8</f>
        <v/>
      </c>
      <c r="C8" s="10" t="str">
        <f aca="false">01_評価入力!R8</f>
        <v/>
      </c>
      <c r="D8" s="10" t="str">
        <f aca="false">01_評価入力!K8</f>
        <v/>
      </c>
      <c r="E8" s="10" t="str">
        <f aca="false">01_評価入力!T8</f>
        <v>AIMF-GV-ORG-007</v>
      </c>
      <c r="F8" s="10" t="str">
        <f aca="false">01_評価入力!U8</f>
        <v>AIセキュリティ予算・リソースの確保</v>
      </c>
      <c r="G8" s="10" t="str">
        <f aca="false">IF($E8="","",IFERROR(VLOOKUP($E8,02_施策マスター!$A:$C,3,0),""))</f>
        <v>GV</v>
      </c>
    </row>
    <row r="9" customFormat="false" ht="26.85" hidden="false" customHeight="false" outlineLevel="0" collapsed="false">
      <c r="A9" s="10" t="str">
        <f aca="false">01_評価入力!A9</f>
        <v>AIMF-GV-ORG-008</v>
      </c>
      <c r="B9" s="10" t="str">
        <f aca="false">01_評価入力!S9</f>
        <v/>
      </c>
      <c r="C9" s="10" t="str">
        <f aca="false">01_評価入力!R9</f>
        <v/>
      </c>
      <c r="D9" s="10" t="str">
        <f aca="false">01_評価入力!K9</f>
        <v/>
      </c>
      <c r="E9" s="10" t="str">
        <f aca="false">01_評価入力!T9</f>
        <v>AIMF-GV-ORG-008</v>
      </c>
      <c r="F9" s="10" t="str">
        <f aca="false">01_評価入力!U9</f>
        <v>AIライフサイクル全体のRACI定義</v>
      </c>
      <c r="G9" s="10" t="str">
        <f aca="false">IF($E9="","",IFERROR(VLOOKUP($E9,02_施策マスター!$A:$C,3,0),""))</f>
        <v>GV</v>
      </c>
    </row>
    <row r="10" customFormat="false" ht="22.35" hidden="false" customHeight="false" outlineLevel="0" collapsed="false">
      <c r="A10" s="10" t="str">
        <f aca="false">01_評価入力!A10</f>
        <v>AIMF-GV-ORG-009</v>
      </c>
      <c r="B10" s="10" t="str">
        <f aca="false">01_評価入力!S10</f>
        <v/>
      </c>
      <c r="C10" s="10" t="str">
        <f aca="false">01_評価入力!R10</f>
        <v/>
      </c>
      <c r="D10" s="10" t="str">
        <f aca="false">01_評価入力!K10</f>
        <v/>
      </c>
      <c r="E10" s="10" t="str">
        <f aca="false">01_評価入力!T10</f>
        <v>AIMF-GV-ORG-009</v>
      </c>
      <c r="F10" s="10" t="str">
        <f aca="false">01_評価入力!U10</f>
        <v>AI倫理審査との連携プロセス</v>
      </c>
      <c r="G10" s="10" t="str">
        <f aca="false">IF($E10="","",IFERROR(VLOOKUP($E10,02_施策マスター!$A:$C,3,0),""))</f>
        <v>GV</v>
      </c>
    </row>
    <row r="11" customFormat="false" ht="22.35" hidden="false" customHeight="false" outlineLevel="0" collapsed="false">
      <c r="A11" s="10" t="str">
        <f aca="false">01_評価入力!A11</f>
        <v>AIMF-GV-POL-001</v>
      </c>
      <c r="B11" s="10" t="str">
        <f aca="false">01_評価入力!S11</f>
        <v/>
      </c>
      <c r="C11" s="10" t="str">
        <f aca="false">01_評価入力!R11</f>
        <v/>
      </c>
      <c r="D11" s="10" t="str">
        <f aca="false">01_評価入力!K11</f>
        <v/>
      </c>
      <c r="E11" s="10" t="str">
        <f aca="false">01_評価入力!T11</f>
        <v>AIMF-GV-POL-001</v>
      </c>
      <c r="F11" s="10" t="str">
        <f aca="false">01_評価入力!U11</f>
        <v>AIポリシースイートの体系化</v>
      </c>
      <c r="G11" s="10" t="str">
        <f aca="false">IF($E11="","",IFERROR(VLOOKUP($E11,02_施策マスター!$A:$C,3,0),""))</f>
        <v>GV</v>
      </c>
    </row>
    <row r="12" customFormat="false" ht="26.85" hidden="false" customHeight="false" outlineLevel="0" collapsed="false">
      <c r="A12" s="10" t="str">
        <f aca="false">01_評価入力!A12</f>
        <v>AIMF-GV-POL-002</v>
      </c>
      <c r="B12" s="10" t="str">
        <f aca="false">01_評価入力!S12</f>
        <v/>
      </c>
      <c r="C12" s="10" t="str">
        <f aca="false">01_評価入力!R12</f>
        <v/>
      </c>
      <c r="D12" s="10" t="str">
        <f aca="false">01_評価入力!K12</f>
        <v/>
      </c>
      <c r="E12" s="10" t="str">
        <f aca="false">01_評価入力!T12</f>
        <v>AIMF-GV-POL-002</v>
      </c>
      <c r="F12" s="10" t="str">
        <f aca="false">01_評価入力!U12</f>
        <v>生成AI利用細則（入力禁止情報・プロンプト取扱規程）</v>
      </c>
      <c r="G12" s="10" t="str">
        <f aca="false">IF($E12="","",IFERROR(VLOOKUP($E12,02_施策マスター!$A:$C,3,0),""))</f>
        <v>GV</v>
      </c>
    </row>
    <row r="13" customFormat="false" ht="26.85" hidden="false" customHeight="false" outlineLevel="0" collapsed="false">
      <c r="A13" s="10" t="str">
        <f aca="false">01_評価入力!A13</f>
        <v>AIMF-GV-POL-003</v>
      </c>
      <c r="B13" s="10" t="str">
        <f aca="false">01_評価入力!S13</f>
        <v/>
      </c>
      <c r="C13" s="10" t="str">
        <f aca="false">01_評価入力!R13</f>
        <v/>
      </c>
      <c r="D13" s="10" t="str">
        <f aca="false">01_評価入力!K13</f>
        <v/>
      </c>
      <c r="E13" s="10" t="str">
        <f aca="false">01_評価入力!T13</f>
        <v>AIMF-GV-POL-003</v>
      </c>
      <c r="F13" s="10" t="str">
        <f aca="false">01_評価入力!U13</f>
        <v>承認済みAIサービスカタログと例外管理</v>
      </c>
      <c r="G13" s="10" t="str">
        <f aca="false">IF($E13="","",IFERROR(VLOOKUP($E13,02_施策マスター!$A:$C,3,0),""))</f>
        <v>GV</v>
      </c>
    </row>
    <row r="14" customFormat="false" ht="26.85" hidden="false" customHeight="false" outlineLevel="0" collapsed="false">
      <c r="A14" s="10" t="str">
        <f aca="false">01_評価入力!A14</f>
        <v>AIMF-GV-POL-004</v>
      </c>
      <c r="B14" s="10" t="str">
        <f aca="false">01_評価入力!S14</f>
        <v/>
      </c>
      <c r="C14" s="10" t="str">
        <f aca="false">01_評価入力!R14</f>
        <v/>
      </c>
      <c r="D14" s="10" t="str">
        <f aca="false">01_評価入力!K14</f>
        <v/>
      </c>
      <c r="E14" s="10" t="str">
        <f aca="false">01_評価入力!T14</f>
        <v>AIMF-GV-POL-004</v>
      </c>
      <c r="F14" s="10" t="str">
        <f aca="false">01_評価入力!U14</f>
        <v>AIサービス利用規約・提供条件の遵守管理</v>
      </c>
      <c r="G14" s="10" t="str">
        <f aca="false">IF($E14="","",IFERROR(VLOOKUP($E14,02_施策マスター!$A:$C,3,0),""))</f>
        <v>GV</v>
      </c>
    </row>
    <row r="15" customFormat="false" ht="26.85" hidden="false" customHeight="false" outlineLevel="0" collapsed="false">
      <c r="A15" s="10" t="str">
        <f aca="false">01_評価入力!A15</f>
        <v>AIMF-GV-POL-005</v>
      </c>
      <c r="B15" s="10" t="str">
        <f aca="false">01_評価入力!S15</f>
        <v/>
      </c>
      <c r="C15" s="10" t="str">
        <f aca="false">01_評価入力!R15</f>
        <v/>
      </c>
      <c r="D15" s="10" t="str">
        <f aca="false">01_評価入力!K15</f>
        <v/>
      </c>
      <c r="E15" s="10" t="str">
        <f aca="false">01_評価入力!T15</f>
        <v>AIMF-GV-POL-005</v>
      </c>
      <c r="F15" s="10" t="str">
        <f aca="false">01_評価入力!U15</f>
        <v>ポリシーの技術進化への追随レビュー</v>
      </c>
      <c r="G15" s="10" t="str">
        <f aca="false">IF($E15="","",IFERROR(VLOOKUP($E15,02_施策マスター!$A:$C,3,0),""))</f>
        <v>GV</v>
      </c>
    </row>
    <row r="16" customFormat="false" ht="26.85" hidden="false" customHeight="false" outlineLevel="0" collapsed="false">
      <c r="A16" s="10" t="str">
        <f aca="false">01_評価入力!A16</f>
        <v>AIMF-GV-RSM-001</v>
      </c>
      <c r="B16" s="10" t="str">
        <f aca="false">01_評価入力!S16</f>
        <v/>
      </c>
      <c r="C16" s="10" t="str">
        <f aca="false">01_評価入力!R16</f>
        <v/>
      </c>
      <c r="D16" s="10" t="str">
        <f aca="false">01_評価入力!K16</f>
        <v/>
      </c>
      <c r="E16" s="10" t="str">
        <f aca="false">01_評価入力!T16</f>
        <v>AIMF-GV-RSM-001</v>
      </c>
      <c r="F16" s="10" t="str">
        <f aca="false">01_評価入力!U16</f>
        <v>AIリスクマネジメントプロセスの体系化</v>
      </c>
      <c r="G16" s="10" t="str">
        <f aca="false">IF($E16="","",IFERROR(VLOOKUP($E16,02_施策マスター!$A:$C,3,0),""))</f>
        <v>GV</v>
      </c>
    </row>
    <row r="17" customFormat="false" ht="26.85" hidden="false" customHeight="false" outlineLevel="0" collapsed="false">
      <c r="A17" s="10" t="str">
        <f aca="false">01_評価入力!A17</f>
        <v>AIMF-GV-RSM-002</v>
      </c>
      <c r="B17" s="10" t="str">
        <f aca="false">01_評価入力!S17</f>
        <v/>
      </c>
      <c r="C17" s="10" t="str">
        <f aca="false">01_評価入力!R17</f>
        <v/>
      </c>
      <c r="D17" s="10" t="str">
        <f aca="false">01_評価入力!K17</f>
        <v/>
      </c>
      <c r="E17" s="10" t="str">
        <f aca="false">01_評価入力!T17</f>
        <v>AIMF-GV-RSM-002</v>
      </c>
      <c r="F17" s="10" t="str">
        <f aca="false">01_評価入力!U17</f>
        <v>AIシステム影響評価（AIIA）の実施</v>
      </c>
      <c r="G17" s="10" t="str">
        <f aca="false">IF($E17="","",IFERROR(VLOOKUP($E17,02_施策マスター!$A:$C,3,0),""))</f>
        <v>GV</v>
      </c>
    </row>
    <row r="18" customFormat="false" ht="22.35" hidden="false" customHeight="false" outlineLevel="0" collapsed="false">
      <c r="A18" s="10" t="str">
        <f aca="false">01_評価入力!A18</f>
        <v>AIMF-GV-RSM-003</v>
      </c>
      <c r="B18" s="10" t="str">
        <f aca="false">01_評価入力!S18</f>
        <v/>
      </c>
      <c r="C18" s="10" t="str">
        <f aca="false">01_評価入力!R18</f>
        <v/>
      </c>
      <c r="D18" s="10" t="str">
        <f aca="false">01_評価入力!K18</f>
        <v/>
      </c>
      <c r="E18" s="10" t="str">
        <f aca="false">01_評価入力!T18</f>
        <v>AIMF-GV-RSM-003</v>
      </c>
      <c r="F18" s="10" t="str">
        <f aca="false">01_評価入力!U18</f>
        <v>AIシステムのリスク分類・階層化</v>
      </c>
      <c r="G18" s="10" t="str">
        <f aca="false">IF($E18="","",IFERROR(VLOOKUP($E18,02_施策マスター!$A:$C,3,0),""))</f>
        <v>GV</v>
      </c>
    </row>
    <row r="19" customFormat="false" ht="22.35" hidden="false" customHeight="false" outlineLevel="0" collapsed="false">
      <c r="A19" s="10" t="str">
        <f aca="false">01_評価入力!A19</f>
        <v>AIMF-GV-RSM-004</v>
      </c>
      <c r="B19" s="10" t="str">
        <f aca="false">01_評価入力!S19</f>
        <v/>
      </c>
      <c r="C19" s="10" t="str">
        <f aca="false">01_評価入力!R19</f>
        <v/>
      </c>
      <c r="D19" s="10" t="str">
        <f aca="false">01_評価入力!K19</f>
        <v/>
      </c>
      <c r="E19" s="10" t="str">
        <f aca="false">01_評価入力!T19</f>
        <v>AIMF-GV-RSM-004</v>
      </c>
      <c r="F19" s="10" t="str">
        <f aca="false">01_評価入力!U19</f>
        <v>AIリスク登録簿の整備・維持</v>
      </c>
      <c r="G19" s="10" t="str">
        <f aca="false">IF($E19="","",IFERROR(VLOOKUP($E19,02_施策マスター!$A:$C,3,0),""))</f>
        <v>GV</v>
      </c>
    </row>
    <row r="20" customFormat="false" ht="26.85" hidden="false" customHeight="false" outlineLevel="0" collapsed="false">
      <c r="A20" s="10" t="str">
        <f aca="false">01_評価入力!A20</f>
        <v>AIMF-GV-RSM-005</v>
      </c>
      <c r="B20" s="10" t="str">
        <f aca="false">01_評価入力!S20</f>
        <v/>
      </c>
      <c r="C20" s="10" t="str">
        <f aca="false">01_評価入力!R20</f>
        <v/>
      </c>
      <c r="D20" s="10" t="str">
        <f aca="false">01_評価入力!K20</f>
        <v/>
      </c>
      <c r="E20" s="10" t="str">
        <f aca="false">01_評価入力!T20</f>
        <v>AIMF-GV-RSM-005</v>
      </c>
      <c r="F20" s="10" t="str">
        <f aca="false">01_評価入力!U20</f>
        <v>リスク受容基準と残存リスクの承認</v>
      </c>
      <c r="G20" s="10" t="str">
        <f aca="false">IF($E20="","",IFERROR(VLOOKUP($E20,02_施策マスター!$A:$C,3,0),""))</f>
        <v>GV</v>
      </c>
    </row>
    <row r="21" customFormat="false" ht="22.35" hidden="false" customHeight="false" outlineLevel="0" collapsed="false">
      <c r="A21" s="10" t="str">
        <f aca="false">01_評価入力!A21</f>
        <v>AIMF-GV-RSM-006</v>
      </c>
      <c r="B21" s="10" t="str">
        <f aca="false">01_評価入力!S21</f>
        <v/>
      </c>
      <c r="C21" s="10" t="str">
        <f aca="false">01_評価入力!R21</f>
        <v/>
      </c>
      <c r="D21" s="10" t="str">
        <f aca="false">01_評価入力!K21</f>
        <v/>
      </c>
      <c r="E21" s="10" t="str">
        <f aca="false">01_評価入力!T21</f>
        <v>AIMF-GV-RSM-006</v>
      </c>
      <c r="F21" s="10" t="str">
        <f aca="false">01_評価入力!U21</f>
        <v>脅威情報に基づくAIリスク評価</v>
      </c>
      <c r="G21" s="10" t="str">
        <f aca="false">IF($E21="","",IFERROR(VLOOKUP($E21,02_施策マスター!$A:$C,3,0),""))</f>
        <v>GV</v>
      </c>
    </row>
    <row r="22" customFormat="false" ht="26.85" hidden="false" customHeight="false" outlineLevel="0" collapsed="false">
      <c r="A22" s="10" t="str">
        <f aca="false">01_評価入力!A22</f>
        <v>AIMF-GV-RSM-007</v>
      </c>
      <c r="B22" s="10" t="str">
        <f aca="false">01_評価入力!S22</f>
        <v/>
      </c>
      <c r="C22" s="10" t="str">
        <f aca="false">01_評価入力!R22</f>
        <v/>
      </c>
      <c r="D22" s="10" t="str">
        <f aca="false">01_評価入力!K22</f>
        <v/>
      </c>
      <c r="E22" s="10" t="str">
        <f aca="false">01_評価入力!T22</f>
        <v>AIMF-GV-RSM-007</v>
      </c>
      <c r="F22" s="10" t="str">
        <f aca="false">01_評価入力!U22</f>
        <v>エージェントAI導入前の限定リスク評価</v>
      </c>
      <c r="G22" s="10" t="str">
        <f aca="false">IF($E22="","",IFERROR(VLOOKUP($E22,02_施策マスター!$A:$C,3,0),""))</f>
        <v>GV</v>
      </c>
    </row>
    <row r="23" customFormat="false" ht="26.85" hidden="false" customHeight="false" outlineLevel="0" collapsed="false">
      <c r="A23" s="10" t="str">
        <f aca="false">01_評価入力!A23</f>
        <v>AIMF-GV-RSM-008</v>
      </c>
      <c r="B23" s="10" t="str">
        <f aca="false">01_評価入力!S23</f>
        <v/>
      </c>
      <c r="C23" s="10" t="str">
        <f aca="false">01_評価入力!R23</f>
        <v/>
      </c>
      <c r="D23" s="10" t="str">
        <f aca="false">01_評価入力!K23</f>
        <v/>
      </c>
      <c r="E23" s="10" t="str">
        <f aca="false">01_評価入力!T23</f>
        <v>AIMF-GV-RSM-008</v>
      </c>
      <c r="F23" s="10" t="str">
        <f aca="false">01_評価入力!U23</f>
        <v>AIリスクKRIとエスカレーション閾値</v>
      </c>
      <c r="G23" s="10" t="str">
        <f aca="false">IF($E23="","",IFERROR(VLOOKUP($E23,02_施策マスター!$A:$C,3,0),""))</f>
        <v>GV</v>
      </c>
    </row>
    <row r="24" customFormat="false" ht="22.35" hidden="false" customHeight="false" outlineLevel="0" collapsed="false">
      <c r="A24" s="10" t="str">
        <f aca="false">01_評価入力!A24</f>
        <v>AIMF-GV-LGL-001</v>
      </c>
      <c r="B24" s="10" t="str">
        <f aca="false">01_評価入力!S24</f>
        <v/>
      </c>
      <c r="C24" s="10" t="str">
        <f aca="false">01_評価入力!R24</f>
        <v/>
      </c>
      <c r="D24" s="10" t="str">
        <f aca="false">01_評価入力!K24</f>
        <v/>
      </c>
      <c r="E24" s="10" t="str">
        <f aca="false">01_評価入力!T24</f>
        <v>AIMF-GV-LGL-001</v>
      </c>
      <c r="F24" s="10" t="str">
        <f aca="false">01_評価入力!U24</f>
        <v>AI法規制遵守の継続的確認</v>
      </c>
      <c r="G24" s="10" t="str">
        <f aca="false">IF($E24="","",IFERROR(VLOOKUP($E24,02_施策マスター!$A:$C,3,0),""))</f>
        <v>GV</v>
      </c>
    </row>
    <row r="25" customFormat="false" ht="26.85" hidden="false" customHeight="false" outlineLevel="0" collapsed="false">
      <c r="A25" s="10" t="str">
        <f aca="false">01_評価入力!A25</f>
        <v>AIMF-GV-LGL-002</v>
      </c>
      <c r="B25" s="10" t="str">
        <f aca="false">01_評価入力!S25</f>
        <v/>
      </c>
      <c r="C25" s="10" t="str">
        <f aca="false">01_評価入力!R25</f>
        <v/>
      </c>
      <c r="D25" s="10" t="str">
        <f aca="false">01_評価入力!K25</f>
        <v/>
      </c>
      <c r="E25" s="10" t="str">
        <f aca="false">01_評価入力!T25</f>
        <v>AIMF-GV-LGL-002</v>
      </c>
      <c r="F25" s="10" t="str">
        <f aca="false">01_評価入力!U25</f>
        <v>知的財産（著作権・特許）リスク評価</v>
      </c>
      <c r="G25" s="10" t="str">
        <f aca="false">IF($E25="","",IFERROR(VLOOKUP($E25,02_施策マスター!$A:$C,3,0),""))</f>
        <v>GV</v>
      </c>
    </row>
    <row r="26" customFormat="false" ht="26.85" hidden="false" customHeight="false" outlineLevel="0" collapsed="false">
      <c r="A26" s="10" t="str">
        <f aca="false">01_評価入力!A26</f>
        <v>AIMF-GV-LGL-003</v>
      </c>
      <c r="B26" s="10" t="str">
        <f aca="false">01_評価入力!S26</f>
        <v/>
      </c>
      <c r="C26" s="10" t="str">
        <f aca="false">01_評価入力!R26</f>
        <v/>
      </c>
      <c r="D26" s="10" t="str">
        <f aca="false">01_評価入力!K26</f>
        <v/>
      </c>
      <c r="E26" s="10" t="str">
        <f aca="false">01_評価入力!T26</f>
        <v>AIMF-GV-LGL-003</v>
      </c>
      <c r="F26" s="10" t="str">
        <f aca="false">01_評価入力!U26</f>
        <v>シャドーデータの徹底的なクレンジング</v>
      </c>
      <c r="G26" s="10" t="str">
        <f aca="false">IF($E26="","",IFERROR(VLOOKUP($E26,02_施策マスター!$A:$C,3,0),""))</f>
        <v>GV</v>
      </c>
    </row>
    <row r="27" customFormat="false" ht="22.35" hidden="false" customHeight="false" outlineLevel="0" collapsed="false">
      <c r="A27" s="10" t="str">
        <f aca="false">01_評価入力!A27</f>
        <v>AIMF-GV-LGL-004</v>
      </c>
      <c r="B27" s="10" t="str">
        <f aca="false">01_評価入力!S27</f>
        <v/>
      </c>
      <c r="C27" s="10" t="str">
        <f aca="false">01_評価入力!R27</f>
        <v/>
      </c>
      <c r="D27" s="10" t="str">
        <f aca="false">01_評価入力!K27</f>
        <v/>
      </c>
      <c r="E27" s="10" t="str">
        <f aca="false">01_評価入力!T27</f>
        <v>AIMF-GV-LGL-004</v>
      </c>
      <c r="F27" s="10" t="str">
        <f aca="false">01_評価入力!U27</f>
        <v>EU AI Act遵守プログラム</v>
      </c>
      <c r="G27" s="10" t="str">
        <f aca="false">IF($E27="","",IFERROR(VLOOKUP($E27,02_施策マスター!$A:$C,3,0),""))</f>
        <v>GV</v>
      </c>
    </row>
    <row r="28" customFormat="false" ht="22.35" hidden="false" customHeight="false" outlineLevel="0" collapsed="false">
      <c r="A28" s="10" t="str">
        <f aca="false">01_評価入力!A28</f>
        <v>AIMF-GV-LGL-005</v>
      </c>
      <c r="B28" s="10" t="str">
        <f aca="false">01_評価入力!S28</f>
        <v/>
      </c>
      <c r="C28" s="10" t="str">
        <f aca="false">01_評価入力!R28</f>
        <v/>
      </c>
      <c r="D28" s="10" t="str">
        <f aca="false">01_評価入力!K28</f>
        <v/>
      </c>
      <c r="E28" s="10" t="str">
        <f aca="false">01_評価入力!T28</f>
        <v>AIMF-GV-LGL-005</v>
      </c>
      <c r="F28" s="10" t="str">
        <f aca="false">01_評価入力!U28</f>
        <v>越境データ移転・域外適用の評価</v>
      </c>
      <c r="G28" s="10" t="str">
        <f aca="false">IF($E28="","",IFERROR(VLOOKUP($E28,02_施策マスター!$A:$C,3,0),""))</f>
        <v>GV</v>
      </c>
    </row>
    <row r="29" customFormat="false" ht="22.35" hidden="false" customHeight="false" outlineLevel="0" collapsed="false">
      <c r="A29" s="10" t="str">
        <f aca="false">01_評価入力!A29</f>
        <v>AIMF-GV-AUD-001</v>
      </c>
      <c r="B29" s="10" t="str">
        <f aca="false">01_評価入力!S29</f>
        <v/>
      </c>
      <c r="C29" s="10" t="str">
        <f aca="false">01_評価入力!R29</f>
        <v/>
      </c>
      <c r="D29" s="10" t="str">
        <f aca="false">01_評価入力!K29</f>
        <v/>
      </c>
      <c r="E29" s="10" t="str">
        <f aca="false">01_評価入力!T29</f>
        <v>AIMF-GV-AUD-001</v>
      </c>
      <c r="F29" s="10" t="str">
        <f aca="false">01_評価入力!U29</f>
        <v>内部監査・マネジメントレビュー</v>
      </c>
      <c r="G29" s="10" t="str">
        <f aca="false">IF($E29="","",IFERROR(VLOOKUP($E29,02_施策マスター!$A:$C,3,0),""))</f>
        <v>GV</v>
      </c>
    </row>
    <row r="30" customFormat="false" ht="22.35" hidden="false" customHeight="false" outlineLevel="0" collapsed="false">
      <c r="A30" s="10" t="str">
        <f aca="false">01_評価入力!A30</f>
        <v>AIMF-GV-AUD-002</v>
      </c>
      <c r="B30" s="10" t="str">
        <f aca="false">01_評価入力!S30</f>
        <v/>
      </c>
      <c r="C30" s="10" t="str">
        <f aca="false">01_評価入力!R30</f>
        <v/>
      </c>
      <c r="D30" s="10" t="str">
        <f aca="false">01_評価入力!K30</f>
        <v/>
      </c>
      <c r="E30" s="10" t="str">
        <f aca="false">01_評価入力!T30</f>
        <v>AIMF-GV-AUD-002</v>
      </c>
      <c r="F30" s="10" t="str">
        <f aca="false">01_評価入力!U30</f>
        <v>AI固有の内部監査手続の整備</v>
      </c>
      <c r="G30" s="10" t="str">
        <f aca="false">IF($E30="","",IFERROR(VLOOKUP($E30,02_施策マスター!$A:$C,3,0),""))</f>
        <v>GV</v>
      </c>
    </row>
    <row r="31" customFormat="false" ht="22.35" hidden="false" customHeight="false" outlineLevel="0" collapsed="false">
      <c r="A31" s="10" t="str">
        <f aca="false">01_評価入力!A31</f>
        <v>AIMF-GV-AUD-003</v>
      </c>
      <c r="B31" s="10" t="str">
        <f aca="false">01_評価入力!S31</f>
        <v/>
      </c>
      <c r="C31" s="10" t="str">
        <f aca="false">01_評価入力!R31</f>
        <v/>
      </c>
      <c r="D31" s="10" t="str">
        <f aca="false">01_評価入力!K31</f>
        <v/>
      </c>
      <c r="E31" s="10" t="str">
        <f aca="false">01_評価入力!T31</f>
        <v>AIMF-GV-AUD-003</v>
      </c>
      <c r="F31" s="10" t="str">
        <f aca="false">01_評価入力!U31</f>
        <v>第三者認証・外部評価の取得</v>
      </c>
      <c r="G31" s="10" t="str">
        <f aca="false">IF($E31="","",IFERROR(VLOOKUP($E31,02_施策マスター!$A:$C,3,0),""))</f>
        <v>GV</v>
      </c>
    </row>
    <row r="32" customFormat="false" ht="22.35" hidden="false" customHeight="false" outlineLevel="0" collapsed="false">
      <c r="A32" s="10" t="str">
        <f aca="false">01_評価入力!A32</f>
        <v>AIMF-GV-AUD-004</v>
      </c>
      <c r="B32" s="10" t="str">
        <f aca="false">01_評価入力!S32</f>
        <v/>
      </c>
      <c r="C32" s="10" t="str">
        <f aca="false">01_評価入力!R32</f>
        <v/>
      </c>
      <c r="D32" s="10" t="str">
        <f aca="false">01_評価入力!K32</f>
        <v/>
      </c>
      <c r="E32" s="10" t="str">
        <f aca="false">01_評価入力!T32</f>
        <v>AIMF-GV-AUD-004</v>
      </c>
      <c r="F32" s="10" t="str">
        <f aca="false">01_評価入力!U32</f>
        <v>AIセキュリティ成熟度の定期評価</v>
      </c>
      <c r="G32" s="10" t="str">
        <f aca="false">IF($E32="","",IFERROR(VLOOKUP($E32,02_施策マスター!$A:$C,3,0),""))</f>
        <v>GV</v>
      </c>
    </row>
    <row r="33" customFormat="false" ht="22.35" hidden="false" customHeight="false" outlineLevel="0" collapsed="false">
      <c r="A33" s="10" t="str">
        <f aca="false">01_評価入力!A33</f>
        <v>AIMF-GV-TRA-001</v>
      </c>
      <c r="B33" s="10" t="str">
        <f aca="false">01_評価入力!S33</f>
        <v/>
      </c>
      <c r="C33" s="10" t="str">
        <f aca="false">01_評価入力!R33</f>
        <v/>
      </c>
      <c r="D33" s="10" t="str">
        <f aca="false">01_評価入力!K33</f>
        <v/>
      </c>
      <c r="E33" s="10" t="str">
        <f aca="false">01_評価入力!T33</f>
        <v>AIMF-GV-TRA-001</v>
      </c>
      <c r="F33" s="10" t="str">
        <f aca="false">01_評価入力!U33</f>
        <v>透明性・利用者への情報提供</v>
      </c>
      <c r="G33" s="10" t="str">
        <f aca="false">IF($E33="","",IFERROR(VLOOKUP($E33,02_施策マスター!$A:$C,3,0),""))</f>
        <v>GV</v>
      </c>
    </row>
    <row r="34" customFormat="false" ht="22.35" hidden="false" customHeight="false" outlineLevel="0" collapsed="false">
      <c r="A34" s="10" t="str">
        <f aca="false">01_評価入力!A34</f>
        <v>AIMF-GV-TRA-002</v>
      </c>
      <c r="B34" s="10" t="str">
        <f aca="false">01_評価入力!S34</f>
        <v/>
      </c>
      <c r="C34" s="10" t="str">
        <f aca="false">01_評価入力!R34</f>
        <v/>
      </c>
      <c r="D34" s="10" t="str">
        <f aca="false">01_評価入力!K34</f>
        <v/>
      </c>
      <c r="E34" s="10" t="str">
        <f aca="false">01_評価入力!T34</f>
        <v>AIMF-GV-TRA-002</v>
      </c>
      <c r="F34" s="10" t="str">
        <f aca="false">01_評価入力!U34</f>
        <v>技術文書・モデルカードの整備</v>
      </c>
      <c r="G34" s="10" t="str">
        <f aca="false">IF($E34="","",IFERROR(VLOOKUP($E34,02_施策マスター!$A:$C,3,0),""))</f>
        <v>GV</v>
      </c>
    </row>
    <row r="35" customFormat="false" ht="26.85" hidden="false" customHeight="false" outlineLevel="0" collapsed="false">
      <c r="A35" s="10" t="str">
        <f aca="false">01_評価入力!A35</f>
        <v>AIMF-GV-TRA-003</v>
      </c>
      <c r="B35" s="10" t="str">
        <f aca="false">01_評価入力!S35</f>
        <v/>
      </c>
      <c r="C35" s="10" t="str">
        <f aca="false">01_評価入力!R35</f>
        <v/>
      </c>
      <c r="D35" s="10" t="str">
        <f aca="false">01_評価入力!K35</f>
        <v/>
      </c>
      <c r="E35" s="10" t="str">
        <f aca="false">01_評価入力!T35</f>
        <v>AIMF-GV-TRA-003</v>
      </c>
      <c r="F35" s="10" t="str">
        <f aca="false">01_評価入力!U35</f>
        <v>AI生成コンテンツの来歴表示（C2PA等）</v>
      </c>
      <c r="G35" s="10" t="str">
        <f aca="false">IF($E35="","",IFERROR(VLOOKUP($E35,02_施策マスター!$A:$C,3,0),""))</f>
        <v>GV</v>
      </c>
    </row>
    <row r="36" customFormat="false" ht="26.85" hidden="false" customHeight="false" outlineLevel="0" collapsed="false">
      <c r="A36" s="10" t="str">
        <f aca="false">01_評価入力!A36</f>
        <v>AIMF-GV-TRA-004</v>
      </c>
      <c r="B36" s="10" t="str">
        <f aca="false">01_評価入力!S36</f>
        <v/>
      </c>
      <c r="C36" s="10" t="str">
        <f aca="false">01_評価入力!R36</f>
        <v/>
      </c>
      <c r="D36" s="10" t="str">
        <f aca="false">01_評価入力!K36</f>
        <v/>
      </c>
      <c r="E36" s="10" t="str">
        <f aca="false">01_評価入力!T36</f>
        <v>AIMF-GV-TRA-004</v>
      </c>
      <c r="F36" s="10" t="str">
        <f aca="false">01_評価入力!U36</f>
        <v>利用者からの苦情・異議申立て窓口</v>
      </c>
      <c r="G36" s="10" t="str">
        <f aca="false">IF($E36="","",IFERROR(VLOOKUP($E36,02_施策マスター!$A:$C,3,0),""))</f>
        <v>GV</v>
      </c>
    </row>
    <row r="37" customFormat="false" ht="22.35" hidden="false" customHeight="false" outlineLevel="0" collapsed="false">
      <c r="A37" s="10" t="str">
        <f aca="false">01_評価入力!A37</f>
        <v>AIMF-GV-TRA-005</v>
      </c>
      <c r="B37" s="10" t="str">
        <f aca="false">01_評価入力!S37</f>
        <v/>
      </c>
      <c r="C37" s="10" t="str">
        <f aca="false">01_評価入力!R37</f>
        <v/>
      </c>
      <c r="D37" s="10" t="str">
        <f aca="false">01_評価入力!K37</f>
        <v/>
      </c>
      <c r="E37" s="10" t="str">
        <f aca="false">01_評価入力!T37</f>
        <v>AIMF-GV-TRA-005</v>
      </c>
      <c r="F37" s="10" t="str">
        <f aca="false">01_評価入力!U37</f>
        <v>対外的なAIガバナンス開示</v>
      </c>
      <c r="G37" s="10" t="str">
        <f aca="false">IF($E37="","",IFERROR(VLOOKUP($E37,02_施策マスター!$A:$C,3,0),""))</f>
        <v>GV</v>
      </c>
    </row>
    <row r="38" customFormat="false" ht="26.85" hidden="false" customHeight="false" outlineLevel="0" collapsed="false">
      <c r="A38" s="10" t="str">
        <f aca="false">01_評価入力!A38</f>
        <v>AIMF-ID-AST-001</v>
      </c>
      <c r="B38" s="10" t="str">
        <f aca="false">01_評価入力!S38</f>
        <v/>
      </c>
      <c r="C38" s="10" t="str">
        <f aca="false">01_評価入力!R38</f>
        <v/>
      </c>
      <c r="D38" s="10" t="str">
        <f aca="false">01_評価入力!K38</f>
        <v/>
      </c>
      <c r="E38" s="10" t="str">
        <f aca="false">01_評価入力!T38</f>
        <v>AIMF-ID-AST-001</v>
      </c>
      <c r="F38" s="10" t="str">
        <f aca="false">01_評価入力!U38</f>
        <v>AIモデル・サービス管理台帳の整備</v>
      </c>
      <c r="G38" s="10" t="str">
        <f aca="false">IF($E38="","",IFERROR(VLOOKUP($E38,02_施策マスター!$A:$C,3,0),""))</f>
        <v>ID</v>
      </c>
    </row>
    <row r="39" customFormat="false" ht="26.85" hidden="false" customHeight="false" outlineLevel="0" collapsed="false">
      <c r="A39" s="10" t="str">
        <f aca="false">01_評価入力!A39</f>
        <v>AIMF-ID-AST-002</v>
      </c>
      <c r="B39" s="10" t="str">
        <f aca="false">01_評価入力!S39</f>
        <v/>
      </c>
      <c r="C39" s="10" t="str">
        <f aca="false">01_評価入力!R39</f>
        <v/>
      </c>
      <c r="D39" s="10" t="str">
        <f aca="false">01_評価入力!K39</f>
        <v/>
      </c>
      <c r="E39" s="10" t="str">
        <f aca="false">01_評価入力!T39</f>
        <v>AIMF-ID-AST-002</v>
      </c>
      <c r="F39" s="10" t="str">
        <f aca="false">01_評価入力!U39</f>
        <v>RAG知識ベース・データソースの棚卸し</v>
      </c>
      <c r="G39" s="10" t="str">
        <f aca="false">IF($E39="","",IFERROR(VLOOKUP($E39,02_施策マスター!$A:$C,3,0),""))</f>
        <v>ID</v>
      </c>
    </row>
    <row r="40" customFormat="false" ht="26.85" hidden="false" customHeight="false" outlineLevel="0" collapsed="false">
      <c r="A40" s="10" t="str">
        <f aca="false">01_評価入力!A40</f>
        <v>AIMF-ID-AST-003</v>
      </c>
      <c r="B40" s="10" t="str">
        <f aca="false">01_評価入力!S40</f>
        <v/>
      </c>
      <c r="C40" s="10" t="str">
        <f aca="false">01_評価入力!R40</f>
        <v/>
      </c>
      <c r="D40" s="10" t="str">
        <f aca="false">01_評価入力!K40</f>
        <v/>
      </c>
      <c r="E40" s="10" t="str">
        <f aca="false">01_評価入力!T40</f>
        <v>AIMF-ID-AST-003</v>
      </c>
      <c r="F40" s="10" t="str">
        <f aca="false">01_評価入力!U40</f>
        <v>AIエージェントの権限・ツールトポロジー管理</v>
      </c>
      <c r="G40" s="10" t="str">
        <f aca="false">IF($E40="","",IFERROR(VLOOKUP($E40,02_施策マスター!$A:$C,3,0),""))</f>
        <v>ID</v>
      </c>
    </row>
    <row r="41" customFormat="false" ht="26.85" hidden="false" customHeight="false" outlineLevel="0" collapsed="false">
      <c r="A41" s="10" t="str">
        <f aca="false">01_評価入力!A41</f>
        <v>AIMF-ID-AST-004</v>
      </c>
      <c r="B41" s="10" t="str">
        <f aca="false">01_評価入力!S41</f>
        <v/>
      </c>
      <c r="C41" s="10" t="str">
        <f aca="false">01_評価入力!R41</f>
        <v/>
      </c>
      <c r="D41" s="10" t="str">
        <f aca="false">01_評価入力!K41</f>
        <v/>
      </c>
      <c r="E41" s="10" t="str">
        <f aca="false">01_評価入力!T41</f>
        <v>AIMF-ID-AST-004</v>
      </c>
      <c r="F41" s="10" t="str">
        <f aca="false">01_評価入力!U41</f>
        <v>AIインフラ資産（GPU・計算リソース・ストレージ）の棚卸し</v>
      </c>
      <c r="G41" s="10" t="str">
        <f aca="false">IF($E41="","",IFERROR(VLOOKUP($E41,02_施策マスター!$A:$C,3,0),""))</f>
        <v>ID</v>
      </c>
    </row>
    <row r="42" customFormat="false" ht="26.85" hidden="false" customHeight="false" outlineLevel="0" collapsed="false">
      <c r="A42" s="10" t="str">
        <f aca="false">01_評価入力!A42</f>
        <v>AIMF-ID-AST-005</v>
      </c>
      <c r="B42" s="10" t="str">
        <f aca="false">01_評価入力!S42</f>
        <v/>
      </c>
      <c r="C42" s="10" t="str">
        <f aca="false">01_評価入力!R42</f>
        <v/>
      </c>
      <c r="D42" s="10" t="str">
        <f aca="false">01_評価入力!K42</f>
        <v/>
      </c>
      <c r="E42" s="10" t="str">
        <f aca="false">01_評価入力!T42</f>
        <v>AIMF-ID-AST-005</v>
      </c>
      <c r="F42" s="10" t="str">
        <f aca="false">01_評価入力!U42</f>
        <v>プロンプト・システムプロンプト資産の台帳管理</v>
      </c>
      <c r="G42" s="10" t="str">
        <f aca="false">IF($E42="","",IFERROR(VLOOKUP($E42,02_施策マスター!$A:$C,3,0),""))</f>
        <v>ID</v>
      </c>
    </row>
    <row r="43" customFormat="false" ht="15" hidden="false" customHeight="false" outlineLevel="0" collapsed="false">
      <c r="A43" s="10" t="str">
        <f aca="false">01_評価入力!A43</f>
        <v>AIMF-ID-AST-006</v>
      </c>
      <c r="B43" s="10" t="str">
        <f aca="false">01_評価入力!S43</f>
        <v/>
      </c>
      <c r="C43" s="10" t="str">
        <f aca="false">01_評価入力!R43</f>
        <v/>
      </c>
      <c r="D43" s="10" t="str">
        <f aca="false">01_評価入力!K43</f>
        <v/>
      </c>
      <c r="E43" s="10" t="str">
        <f aca="false">01_評価入力!T43</f>
        <v>AIMF-ID-AST-006</v>
      </c>
      <c r="F43" s="10" t="str">
        <f aca="false">01_評価入力!U43</f>
        <v>AIデータフローマッピング</v>
      </c>
      <c r="G43" s="10" t="str">
        <f aca="false">IF($E43="","",IFERROR(VLOOKUP($E43,02_施策マスター!$A:$C,3,0),""))</f>
        <v>ID</v>
      </c>
    </row>
    <row r="44" customFormat="false" ht="26.85" hidden="false" customHeight="false" outlineLevel="0" collapsed="false">
      <c r="A44" s="10" t="str">
        <f aca="false">01_評価入力!A44</f>
        <v>AIMF-ID-AST-007</v>
      </c>
      <c r="B44" s="10" t="str">
        <f aca="false">01_評価入力!S44</f>
        <v/>
      </c>
      <c r="C44" s="10" t="str">
        <f aca="false">01_評価入力!R44</f>
        <v/>
      </c>
      <c r="D44" s="10" t="str">
        <f aca="false">01_評価入力!K44</f>
        <v/>
      </c>
      <c r="E44" s="10" t="str">
        <f aca="false">01_評価入力!T44</f>
        <v>AIMF-ID-AST-007</v>
      </c>
      <c r="F44" s="10" t="str">
        <f aca="false">01_評価入力!U44</f>
        <v>シャドーAI・未承認利用の継続的検出</v>
      </c>
      <c r="G44" s="10" t="str">
        <f aca="false">IF($E44="","",IFERROR(VLOOKUP($E44,02_施策マスター!$A:$C,3,0),""))</f>
        <v>ID</v>
      </c>
    </row>
    <row r="45" customFormat="false" ht="26.85" hidden="false" customHeight="false" outlineLevel="0" collapsed="false">
      <c r="A45" s="10" t="str">
        <f aca="false">01_評価入力!A45</f>
        <v>AIMF-ID-AST-008</v>
      </c>
      <c r="B45" s="10" t="str">
        <f aca="false">01_評価入力!S45</f>
        <v/>
      </c>
      <c r="C45" s="10" t="str">
        <f aca="false">01_評価入力!R45</f>
        <v/>
      </c>
      <c r="D45" s="10" t="str">
        <f aca="false">01_評価入力!K45</f>
        <v/>
      </c>
      <c r="E45" s="10" t="str">
        <f aca="false">01_評価入力!T45</f>
        <v>AIMF-ID-AST-008</v>
      </c>
      <c r="F45" s="10" t="str">
        <f aca="false">01_評価入力!U45</f>
        <v>エンドポイントAI機能・ブラウザ拡張の把握</v>
      </c>
      <c r="G45" s="10" t="str">
        <f aca="false">IF($E45="","",IFERROR(VLOOKUP($E45,02_施策マスター!$A:$C,3,0),""))</f>
        <v>ID</v>
      </c>
    </row>
    <row r="46" customFormat="false" ht="26.85" hidden="false" customHeight="false" outlineLevel="0" collapsed="false">
      <c r="A46" s="10" t="str">
        <f aca="false">01_評価入力!A46</f>
        <v>AIMF-ID-CTX-001</v>
      </c>
      <c r="B46" s="10" t="str">
        <f aca="false">01_評価入力!S46</f>
        <v/>
      </c>
      <c r="C46" s="10" t="str">
        <f aca="false">01_評価入力!R46</f>
        <v/>
      </c>
      <c r="D46" s="10" t="str">
        <f aca="false">01_評価入力!K46</f>
        <v/>
      </c>
      <c r="E46" s="10" t="str">
        <f aca="false">01_評価入力!T46</f>
        <v>AIMF-ID-CTX-001</v>
      </c>
      <c r="F46" s="10" t="str">
        <f aca="false">01_評価入力!U46</f>
        <v>AIユースケース登録と事業オーナーの明確化</v>
      </c>
      <c r="G46" s="10" t="str">
        <f aca="false">IF($E46="","",IFERROR(VLOOKUP($E46,02_施策マスター!$A:$C,3,0),""))</f>
        <v>ID</v>
      </c>
    </row>
    <row r="47" customFormat="false" ht="26.85" hidden="false" customHeight="false" outlineLevel="0" collapsed="false">
      <c r="A47" s="10" t="str">
        <f aca="false">01_評価入力!A47</f>
        <v>AIMF-ID-CTX-002</v>
      </c>
      <c r="B47" s="10" t="str">
        <f aca="false">01_評価入力!S47</f>
        <v/>
      </c>
      <c r="C47" s="10" t="str">
        <f aca="false">01_評価入力!R47</f>
        <v/>
      </c>
      <c r="D47" s="10" t="str">
        <f aca="false">01_評価入力!K47</f>
        <v/>
      </c>
      <c r="E47" s="10" t="str">
        <f aca="false">01_評価入力!T47</f>
        <v>AIMF-ID-CTX-002</v>
      </c>
      <c r="F47" s="10" t="str">
        <f aca="false">01_評価入力!U47</f>
        <v>ユースケースのクリティカリティ判定</v>
      </c>
      <c r="G47" s="10" t="str">
        <f aca="false">IF($E47="","",IFERROR(VLOOKUP($E47,02_施策マスター!$A:$C,3,0),""))</f>
        <v>ID</v>
      </c>
    </row>
    <row r="48" customFormat="false" ht="15" hidden="false" customHeight="false" outlineLevel="0" collapsed="false">
      <c r="A48" s="10" t="str">
        <f aca="false">01_評価入力!A48</f>
        <v>AIMF-ID-CTX-003</v>
      </c>
      <c r="B48" s="10" t="str">
        <f aca="false">01_評価入力!S48</f>
        <v/>
      </c>
      <c r="C48" s="10" t="str">
        <f aca="false">01_評価入力!R48</f>
        <v/>
      </c>
      <c r="D48" s="10" t="str">
        <f aca="false">01_評価入力!K48</f>
        <v/>
      </c>
      <c r="E48" s="10" t="str">
        <f aca="false">01_評価入力!T48</f>
        <v>AIMF-ID-CTX-003</v>
      </c>
      <c r="F48" s="10" t="str">
        <f aca="false">01_評価入力!U48</f>
        <v>AI障害時の業務影響分析（BIA）</v>
      </c>
      <c r="G48" s="10" t="str">
        <f aca="false">IF($E48="","",IFERROR(VLOOKUP($E48,02_施策マスター!$A:$C,3,0),""))</f>
        <v>ID</v>
      </c>
    </row>
    <row r="49" customFormat="false" ht="15" hidden="false" customHeight="false" outlineLevel="0" collapsed="false">
      <c r="A49" s="10" t="str">
        <f aca="false">01_評価入力!A49</f>
        <v>AIMF-ID-CTX-004</v>
      </c>
      <c r="B49" s="10" t="str">
        <f aca="false">01_評価入力!S49</f>
        <v/>
      </c>
      <c r="C49" s="10" t="str">
        <f aca="false">01_評価入力!R49</f>
        <v/>
      </c>
      <c r="D49" s="10" t="str">
        <f aca="false">01_評価入力!K49</f>
        <v/>
      </c>
      <c r="E49" s="10" t="str">
        <f aca="false">01_評価入力!T49</f>
        <v>AIMF-ID-CTX-004</v>
      </c>
      <c r="F49" s="10" t="str">
        <f aca="false">01_評価入力!U49</f>
        <v>非AI代替手段の維持判断</v>
      </c>
      <c r="G49" s="10" t="str">
        <f aca="false">IF($E49="","",IFERROR(VLOOKUP($E49,02_施策マスター!$A:$C,3,0),""))</f>
        <v>ID</v>
      </c>
    </row>
    <row r="50" customFormat="false" ht="26.85" hidden="false" customHeight="false" outlineLevel="0" collapsed="false">
      <c r="A50" s="10" t="str">
        <f aca="false">01_評価入力!A50</f>
        <v>AIMF-ID-SCM-001</v>
      </c>
      <c r="B50" s="10" t="str">
        <f aca="false">01_評価入力!S50</f>
        <v/>
      </c>
      <c r="C50" s="10" t="str">
        <f aca="false">01_評価入力!R50</f>
        <v/>
      </c>
      <c r="D50" s="10" t="str">
        <f aca="false">01_評価入力!K50</f>
        <v/>
      </c>
      <c r="E50" s="10" t="str">
        <f aca="false">01_評価入力!T50</f>
        <v>AIMF-ID-SCM-001</v>
      </c>
      <c r="F50" s="10" t="str">
        <f aca="false">01_評価入力!U50</f>
        <v>AIセキュリティのベンダー評価と管理</v>
      </c>
      <c r="G50" s="10" t="str">
        <f aca="false">IF($E50="","",IFERROR(VLOOKUP($E50,02_施策マスター!$A:$C,3,0),""))</f>
        <v>ID</v>
      </c>
    </row>
    <row r="51" customFormat="false" ht="22.35" hidden="false" customHeight="false" outlineLevel="0" collapsed="false">
      <c r="A51" s="10" t="str">
        <f aca="false">01_評価入力!A51</f>
        <v>AIMF-ID-SCM-002</v>
      </c>
      <c r="B51" s="10" t="str">
        <f aca="false">01_評価入力!S51</f>
        <v/>
      </c>
      <c r="C51" s="10" t="str">
        <f aca="false">01_評価入力!R51</f>
        <v/>
      </c>
      <c r="D51" s="10" t="str">
        <f aca="false">01_評価入力!K51</f>
        <v/>
      </c>
      <c r="E51" s="10" t="str">
        <f aca="false">01_評価入力!T51</f>
        <v>AIMF-ID-SCM-002</v>
      </c>
      <c r="F51" s="10" t="str">
        <f aca="false">01_評価入力!U51</f>
        <v>SBOMの自動生成・継続的管理</v>
      </c>
      <c r="G51" s="10" t="str">
        <f aca="false">IF($E51="","",IFERROR(VLOOKUP($E51,02_施策マスター!$A:$C,3,0),""))</f>
        <v>ID</v>
      </c>
    </row>
    <row r="52" customFormat="false" ht="22.35" hidden="false" customHeight="false" outlineLevel="0" collapsed="false">
      <c r="A52" s="10" t="str">
        <f aca="false">01_評価入力!A52</f>
        <v>AIMF-ID-SCM-003</v>
      </c>
      <c r="B52" s="10" t="str">
        <f aca="false">01_評価入力!S52</f>
        <v/>
      </c>
      <c r="C52" s="10" t="str">
        <f aca="false">01_評価入力!R52</f>
        <v/>
      </c>
      <c r="D52" s="10" t="str">
        <f aca="false">01_評価入力!K52</f>
        <v/>
      </c>
      <c r="E52" s="10" t="str">
        <f aca="false">01_評価入力!T52</f>
        <v>AIMF-ID-SCM-003</v>
      </c>
      <c r="F52" s="10" t="str">
        <f aca="false">01_評価入力!U52</f>
        <v>AI-BOMによるAI特有資産の管理</v>
      </c>
      <c r="G52" s="10" t="str">
        <f aca="false">IF($E52="","",IFERROR(VLOOKUP($E52,02_施策マスター!$A:$C,3,0),""))</f>
        <v>ID</v>
      </c>
    </row>
    <row r="53" customFormat="false" ht="26.85" hidden="false" customHeight="false" outlineLevel="0" collapsed="false">
      <c r="A53" s="10" t="str">
        <f aca="false">01_評価入力!A53</f>
        <v>AIMF-ID-SCM-004</v>
      </c>
      <c r="B53" s="10" t="str">
        <f aca="false">01_評価入力!S53</f>
        <v/>
      </c>
      <c r="C53" s="10" t="str">
        <f aca="false">01_評価入力!R53</f>
        <v/>
      </c>
      <c r="D53" s="10" t="str">
        <f aca="false">01_評価入力!K53</f>
        <v/>
      </c>
      <c r="E53" s="10" t="str">
        <f aca="false">01_評価入力!T53</f>
        <v>AIMF-ID-SCM-004</v>
      </c>
      <c r="F53" s="10" t="str">
        <f aca="false">01_評価入力!U53</f>
        <v>モデル・データセット供給元の来歴検証</v>
      </c>
      <c r="G53" s="10" t="str">
        <f aca="false">IF($E53="","",IFERROR(VLOOKUP($E53,02_施策マスター!$A:$C,3,0),""))</f>
        <v>ID</v>
      </c>
    </row>
    <row r="54" customFormat="false" ht="26.85" hidden="false" customHeight="false" outlineLevel="0" collapsed="false">
      <c r="A54" s="10" t="str">
        <f aca="false">01_評価入力!A54</f>
        <v>AIMF-ID-SCM-005</v>
      </c>
      <c r="B54" s="10" t="str">
        <f aca="false">01_評価入力!S54</f>
        <v/>
      </c>
      <c r="C54" s="10" t="str">
        <f aca="false">01_評価入力!R54</f>
        <v/>
      </c>
      <c r="D54" s="10" t="str">
        <f aca="false">01_評価入力!K54</f>
        <v/>
      </c>
      <c r="E54" s="10" t="str">
        <f aca="false">01_評価入力!T54</f>
        <v>AIMF-ID-SCM-005</v>
      </c>
      <c r="F54" s="10" t="str">
        <f aca="false">01_評価入力!U54</f>
        <v>MCPサーバー・プラグイン・エージェントツールの事前審査</v>
      </c>
      <c r="G54" s="10" t="str">
        <f aca="false">IF($E54="","",IFERROR(VLOOKUP($E54,02_施策マスター!$A:$C,3,0),""))</f>
        <v>ID</v>
      </c>
    </row>
    <row r="55" customFormat="false" ht="22.35" hidden="false" customHeight="false" outlineLevel="0" collapsed="false">
      <c r="A55" s="10" t="str">
        <f aca="false">01_評価入力!A55</f>
        <v>AIMF-ID-SCM-006</v>
      </c>
      <c r="B55" s="10" t="str">
        <f aca="false">01_評価入力!S55</f>
        <v/>
      </c>
      <c r="C55" s="10" t="str">
        <f aca="false">01_評価入力!R55</f>
        <v/>
      </c>
      <c r="D55" s="10" t="str">
        <f aca="false">01_評価入力!K55</f>
        <v/>
      </c>
      <c r="E55" s="10" t="str">
        <f aca="false">01_評価入力!T55</f>
        <v>AIMF-ID-SCM-006</v>
      </c>
      <c r="F55" s="10" t="str">
        <f aca="false">01_評価入力!U55</f>
        <v>AIサービスの集中リスク評価</v>
      </c>
      <c r="G55" s="10" t="str">
        <f aca="false">IF($E55="","",IFERROR(VLOOKUP($E55,02_施策マスター!$A:$C,3,0),""))</f>
        <v>ID</v>
      </c>
    </row>
    <row r="56" customFormat="false" ht="26.85" hidden="false" customHeight="false" outlineLevel="0" collapsed="false">
      <c r="A56" s="10" t="str">
        <f aca="false">01_評価入力!A56</f>
        <v>AIMF-ID-SCM-007</v>
      </c>
      <c r="B56" s="10" t="str">
        <f aca="false">01_評価入力!S56</f>
        <v/>
      </c>
      <c r="C56" s="10" t="str">
        <f aca="false">01_評価入力!R56</f>
        <v/>
      </c>
      <c r="D56" s="10" t="str">
        <f aca="false">01_評価入力!K56</f>
        <v/>
      </c>
      <c r="E56" s="10" t="str">
        <f aca="false">01_評価入力!T56</f>
        <v>AIMF-ID-SCM-007</v>
      </c>
      <c r="F56" s="10" t="str">
        <f aca="false">01_評価入力!U56</f>
        <v>AI調達契約のセキュリティ・責任分界条項</v>
      </c>
      <c r="G56" s="10" t="str">
        <f aca="false">IF($E56="","",IFERROR(VLOOKUP($E56,02_施策マスター!$A:$C,3,0),""))</f>
        <v>ID</v>
      </c>
    </row>
    <row r="57" customFormat="false" ht="26.85" hidden="false" customHeight="false" outlineLevel="0" collapsed="false">
      <c r="A57" s="10" t="str">
        <f aca="false">01_評価入力!A57</f>
        <v>AIMF-ID-SCM-008</v>
      </c>
      <c r="B57" s="10" t="str">
        <f aca="false">01_評価入力!S57</f>
        <v/>
      </c>
      <c r="C57" s="10" t="str">
        <f aca="false">01_評価入力!R57</f>
        <v/>
      </c>
      <c r="D57" s="10" t="str">
        <f aca="false">01_評価入力!K57</f>
        <v/>
      </c>
      <c r="E57" s="10" t="str">
        <f aca="false">01_評価入力!T57</f>
        <v>AIMF-ID-SCM-008</v>
      </c>
      <c r="F57" s="10" t="str">
        <f aca="false">01_評価入力!U57</f>
        <v>オープンウェイトモデル利用時の評価基準</v>
      </c>
      <c r="G57" s="10" t="str">
        <f aca="false">IF($E57="","",IFERROR(VLOOKUP($E57,02_施策マスター!$A:$C,3,0),""))</f>
        <v>ID</v>
      </c>
    </row>
    <row r="58" customFormat="false" ht="26.85" hidden="false" customHeight="false" outlineLevel="0" collapsed="false">
      <c r="A58" s="10" t="str">
        <f aca="false">01_評価入力!A58</f>
        <v>AIMF-ID-DGV-001</v>
      </c>
      <c r="B58" s="10" t="str">
        <f aca="false">01_評価入力!S58</f>
        <v/>
      </c>
      <c r="C58" s="10" t="str">
        <f aca="false">01_評価入力!R58</f>
        <v/>
      </c>
      <c r="D58" s="10" t="str">
        <f aca="false">01_評価入力!K58</f>
        <v/>
      </c>
      <c r="E58" s="10" t="str">
        <f aca="false">01_評価入力!T58</f>
        <v>AIMF-ID-DGV-001</v>
      </c>
      <c r="F58" s="10" t="str">
        <f aca="false">01_評価入力!U58</f>
        <v>学習・チューニングデータのガバナンス</v>
      </c>
      <c r="G58" s="10" t="str">
        <f aca="false">IF($E58="","",IFERROR(VLOOKUP($E58,02_施策マスター!$A:$C,3,0),""))</f>
        <v>ID</v>
      </c>
    </row>
    <row r="59" customFormat="false" ht="22.35" hidden="false" customHeight="false" outlineLevel="0" collapsed="false">
      <c r="A59" s="10" t="str">
        <f aca="false">01_評価入力!A59</f>
        <v>AIMF-ID-DGV-002</v>
      </c>
      <c r="B59" s="10" t="str">
        <f aca="false">01_評価入力!S59</f>
        <v/>
      </c>
      <c r="C59" s="10" t="str">
        <f aca="false">01_評価入力!R59</f>
        <v/>
      </c>
      <c r="D59" s="10" t="str">
        <f aca="false">01_評価入力!K59</f>
        <v/>
      </c>
      <c r="E59" s="10" t="str">
        <f aca="false">01_評価入力!T59</f>
        <v>AIMF-ID-DGV-002</v>
      </c>
      <c r="F59" s="10" t="str">
        <f aca="false">01_評価入力!U59</f>
        <v>データ分類とAI利用可否ラベル</v>
      </c>
      <c r="G59" s="10" t="str">
        <f aca="false">IF($E59="","",IFERROR(VLOOKUP($E59,02_施策マスター!$A:$C,3,0),""))</f>
        <v>ID</v>
      </c>
    </row>
    <row r="60" customFormat="false" ht="26.85" hidden="false" customHeight="false" outlineLevel="0" collapsed="false">
      <c r="A60" s="10" t="str">
        <f aca="false">01_評価入力!A60</f>
        <v>AIMF-ID-DGV-003</v>
      </c>
      <c r="B60" s="10" t="str">
        <f aca="false">01_評価入力!S60</f>
        <v/>
      </c>
      <c r="C60" s="10" t="str">
        <f aca="false">01_評価入力!R60</f>
        <v/>
      </c>
      <c r="D60" s="10" t="str">
        <f aca="false">01_評価入力!K60</f>
        <v/>
      </c>
      <c r="E60" s="10" t="str">
        <f aca="false">01_評価入力!T60</f>
        <v>AIMF-ID-DGV-003</v>
      </c>
      <c r="F60" s="10" t="str">
        <f aca="false">01_評価入力!U60</f>
        <v>学習・RAGデータの来歴（プロビナンス）記録</v>
      </c>
      <c r="G60" s="10" t="str">
        <f aca="false">IF($E60="","",IFERROR(VLOOKUP($E60,02_施策マスター!$A:$C,3,0),""))</f>
        <v>ID</v>
      </c>
    </row>
    <row r="61" customFormat="false" ht="22.35" hidden="false" customHeight="false" outlineLevel="0" collapsed="false">
      <c r="A61" s="10" t="str">
        <f aca="false">01_評価入力!A61</f>
        <v>AIMF-ID-DGV-004</v>
      </c>
      <c r="B61" s="10" t="str">
        <f aca="false">01_評価入力!S61</f>
        <v/>
      </c>
      <c r="C61" s="10" t="str">
        <f aca="false">01_評価入力!R61</f>
        <v/>
      </c>
      <c r="D61" s="10" t="str">
        <f aca="false">01_評価入力!K61</f>
        <v/>
      </c>
      <c r="E61" s="10" t="str">
        <f aca="false">01_評価入力!T61</f>
        <v>AIMF-ID-DGV-004</v>
      </c>
      <c r="F61" s="10" t="str">
        <f aca="false">01_評価入力!U61</f>
        <v>合成データの生成・利用統制</v>
      </c>
      <c r="G61" s="10" t="str">
        <f aca="false">IF($E61="","",IFERROR(VLOOKUP($E61,02_施策マスター!$A:$C,3,0),""))</f>
        <v>ID</v>
      </c>
    </row>
    <row r="62" customFormat="false" ht="26.85" hidden="false" customHeight="false" outlineLevel="0" collapsed="false">
      <c r="A62" s="10" t="str">
        <f aca="false">01_評価入力!A62</f>
        <v>AIMF-ID-DGV-005</v>
      </c>
      <c r="B62" s="10" t="str">
        <f aca="false">01_評価入力!S62</f>
        <v/>
      </c>
      <c r="C62" s="10" t="str">
        <f aca="false">01_評価入力!R62</f>
        <v/>
      </c>
      <c r="D62" s="10" t="str">
        <f aca="false">01_評価入力!K62</f>
        <v/>
      </c>
      <c r="E62" s="10" t="str">
        <f aca="false">01_評価入力!T62</f>
        <v>AIMF-ID-DGV-005</v>
      </c>
      <c r="F62" s="10" t="str">
        <f aca="false">01_評価入力!U62</f>
        <v>データ保持・削除ポリシーのAIパイプライン適用</v>
      </c>
      <c r="G62" s="10" t="str">
        <f aca="false">IF($E62="","",IFERROR(VLOOKUP($E62,02_施策マスター!$A:$C,3,0),""))</f>
        <v>ID</v>
      </c>
    </row>
    <row r="63" customFormat="false" ht="26.85" hidden="false" customHeight="false" outlineLevel="0" collapsed="false">
      <c r="A63" s="10" t="str">
        <f aca="false">01_評価入力!A63</f>
        <v>AIMF-ID-THR-001</v>
      </c>
      <c r="B63" s="10" t="str">
        <f aca="false">01_評価入力!S63</f>
        <v/>
      </c>
      <c r="C63" s="10" t="str">
        <f aca="false">01_評価入力!R63</f>
        <v/>
      </c>
      <c r="D63" s="10" t="str">
        <f aca="false">01_評価入力!K63</f>
        <v/>
      </c>
      <c r="E63" s="10" t="str">
        <f aca="false">01_評価入力!T63</f>
        <v>AIMF-ID-THR-001</v>
      </c>
      <c r="F63" s="10" t="str">
        <f aca="false">01_評価入力!U63</f>
        <v>MITRE ATLASに基づくAI脅威モデリング</v>
      </c>
      <c r="G63" s="10" t="str">
        <f aca="false">IF($E63="","",IFERROR(VLOOKUP($E63,02_施策マスター!$A:$C,3,0),""))</f>
        <v>ID</v>
      </c>
    </row>
    <row r="64" customFormat="false" ht="26.85" hidden="false" customHeight="false" outlineLevel="0" collapsed="false">
      <c r="A64" s="10" t="str">
        <f aca="false">01_評価入力!A64</f>
        <v>AIMF-ID-THR-002</v>
      </c>
      <c r="B64" s="10" t="str">
        <f aca="false">01_評価入力!S64</f>
        <v/>
      </c>
      <c r="C64" s="10" t="str">
        <f aca="false">01_評価入力!R64</f>
        <v/>
      </c>
      <c r="D64" s="10" t="str">
        <f aca="false">01_評価入力!K64</f>
        <v/>
      </c>
      <c r="E64" s="10" t="str">
        <f aca="false">01_評価入力!T64</f>
        <v>AIMF-ID-THR-002</v>
      </c>
      <c r="F64" s="10" t="str">
        <f aca="false">01_評価入力!U64</f>
        <v>エージェントシステムのアタックサーフェス分析</v>
      </c>
      <c r="G64" s="10" t="str">
        <f aca="false">IF($E64="","",IFERROR(VLOOKUP($E64,02_施策マスター!$A:$C,3,0),""))</f>
        <v>ID</v>
      </c>
    </row>
    <row r="65" customFormat="false" ht="26.85" hidden="false" customHeight="false" outlineLevel="0" collapsed="false">
      <c r="A65" s="10" t="str">
        <f aca="false">01_評価入力!A65</f>
        <v>AIMF-ID-THR-003</v>
      </c>
      <c r="B65" s="10" t="str">
        <f aca="false">01_評価入力!S65</f>
        <v/>
      </c>
      <c r="C65" s="10" t="str">
        <f aca="false">01_評価入力!R65</f>
        <v/>
      </c>
      <c r="D65" s="10" t="str">
        <f aca="false">01_評価入力!K65</f>
        <v/>
      </c>
      <c r="E65" s="10" t="str">
        <f aca="false">01_評価入力!T65</f>
        <v>AIMF-ID-THR-003</v>
      </c>
      <c r="F65" s="10" t="str">
        <f aca="false">01_評価入力!U65</f>
        <v>AI脅威インテリジェンスの収集・共有</v>
      </c>
      <c r="G65" s="10" t="str">
        <f aca="false">IF($E65="","",IFERROR(VLOOKUP($E65,02_施策マスター!$A:$C,3,0),""))</f>
        <v>ID</v>
      </c>
    </row>
    <row r="66" customFormat="false" ht="15" hidden="false" customHeight="false" outlineLevel="0" collapsed="false">
      <c r="A66" s="10" t="str">
        <f aca="false">01_評価入力!A66</f>
        <v>AIMF-ID-THR-004</v>
      </c>
      <c r="B66" s="10" t="str">
        <f aca="false">01_評価入力!S66</f>
        <v/>
      </c>
      <c r="C66" s="10" t="str">
        <f aca="false">01_評価入力!R66</f>
        <v/>
      </c>
      <c r="D66" s="10" t="str">
        <f aca="false">01_評価入力!K66</f>
        <v/>
      </c>
      <c r="E66" s="10" t="str">
        <f aca="false">01_評価入力!T66</f>
        <v>AIMF-ID-THR-004</v>
      </c>
      <c r="F66" s="10" t="str">
        <f aca="false">01_評価入力!U66</f>
        <v>AI脅威シナリオライブラリの整備</v>
      </c>
      <c r="G66" s="10" t="str">
        <f aca="false">IF($E66="","",IFERROR(VLOOKUP($E66,02_施策マスター!$A:$C,3,0),""))</f>
        <v>ID</v>
      </c>
    </row>
    <row r="67" customFormat="false" ht="22.35" hidden="false" customHeight="false" outlineLevel="0" collapsed="false">
      <c r="A67" s="10" t="str">
        <f aca="false">01_評価入力!A67</f>
        <v>AIMF-PR-VUL-001</v>
      </c>
      <c r="B67" s="10" t="str">
        <f aca="false">01_評価入力!S67</f>
        <v/>
      </c>
      <c r="C67" s="10" t="str">
        <f aca="false">01_評価入力!R67</f>
        <v/>
      </c>
      <c r="D67" s="10" t="str">
        <f aca="false">01_評価入力!K67</f>
        <v/>
      </c>
      <c r="E67" s="10" t="str">
        <f aca="false">01_評価入力!T67</f>
        <v>AIMF-PR-VUL-001</v>
      </c>
      <c r="F67" s="10" t="str">
        <f aca="false">01_評価入力!U67</f>
        <v>脆弱性トリアージ自動化プロセス</v>
      </c>
      <c r="G67" s="10" t="str">
        <f aca="false">IF($E67="","",IFERROR(VLOOKUP($E67,02_施策マスター!$A:$C,3,0),""))</f>
        <v>PR</v>
      </c>
    </row>
    <row r="68" customFormat="false" ht="22.35" hidden="false" customHeight="false" outlineLevel="0" collapsed="false">
      <c r="A68" s="10" t="str">
        <f aca="false">01_評価入力!A68</f>
        <v>AIMF-PR-VUL-002</v>
      </c>
      <c r="B68" s="10" t="str">
        <f aca="false">01_評価入力!S68</f>
        <v/>
      </c>
      <c r="C68" s="10" t="str">
        <f aca="false">01_評価入力!R68</f>
        <v/>
      </c>
      <c r="D68" s="10" t="str">
        <f aca="false">01_評価入力!K68</f>
        <v/>
      </c>
      <c r="E68" s="10" t="str">
        <f aca="false">01_評価入力!T68</f>
        <v>AIMF-PR-VUL-002</v>
      </c>
      <c r="F68" s="10" t="str">
        <f aca="false">01_評価入力!U68</f>
        <v>IaCによる迅速な脆弱性適用基盤</v>
      </c>
      <c r="G68" s="10" t="str">
        <f aca="false">IF($E68="","",IFERROR(VLOOKUP($E68,02_施策マスター!$A:$C,3,0),""))</f>
        <v>PR</v>
      </c>
    </row>
    <row r="69" customFormat="false" ht="26.85" hidden="false" customHeight="false" outlineLevel="0" collapsed="false">
      <c r="A69" s="10" t="str">
        <f aca="false">01_評価入力!A69</f>
        <v>AIMF-PR-VUL-003</v>
      </c>
      <c r="B69" s="10" t="str">
        <f aca="false">01_評価入力!S69</f>
        <v/>
      </c>
      <c r="C69" s="10" t="str">
        <f aca="false">01_評価入力!R69</f>
        <v/>
      </c>
      <c r="D69" s="10" t="str">
        <f aca="false">01_評価入力!K69</f>
        <v/>
      </c>
      <c r="E69" s="10" t="str">
        <f aca="false">01_評価入力!T69</f>
        <v>AIMF-PR-VUL-003</v>
      </c>
      <c r="F69" s="10" t="str">
        <f aca="false">01_評価入力!U69</f>
        <v>コンテナイメージの自動パッチ適用パイプライン</v>
      </c>
      <c r="G69" s="10" t="str">
        <f aca="false">IF($E69="","",IFERROR(VLOOKUP($E69,02_施策マスター!$A:$C,3,0),""))</f>
        <v>PR</v>
      </c>
    </row>
    <row r="70" customFormat="false" ht="22.35" hidden="false" customHeight="false" outlineLevel="0" collapsed="false">
      <c r="A70" s="10" t="str">
        <f aca="false">01_評価入力!A70</f>
        <v>AIMF-PR-VUL-004</v>
      </c>
      <c r="B70" s="10" t="str">
        <f aca="false">01_評価入力!S70</f>
        <v/>
      </c>
      <c r="C70" s="10" t="str">
        <f aca="false">01_評価入力!R70</f>
        <v/>
      </c>
      <c r="D70" s="10" t="str">
        <f aca="false">01_評価入力!K70</f>
        <v/>
      </c>
      <c r="E70" s="10" t="str">
        <f aca="false">01_評価入力!T70</f>
        <v>AIMF-PR-VUL-004</v>
      </c>
      <c r="F70" s="10" t="str">
        <f aca="false">01_評価入力!U70</f>
        <v>仮想パッチ・緩和策の適用</v>
      </c>
      <c r="G70" s="10" t="str">
        <f aca="false">IF($E70="","",IFERROR(VLOOKUP($E70,02_施策マスター!$A:$C,3,0),""))</f>
        <v>PR</v>
      </c>
    </row>
    <row r="71" customFormat="false" ht="26.85" hidden="false" customHeight="false" outlineLevel="0" collapsed="false">
      <c r="A71" s="10" t="str">
        <f aca="false">01_評価入力!A71</f>
        <v>AIMF-PR-VUL-005</v>
      </c>
      <c r="B71" s="10" t="str">
        <f aca="false">01_評価入力!S71</f>
        <v/>
      </c>
      <c r="C71" s="10" t="str">
        <f aca="false">01_評価入力!R71</f>
        <v/>
      </c>
      <c r="D71" s="10" t="str">
        <f aca="false">01_評価入力!K71</f>
        <v/>
      </c>
      <c r="E71" s="10" t="str">
        <f aca="false">01_評価入力!T71</f>
        <v>AIMF-PR-VUL-005</v>
      </c>
      <c r="F71" s="10" t="str">
        <f aca="false">01_評価入力!U71</f>
        <v>EOL・レガシーAIコンポーネントの管理</v>
      </c>
      <c r="G71" s="10" t="str">
        <f aca="false">IF($E71="","",IFERROR(VLOOKUP($E71,02_施策マスター!$A:$C,3,0),""))</f>
        <v>PR</v>
      </c>
    </row>
    <row r="72" customFormat="false" ht="15" hidden="false" customHeight="false" outlineLevel="0" collapsed="false">
      <c r="A72" s="10" t="str">
        <f aca="false">01_評価入力!A72</f>
        <v>AIMF-PR-INF-001</v>
      </c>
      <c r="B72" s="10" t="str">
        <f aca="false">01_評価入力!S72</f>
        <v/>
      </c>
      <c r="C72" s="10" t="str">
        <f aca="false">01_評価入力!R72</f>
        <v/>
      </c>
      <c r="D72" s="10" t="str">
        <f aca="false">01_評価入力!K72</f>
        <v/>
      </c>
      <c r="E72" s="10" t="str">
        <f aca="false">01_評価入力!T72</f>
        <v>AIMF-PR-INF-001</v>
      </c>
      <c r="F72" s="10" t="str">
        <f aca="false">01_評価入力!U72</f>
        <v>AIネットワーク環境の閉域化</v>
      </c>
      <c r="G72" s="10" t="str">
        <f aca="false">IF($E72="","",IFERROR(VLOOKUP($E72,02_施策マスター!$A:$C,3,0),""))</f>
        <v>PR</v>
      </c>
    </row>
    <row r="73" customFormat="false" ht="26.85" hidden="false" customHeight="false" outlineLevel="0" collapsed="false">
      <c r="A73" s="10" t="str">
        <f aca="false">01_評価入力!A73</f>
        <v>AIMF-PR-INF-002</v>
      </c>
      <c r="B73" s="10" t="str">
        <f aca="false">01_評価入力!S73</f>
        <v/>
      </c>
      <c r="C73" s="10" t="str">
        <f aca="false">01_評価入力!R73</f>
        <v/>
      </c>
      <c r="D73" s="10" t="str">
        <f aca="false">01_評価入力!K73</f>
        <v/>
      </c>
      <c r="E73" s="10" t="str">
        <f aca="false">01_評価入力!T73</f>
        <v>AIMF-PR-INF-002</v>
      </c>
      <c r="F73" s="10" t="str">
        <f aca="false">01_評価入力!U73</f>
        <v>コンテナ・オーケストレーション基盤の堅牢化</v>
      </c>
      <c r="G73" s="10" t="str">
        <f aca="false">IF($E73="","",IFERROR(VLOOKUP($E73,02_施策マスター!$A:$C,3,0),""))</f>
        <v>PR</v>
      </c>
    </row>
    <row r="74" customFormat="false" ht="26.85" hidden="false" customHeight="false" outlineLevel="0" collapsed="false">
      <c r="A74" s="10" t="str">
        <f aca="false">01_評価入力!A74</f>
        <v>AIMF-PR-INF-003</v>
      </c>
      <c r="B74" s="10" t="str">
        <f aca="false">01_評価入力!S74</f>
        <v/>
      </c>
      <c r="C74" s="10" t="str">
        <f aca="false">01_評価入力!R74</f>
        <v/>
      </c>
      <c r="D74" s="10" t="str">
        <f aca="false">01_評価入力!K74</f>
        <v/>
      </c>
      <c r="E74" s="10" t="str">
        <f aca="false">01_評価入力!T74</f>
        <v>AIMF-PR-INF-003</v>
      </c>
      <c r="F74" s="10" t="str">
        <f aca="false">01_評価入力!U74</f>
        <v>ストレージ・データの暗号化（データ・アット・レスト）</v>
      </c>
      <c r="G74" s="10" t="str">
        <f aca="false">IF($E74="","",IFERROR(VLOOKUP($E74,02_施策マスター!$A:$C,3,0),""))</f>
        <v>PR</v>
      </c>
    </row>
    <row r="75" customFormat="false" ht="26.85" hidden="false" customHeight="false" outlineLevel="0" collapsed="false">
      <c r="A75" s="10" t="str">
        <f aca="false">01_評価入力!A75</f>
        <v>AIMF-PR-INF-004</v>
      </c>
      <c r="B75" s="10" t="str">
        <f aca="false">01_評価入力!S75</f>
        <v/>
      </c>
      <c r="C75" s="10" t="str">
        <f aca="false">01_評価入力!R75</f>
        <v/>
      </c>
      <c r="D75" s="10" t="str">
        <f aca="false">01_評価入力!K75</f>
        <v/>
      </c>
      <c r="E75" s="10" t="str">
        <f aca="false">01_評価入力!T75</f>
        <v>AIMF-PR-INF-004</v>
      </c>
      <c r="F75" s="10" t="str">
        <f aca="false">01_評価入力!U75</f>
        <v>GPU・アクセラレータのマルチテナント分離</v>
      </c>
      <c r="G75" s="10" t="str">
        <f aca="false">IF($E75="","",IFERROR(VLOOKUP($E75,02_施策マスター!$A:$C,3,0),""))</f>
        <v>PR</v>
      </c>
    </row>
    <row r="76" customFormat="false" ht="26.85" hidden="false" customHeight="false" outlineLevel="0" collapsed="false">
      <c r="A76" s="10" t="str">
        <f aca="false">01_評価入力!A76</f>
        <v>AIMF-PR-INF-005</v>
      </c>
      <c r="B76" s="10" t="str">
        <f aca="false">01_評価入力!S76</f>
        <v/>
      </c>
      <c r="C76" s="10" t="str">
        <f aca="false">01_評価入力!R76</f>
        <v/>
      </c>
      <c r="D76" s="10" t="str">
        <f aca="false">01_評価入力!K76</f>
        <v/>
      </c>
      <c r="E76" s="10" t="str">
        <f aca="false">01_評価入力!T76</f>
        <v>AIMF-PR-INF-005</v>
      </c>
      <c r="F76" s="10" t="str">
        <f aca="false">01_評価入力!U76</f>
        <v>推論エンドポイント・モデルAPIの保護</v>
      </c>
      <c r="G76" s="10" t="str">
        <f aca="false">IF($E76="","",IFERROR(VLOOKUP($E76,02_施策マスター!$A:$C,3,0),""))</f>
        <v>PR</v>
      </c>
    </row>
    <row r="77" customFormat="false" ht="15" hidden="false" customHeight="false" outlineLevel="0" collapsed="false">
      <c r="A77" s="10" t="str">
        <f aca="false">01_評価入力!A77</f>
        <v>AIMF-PR-INF-006</v>
      </c>
      <c r="B77" s="10" t="str">
        <f aca="false">01_評価入力!S77</f>
        <v/>
      </c>
      <c r="C77" s="10" t="str">
        <f aca="false">01_評価入力!R77</f>
        <v/>
      </c>
      <c r="D77" s="10" t="str">
        <f aca="false">01_評価入力!K77</f>
        <v/>
      </c>
      <c r="E77" s="10" t="str">
        <f aca="false">01_評価入力!T77</f>
        <v>AIMF-PR-INF-006</v>
      </c>
      <c r="F77" s="10" t="str">
        <f aca="false">01_評価入力!U77</f>
        <v>開発・学習環境と本番環境の分離</v>
      </c>
      <c r="G77" s="10" t="str">
        <f aca="false">IF($E77="","",IFERROR(VLOOKUP($E77,02_施策マスター!$A:$C,3,0),""))</f>
        <v>PR</v>
      </c>
    </row>
    <row r="78" customFormat="false" ht="26.85" hidden="false" customHeight="false" outlineLevel="0" collapsed="false">
      <c r="A78" s="10" t="str">
        <f aca="false">01_評価入力!A78</f>
        <v>AIMF-PR-INF-007</v>
      </c>
      <c r="B78" s="10" t="str">
        <f aca="false">01_評価入力!S78</f>
        <v/>
      </c>
      <c r="C78" s="10" t="str">
        <f aca="false">01_評価入力!R78</f>
        <v/>
      </c>
      <c r="D78" s="10" t="str">
        <f aca="false">01_評価入力!K78</f>
        <v/>
      </c>
      <c r="E78" s="10" t="str">
        <f aca="false">01_評価入力!T78</f>
        <v>AIMF-PR-INF-007</v>
      </c>
      <c r="F78" s="10" t="str">
        <f aca="false">01_評価入力!U78</f>
        <v>AIリソース設定のセキュリティベースライン</v>
      </c>
      <c r="G78" s="10" t="str">
        <f aca="false">IF($E78="","",IFERROR(VLOOKUP($E78,02_施策マスター!$A:$C,3,0),""))</f>
        <v>PR</v>
      </c>
    </row>
    <row r="79" customFormat="false" ht="26.85" hidden="false" customHeight="false" outlineLevel="0" collapsed="false">
      <c r="A79" s="10" t="str">
        <f aca="false">01_評価入力!A79</f>
        <v>AIMF-PR-IAM-001</v>
      </c>
      <c r="B79" s="10" t="str">
        <f aca="false">01_評価入力!S79</f>
        <v/>
      </c>
      <c r="C79" s="10" t="str">
        <f aca="false">01_評価入力!R79</f>
        <v/>
      </c>
      <c r="D79" s="10" t="str">
        <f aca="false">01_評価入力!K79</f>
        <v/>
      </c>
      <c r="E79" s="10" t="str">
        <f aca="false">01_評価入力!T79</f>
        <v>AIMF-PR-IAM-001</v>
      </c>
      <c r="F79" s="10" t="str">
        <f aca="false">01_評価入力!U79</f>
        <v>RAGデータアクセス権（ACL）の同期</v>
      </c>
      <c r="G79" s="10" t="str">
        <f aca="false">IF($E79="","",IFERROR(VLOOKUP($E79,02_施策マスター!$A:$C,3,0),""))</f>
        <v>PR</v>
      </c>
    </row>
    <row r="80" customFormat="false" ht="26.85" hidden="false" customHeight="false" outlineLevel="0" collapsed="false">
      <c r="A80" s="10" t="str">
        <f aca="false">01_評価入力!A80</f>
        <v>AIMF-PR-IAM-002</v>
      </c>
      <c r="B80" s="10" t="str">
        <f aca="false">01_評価入力!S80</f>
        <v/>
      </c>
      <c r="C80" s="10" t="str">
        <f aca="false">01_評価入力!R80</f>
        <v/>
      </c>
      <c r="D80" s="10" t="str">
        <f aca="false">01_評価入力!K80</f>
        <v/>
      </c>
      <c r="E80" s="10" t="str">
        <f aca="false">01_評価入力!T80</f>
        <v>AIMF-PR-IAM-002</v>
      </c>
      <c r="F80" s="10" t="str">
        <f aca="false">01_評価入力!U80</f>
        <v>AIエージェントへの最小権限原則の適用</v>
      </c>
      <c r="G80" s="10" t="str">
        <f aca="false">IF($E80="","",IFERROR(VLOOKUP($E80,02_施策マスター!$A:$C,3,0),""))</f>
        <v>PR</v>
      </c>
    </row>
    <row r="81" customFormat="false" ht="26.85" hidden="false" customHeight="false" outlineLevel="0" collapsed="false">
      <c r="A81" s="10" t="str">
        <f aca="false">01_評価入力!A81</f>
        <v>AIMF-PR-IAM-003</v>
      </c>
      <c r="B81" s="10" t="str">
        <f aca="false">01_評価入力!S81</f>
        <v/>
      </c>
      <c r="C81" s="10" t="str">
        <f aca="false">01_評価入力!R81</f>
        <v/>
      </c>
      <c r="D81" s="10" t="str">
        <f aca="false">01_評価入力!K81</f>
        <v/>
      </c>
      <c r="E81" s="10" t="str">
        <f aca="false">01_評価入力!T81</f>
        <v>AIMF-PR-IAM-003</v>
      </c>
      <c r="F81" s="10" t="str">
        <f aca="false">01_評価入力!U81</f>
        <v>AIクレデンシャル・APIキーの暗号化管理</v>
      </c>
      <c r="G81" s="10" t="str">
        <f aca="false">IF($E81="","",IFERROR(VLOOKUP($E81,02_施策マスター!$A:$C,3,0),""))</f>
        <v>PR</v>
      </c>
    </row>
    <row r="82" customFormat="false" ht="26.85" hidden="false" customHeight="false" outlineLevel="0" collapsed="false">
      <c r="A82" s="10" t="str">
        <f aca="false">01_評価入力!A82</f>
        <v>AIMF-PR-IAM-004</v>
      </c>
      <c r="B82" s="10" t="str">
        <f aca="false">01_評価入力!S82</f>
        <v/>
      </c>
      <c r="C82" s="10" t="str">
        <f aca="false">01_評価入力!R82</f>
        <v/>
      </c>
      <c r="D82" s="10" t="str">
        <f aca="false">01_評価入力!K82</f>
        <v/>
      </c>
      <c r="E82" s="10" t="str">
        <f aca="false">01_評価入力!T82</f>
        <v>AIMF-PR-IAM-004</v>
      </c>
      <c r="F82" s="10" t="str">
        <f aca="false">01_評価入力!U82</f>
        <v>フィッシング耐性MFAの適用（AI管理者・特権）</v>
      </c>
      <c r="G82" s="10" t="str">
        <f aca="false">IF($E82="","",IFERROR(VLOOKUP($E82,02_施策マスター!$A:$C,3,0),""))</f>
        <v>PR</v>
      </c>
    </row>
    <row r="83" customFormat="false" ht="26.85" hidden="false" customHeight="false" outlineLevel="0" collapsed="false">
      <c r="A83" s="10" t="str">
        <f aca="false">01_評価入力!A83</f>
        <v>AIMF-PR-IAM-005</v>
      </c>
      <c r="B83" s="10" t="str">
        <f aca="false">01_評価入力!S83</f>
        <v/>
      </c>
      <c r="C83" s="10" t="str">
        <f aca="false">01_評価入力!R83</f>
        <v/>
      </c>
      <c r="D83" s="10" t="str">
        <f aca="false">01_評価入力!K83</f>
        <v/>
      </c>
      <c r="E83" s="10" t="str">
        <f aca="false">01_評価入力!T83</f>
        <v>AIMF-PR-IAM-005</v>
      </c>
      <c r="F83" s="10" t="str">
        <f aca="false">01_評価入力!U83</f>
        <v>エージェント・サービスアカウントのライフサイクル管理</v>
      </c>
      <c r="G83" s="10" t="str">
        <f aca="false">IF($E83="","",IFERROR(VLOOKUP($E83,02_施策マスター!$A:$C,3,0),""))</f>
        <v>PR</v>
      </c>
    </row>
    <row r="84" customFormat="false" ht="26.85" hidden="false" customHeight="false" outlineLevel="0" collapsed="false">
      <c r="A84" s="10" t="str">
        <f aca="false">01_評価入力!A84</f>
        <v>AIMF-PR-IAM-006</v>
      </c>
      <c r="B84" s="10" t="str">
        <f aca="false">01_評価入力!S84</f>
        <v/>
      </c>
      <c r="C84" s="10" t="str">
        <f aca="false">01_評価入力!R84</f>
        <v/>
      </c>
      <c r="D84" s="10" t="str">
        <f aca="false">01_評価入力!K84</f>
        <v/>
      </c>
      <c r="E84" s="10" t="str">
        <f aca="false">01_評価入力!T84</f>
        <v>AIMF-PR-IAM-006</v>
      </c>
      <c r="F84" s="10" t="str">
        <f aca="false">01_評価入力!U84</f>
        <v>短命トークン・タスクバウンド認可</v>
      </c>
      <c r="G84" s="10" t="str">
        <f aca="false">IF($E84="","",IFERROR(VLOOKUP($E84,02_施策マスター!$A:$C,3,0),""))</f>
        <v>PR</v>
      </c>
    </row>
    <row r="85" customFormat="false" ht="26.85" hidden="false" customHeight="false" outlineLevel="0" collapsed="false">
      <c r="A85" s="10" t="str">
        <f aca="false">01_評価入力!A85</f>
        <v>AIMF-PR-IAM-007</v>
      </c>
      <c r="B85" s="10" t="str">
        <f aca="false">01_評価入力!S85</f>
        <v/>
      </c>
      <c r="C85" s="10" t="str">
        <f aca="false">01_評価入力!R85</f>
        <v/>
      </c>
      <c r="D85" s="10" t="str">
        <f aca="false">01_評価入力!K85</f>
        <v/>
      </c>
      <c r="E85" s="10" t="str">
        <f aca="false">01_評価入力!T85</f>
        <v>AIMF-PR-IAM-007</v>
      </c>
      <c r="F85" s="10" t="str">
        <f aca="false">01_評価入力!U85</f>
        <v>動的な権限昇格の禁止とJITアクセス</v>
      </c>
      <c r="G85" s="10" t="str">
        <f aca="false">IF($E85="","",IFERROR(VLOOKUP($E85,02_施策マスター!$A:$C,3,0),""))</f>
        <v>PR</v>
      </c>
    </row>
    <row r="86" customFormat="false" ht="26.85" hidden="false" customHeight="false" outlineLevel="0" collapsed="false">
      <c r="A86" s="10" t="str">
        <f aca="false">01_評価入力!A86</f>
        <v>AIMF-PR-IAM-008</v>
      </c>
      <c r="B86" s="10" t="str">
        <f aca="false">01_評価入力!S86</f>
        <v/>
      </c>
      <c r="C86" s="10" t="str">
        <f aca="false">01_評価入力!R86</f>
        <v/>
      </c>
      <c r="D86" s="10" t="str">
        <f aca="false">01_評価入力!K86</f>
        <v/>
      </c>
      <c r="E86" s="10" t="str">
        <f aca="false">01_評価入力!T86</f>
        <v>AIMF-PR-IAM-008</v>
      </c>
      <c r="F86" s="10" t="str">
        <f aca="false">01_評価入力!U86</f>
        <v>AIプラットフォームのRBAC/ABAC設計</v>
      </c>
      <c r="G86" s="10" t="str">
        <f aca="false">IF($E86="","",IFERROR(VLOOKUP($E86,02_施策マスター!$A:$C,3,0),""))</f>
        <v>PR</v>
      </c>
    </row>
    <row r="87" customFormat="false" ht="22.35" hidden="false" customHeight="false" outlineLevel="0" collapsed="false">
      <c r="A87" s="10" t="str">
        <f aca="false">01_評価入力!A87</f>
        <v>AIMF-PR-DAT-001</v>
      </c>
      <c r="B87" s="10" t="str">
        <f aca="false">01_評価入力!S87</f>
        <v/>
      </c>
      <c r="C87" s="10" t="str">
        <f aca="false">01_評価入力!R87</f>
        <v/>
      </c>
      <c r="D87" s="10" t="str">
        <f aca="false">01_評価入力!K87</f>
        <v/>
      </c>
      <c r="E87" s="10" t="str">
        <f aca="false">01_評価入力!T87</f>
        <v>AIMF-PR-DAT-001</v>
      </c>
      <c r="F87" s="10" t="str">
        <f aca="false">01_評価入力!U87</f>
        <v>プロンプト・出力へのDLP統制</v>
      </c>
      <c r="G87" s="10" t="str">
        <f aca="false">IF($E87="","",IFERROR(VLOOKUP($E87,02_施策マスター!$A:$C,3,0),""))</f>
        <v>PR</v>
      </c>
    </row>
    <row r="88" customFormat="false" ht="26.85" hidden="false" customHeight="false" outlineLevel="0" collapsed="false">
      <c r="A88" s="10" t="str">
        <f aca="false">01_評価入力!A88</f>
        <v>AIMF-PR-DAT-002</v>
      </c>
      <c r="B88" s="10" t="str">
        <f aca="false">01_評価入力!S88</f>
        <v/>
      </c>
      <c r="C88" s="10" t="str">
        <f aca="false">01_評価入力!R88</f>
        <v/>
      </c>
      <c r="D88" s="10" t="str">
        <f aca="false">01_評価入力!K88</f>
        <v/>
      </c>
      <c r="E88" s="10" t="str">
        <f aca="false">01_評価入力!T88</f>
        <v>AIMF-PR-DAT-002</v>
      </c>
      <c r="F88" s="10" t="str">
        <f aca="false">01_評価入力!U88</f>
        <v>学習・RAG投入前の仮名化・匿名化</v>
      </c>
      <c r="G88" s="10" t="str">
        <f aca="false">IF($E88="","",IFERROR(VLOOKUP($E88,02_施策マスター!$A:$C,3,0),""))</f>
        <v>PR</v>
      </c>
    </row>
    <row r="89" customFormat="false" ht="22.35" hidden="false" customHeight="false" outlineLevel="0" collapsed="false">
      <c r="A89" s="10" t="str">
        <f aca="false">01_評価入力!A89</f>
        <v>AIMF-PR-DAT-003</v>
      </c>
      <c r="B89" s="10" t="str">
        <f aca="false">01_評価入力!S89</f>
        <v/>
      </c>
      <c r="C89" s="10" t="str">
        <f aca="false">01_評価入力!R89</f>
        <v/>
      </c>
      <c r="D89" s="10" t="str">
        <f aca="false">01_評価入力!K89</f>
        <v/>
      </c>
      <c r="E89" s="10" t="str">
        <f aca="false">01_評価入力!T89</f>
        <v>AIMF-PR-DAT-003</v>
      </c>
      <c r="F89" s="10" t="str">
        <f aca="false">01_評価入力!U89</f>
        <v>出力データへの機密区分の継承</v>
      </c>
      <c r="G89" s="10" t="str">
        <f aca="false">IF($E89="","",IFERROR(VLOOKUP($E89,02_施策マスター!$A:$C,3,0),""))</f>
        <v>PR</v>
      </c>
    </row>
    <row r="90" customFormat="false" ht="26.85" hidden="false" customHeight="false" outlineLevel="0" collapsed="false">
      <c r="A90" s="10" t="str">
        <f aca="false">01_評価入力!A90</f>
        <v>AIMF-PR-DAT-004</v>
      </c>
      <c r="B90" s="10" t="str">
        <f aca="false">01_評価入力!S90</f>
        <v/>
      </c>
      <c r="C90" s="10" t="str">
        <f aca="false">01_評価入力!R90</f>
        <v/>
      </c>
      <c r="D90" s="10" t="str">
        <f aca="false">01_評価入力!K90</f>
        <v/>
      </c>
      <c r="E90" s="10" t="str">
        <f aca="false">01_評価入力!T90</f>
        <v>AIMF-PR-DAT-004</v>
      </c>
      <c r="F90" s="10" t="str">
        <f aca="false">01_評価入力!U90</f>
        <v>モデル重み・チェックポイントの厳格アクセス管理</v>
      </c>
      <c r="G90" s="10" t="str">
        <f aca="false">IF($E90="","",IFERROR(VLOOKUP($E90,02_施策マスター!$A:$C,3,0),""))</f>
        <v>PR</v>
      </c>
    </row>
    <row r="91" customFormat="false" ht="26.85" hidden="false" customHeight="false" outlineLevel="0" collapsed="false">
      <c r="A91" s="10" t="str">
        <f aca="false">01_評価入力!A91</f>
        <v>AIMF-PR-DAT-005</v>
      </c>
      <c r="B91" s="10" t="str">
        <f aca="false">01_評価入力!S91</f>
        <v/>
      </c>
      <c r="C91" s="10" t="str">
        <f aca="false">01_評価入力!R91</f>
        <v/>
      </c>
      <c r="D91" s="10" t="str">
        <f aca="false">01_評価入力!K91</f>
        <v/>
      </c>
      <c r="E91" s="10" t="str">
        <f aca="false">01_評価入力!T91</f>
        <v>AIMF-PR-DAT-005</v>
      </c>
      <c r="F91" s="10" t="str">
        <f aca="false">01_評価入力!U91</f>
        <v>機密コンピューティングによる推論保護</v>
      </c>
      <c r="G91" s="10" t="str">
        <f aca="false">IF($E91="","",IFERROR(VLOOKUP($E91,02_施策マスター!$A:$C,3,0),""))</f>
        <v>PR</v>
      </c>
    </row>
    <row r="92" customFormat="false" ht="26.85" hidden="false" customHeight="false" outlineLevel="0" collapsed="false">
      <c r="A92" s="10" t="str">
        <f aca="false">01_評価入力!A92</f>
        <v>AIMF-PR-MDL-001</v>
      </c>
      <c r="B92" s="10" t="str">
        <f aca="false">01_評価入力!S92</f>
        <v/>
      </c>
      <c r="C92" s="10" t="str">
        <f aca="false">01_評価入力!R92</f>
        <v/>
      </c>
      <c r="D92" s="10" t="str">
        <f aca="false">01_評価入力!K92</f>
        <v/>
      </c>
      <c r="E92" s="10" t="str">
        <f aca="false">01_評価入力!T92</f>
        <v>AIMF-PR-MDL-001</v>
      </c>
      <c r="F92" s="10" t="str">
        <f aca="false">01_評価入力!U92</f>
        <v>モデルライフサイクル管理・リリース前評価</v>
      </c>
      <c r="G92" s="10" t="str">
        <f aca="false">IF($E92="","",IFERROR(VLOOKUP($E92,02_施策マスター!$A:$C,3,0),""))</f>
        <v>PR</v>
      </c>
    </row>
    <row r="93" customFormat="false" ht="22.35" hidden="false" customHeight="false" outlineLevel="0" collapsed="false">
      <c r="A93" s="10" t="str">
        <f aca="false">01_評価入力!A93</f>
        <v>AIMF-PR-MDL-002</v>
      </c>
      <c r="B93" s="10" t="str">
        <f aca="false">01_評価入力!S93</f>
        <v/>
      </c>
      <c r="C93" s="10" t="str">
        <f aca="false">01_評価入力!R93</f>
        <v/>
      </c>
      <c r="D93" s="10" t="str">
        <f aca="false">01_評価入力!K93</f>
        <v/>
      </c>
      <c r="E93" s="10" t="str">
        <f aca="false">01_評価入力!T93</f>
        <v>AIMF-PR-MDL-002</v>
      </c>
      <c r="F93" s="10" t="str">
        <f aca="false">01_評価入力!U93</f>
        <v>モデル成果物の完全性保護</v>
      </c>
      <c r="G93" s="10" t="str">
        <f aca="false">IF($E93="","",IFERROR(VLOOKUP($E93,02_施策マスター!$A:$C,3,0),""))</f>
        <v>PR</v>
      </c>
    </row>
    <row r="94" customFormat="false" ht="22.35" hidden="false" customHeight="false" outlineLevel="0" collapsed="false">
      <c r="A94" s="10" t="str">
        <f aca="false">01_評価入力!A94</f>
        <v>AIMF-PR-MDL-003</v>
      </c>
      <c r="B94" s="10" t="str">
        <f aca="false">01_評価入力!S94</f>
        <v/>
      </c>
      <c r="C94" s="10" t="str">
        <f aca="false">01_評価入力!R94</f>
        <v/>
      </c>
      <c r="D94" s="10" t="str">
        <f aca="false">01_評価入力!K94</f>
        <v/>
      </c>
      <c r="E94" s="10" t="str">
        <f aca="false">01_評価入力!T94</f>
        <v>AIMF-PR-MDL-003</v>
      </c>
      <c r="F94" s="10" t="str">
        <f aca="false">01_評価入力!U94</f>
        <v>セキュア学習パイプラインの統制</v>
      </c>
      <c r="G94" s="10" t="str">
        <f aca="false">IF($E94="","",IFERROR(VLOOKUP($E94,02_施策マスター!$A:$C,3,0),""))</f>
        <v>PR</v>
      </c>
    </row>
    <row r="95" customFormat="false" ht="26.85" hidden="false" customHeight="false" outlineLevel="0" collapsed="false">
      <c r="A95" s="10" t="str">
        <f aca="false">01_評価入力!A95</f>
        <v>AIMF-PR-MDL-004</v>
      </c>
      <c r="B95" s="10" t="str">
        <f aca="false">01_評価入力!S95</f>
        <v/>
      </c>
      <c r="C95" s="10" t="str">
        <f aca="false">01_評価入力!R95</f>
        <v/>
      </c>
      <c r="D95" s="10" t="str">
        <f aca="false">01_評価入力!K95</f>
        <v/>
      </c>
      <c r="E95" s="10" t="str">
        <f aca="false">01_評価入力!T95</f>
        <v>AIMF-PR-MDL-004</v>
      </c>
      <c r="F95" s="10" t="str">
        <f aca="false">01_評価入力!U95</f>
        <v>モデルレジストリ統制（承認済みモデルのみデプロイ）</v>
      </c>
      <c r="G95" s="10" t="str">
        <f aca="false">IF($E95="","",IFERROR(VLOOKUP($E95,02_施策マスター!$A:$C,3,0),""))</f>
        <v>PR</v>
      </c>
    </row>
    <row r="96" customFormat="false" ht="26.85" hidden="false" customHeight="false" outlineLevel="0" collapsed="false">
      <c r="A96" s="10" t="str">
        <f aca="false">01_評価入力!A96</f>
        <v>AIMF-PR-MDL-005</v>
      </c>
      <c r="B96" s="10" t="str">
        <f aca="false">01_評価入力!S96</f>
        <v/>
      </c>
      <c r="C96" s="10" t="str">
        <f aca="false">01_評価入力!R96</f>
        <v/>
      </c>
      <c r="D96" s="10" t="str">
        <f aca="false">01_評価入力!K96</f>
        <v/>
      </c>
      <c r="E96" s="10" t="str">
        <f aca="false">01_評価入力!T96</f>
        <v>AIMF-PR-MDL-005</v>
      </c>
      <c r="F96" s="10" t="str">
        <f aca="false">01_評価入力!U96</f>
        <v>ファインチューニング・継続学習の変更管理</v>
      </c>
      <c r="G96" s="10" t="str">
        <f aca="false">IF($E96="","",IFERROR(VLOOKUP($E96,02_施策マスター!$A:$C,3,0),""))</f>
        <v>PR</v>
      </c>
    </row>
    <row r="97" customFormat="false" ht="26.85" hidden="false" customHeight="false" outlineLevel="0" collapsed="false">
      <c r="A97" s="10" t="str">
        <f aca="false">01_評価入力!A97</f>
        <v>AIMF-PR-MDL-006</v>
      </c>
      <c r="B97" s="10" t="str">
        <f aca="false">01_評価入力!S97</f>
        <v/>
      </c>
      <c r="C97" s="10" t="str">
        <f aca="false">01_評価入力!R97</f>
        <v/>
      </c>
      <c r="D97" s="10" t="str">
        <f aca="false">01_評価入力!K97</f>
        <v/>
      </c>
      <c r="E97" s="10" t="str">
        <f aca="false">01_評価入力!T97</f>
        <v>AIMF-PR-MDL-006</v>
      </c>
      <c r="F97" s="10" t="str">
        <f aca="false">01_評価入力!U97</f>
        <v>量子化・蒸留・最適化後の安全性再評価</v>
      </c>
      <c r="G97" s="10" t="str">
        <f aca="false">IF($E97="","",IFERROR(VLOOKUP($E97,02_施策マスター!$A:$C,3,0),""))</f>
        <v>PR</v>
      </c>
    </row>
    <row r="98" customFormat="false" ht="26.85" hidden="false" customHeight="false" outlineLevel="0" collapsed="false">
      <c r="A98" s="10" t="str">
        <f aca="false">01_評価入力!A98</f>
        <v>AIMF-PR-MDL-007</v>
      </c>
      <c r="B98" s="10" t="str">
        <f aca="false">01_評価入力!S98</f>
        <v/>
      </c>
      <c r="C98" s="10" t="str">
        <f aca="false">01_評価入力!R98</f>
        <v/>
      </c>
      <c r="D98" s="10" t="str">
        <f aca="false">01_評価入力!K98</f>
        <v/>
      </c>
      <c r="E98" s="10" t="str">
        <f aca="false">01_評価入力!T98</f>
        <v>AIMF-PR-MDL-007</v>
      </c>
      <c r="F98" s="10" t="str">
        <f aca="false">01_評価入力!U98</f>
        <v>システムプロンプトの版管理と保護</v>
      </c>
      <c r="G98" s="10" t="str">
        <f aca="false">IF($E98="","",IFERROR(VLOOKUP($E98,02_施策マスター!$A:$C,3,0),""))</f>
        <v>PR</v>
      </c>
    </row>
    <row r="99" customFormat="false" ht="22.35" hidden="false" customHeight="false" outlineLevel="0" collapsed="false">
      <c r="A99" s="10" t="str">
        <f aca="false">01_評価入力!A99</f>
        <v>AIMF-PR-RED-001</v>
      </c>
      <c r="B99" s="10" t="str">
        <f aca="false">01_評価入力!S99</f>
        <v/>
      </c>
      <c r="C99" s="10" t="str">
        <f aca="false">01_評価入力!R99</f>
        <v/>
      </c>
      <c r="D99" s="10" t="str">
        <f aca="false">01_評価入力!K99</f>
        <v/>
      </c>
      <c r="E99" s="10" t="str">
        <f aca="false">01_評価入力!T99</f>
        <v>AIMF-PR-RED-001</v>
      </c>
      <c r="F99" s="10" t="str">
        <f aca="false">01_評価入力!U99</f>
        <v>AIレッドチーミングの定期的実施</v>
      </c>
      <c r="G99" s="10" t="str">
        <f aca="false">IF($E99="","",IFERROR(VLOOKUP($E99,02_施策マスター!$A:$C,3,0),""))</f>
        <v>PR</v>
      </c>
    </row>
    <row r="100" customFormat="false" ht="26.85" hidden="false" customHeight="false" outlineLevel="0" collapsed="false">
      <c r="A100" s="10" t="str">
        <f aca="false">01_評価入力!A100</f>
        <v>AIMF-PR-RED-002</v>
      </c>
      <c r="B100" s="10" t="str">
        <f aca="false">01_評価入力!S100</f>
        <v/>
      </c>
      <c r="C100" s="10" t="str">
        <f aca="false">01_評価入力!R100</f>
        <v/>
      </c>
      <c r="D100" s="10" t="str">
        <f aca="false">01_評価入力!K100</f>
        <v/>
      </c>
      <c r="E100" s="10" t="str">
        <f aca="false">01_評価入力!T100</f>
        <v>AIMF-PR-RED-002</v>
      </c>
      <c r="F100" s="10" t="str">
        <f aca="false">01_評価入力!U100</f>
        <v>自動化されたAI脆弱性スキャン（LLM-assisted Red Teaming）</v>
      </c>
      <c r="G100" s="10" t="str">
        <f aca="false">IF($E100="","",IFERROR(VLOOKUP($E100,02_施策マスター!$A:$C,3,0),""))</f>
        <v>PR</v>
      </c>
    </row>
    <row r="101" customFormat="false" ht="22.35" hidden="false" customHeight="false" outlineLevel="0" collapsed="false">
      <c r="A101" s="10" t="str">
        <f aca="false">01_評価入力!A101</f>
        <v>AIMF-PR-RED-003</v>
      </c>
      <c r="B101" s="10" t="str">
        <f aca="false">01_評価入力!S101</f>
        <v/>
      </c>
      <c r="C101" s="10" t="str">
        <f aca="false">01_評価入力!R101</f>
        <v/>
      </c>
      <c r="D101" s="10" t="str">
        <f aca="false">01_評価入力!K101</f>
        <v/>
      </c>
      <c r="E101" s="10" t="str">
        <f aca="false">01_評価入力!T101</f>
        <v>AIMF-PR-RED-003</v>
      </c>
      <c r="F101" s="10" t="str">
        <f aca="false">01_評価入力!U101</f>
        <v>RAG知識ベースの動的スキャン</v>
      </c>
      <c r="G101" s="10" t="str">
        <f aca="false">IF($E101="","",IFERROR(VLOOKUP($E101,02_施策マスター!$A:$C,3,0),""))</f>
        <v>PR</v>
      </c>
    </row>
    <row r="102" customFormat="false" ht="26.85" hidden="false" customHeight="false" outlineLevel="0" collapsed="false">
      <c r="A102" s="10" t="str">
        <f aca="false">01_評価入力!A102</f>
        <v>AIMF-PR-RED-004</v>
      </c>
      <c r="B102" s="10" t="str">
        <f aca="false">01_評価入力!S102</f>
        <v/>
      </c>
      <c r="C102" s="10" t="str">
        <f aca="false">01_評価入力!R102</f>
        <v/>
      </c>
      <c r="D102" s="10" t="str">
        <f aca="false">01_評価入力!K102</f>
        <v/>
      </c>
      <c r="E102" s="10" t="str">
        <f aca="false">01_評価入力!T102</f>
        <v>AIMF-PR-RED-004</v>
      </c>
      <c r="F102" s="10" t="str">
        <f aca="false">01_評価入力!U102</f>
        <v>リリース前の安全性・セキュリティ評価スイート</v>
      </c>
      <c r="G102" s="10" t="str">
        <f aca="false">IF($E102="","",IFERROR(VLOOKUP($E102,02_施策マスター!$A:$C,3,0),""))</f>
        <v>PR</v>
      </c>
    </row>
    <row r="103" customFormat="false" ht="26.85" hidden="false" customHeight="false" outlineLevel="0" collapsed="false">
      <c r="A103" s="10" t="str">
        <f aca="false">01_評価入力!A103</f>
        <v>AIMF-PR-RED-005</v>
      </c>
      <c r="B103" s="10" t="str">
        <f aca="false">01_評価入力!S103</f>
        <v/>
      </c>
      <c r="C103" s="10" t="str">
        <f aca="false">01_評価入力!R103</f>
        <v/>
      </c>
      <c r="D103" s="10" t="str">
        <f aca="false">01_評価入力!K103</f>
        <v/>
      </c>
      <c r="E103" s="10" t="str">
        <f aca="false">01_評価入力!T103</f>
        <v>AIMF-PR-RED-005</v>
      </c>
      <c r="F103" s="10" t="str">
        <f aca="false">01_評価入力!U103</f>
        <v>CI/CDへの継続的評価（eval）の組み込み</v>
      </c>
      <c r="G103" s="10" t="str">
        <f aca="false">IF($E103="","",IFERROR(VLOOKUP($E103,02_施策マスター!$A:$C,3,0),""))</f>
        <v>PR</v>
      </c>
    </row>
    <row r="104" customFormat="false" ht="22.35" hidden="false" customHeight="false" outlineLevel="0" collapsed="false">
      <c r="A104" s="10" t="str">
        <f aca="false">01_評価入力!A104</f>
        <v>AIMF-PR-RED-006</v>
      </c>
      <c r="B104" s="10" t="str">
        <f aca="false">01_評価入力!S104</f>
        <v/>
      </c>
      <c r="C104" s="10" t="str">
        <f aca="false">01_評価入力!R104</f>
        <v/>
      </c>
      <c r="D104" s="10" t="str">
        <f aca="false">01_評価入力!K104</f>
        <v/>
      </c>
      <c r="E104" s="10" t="str">
        <f aca="false">01_評価入力!T104</f>
        <v>AIMF-PR-RED-006</v>
      </c>
      <c r="F104" s="10" t="str">
        <f aca="false">01_評価入力!U104</f>
        <v>ATLASベースの敵対的演習</v>
      </c>
      <c r="G104" s="10" t="str">
        <f aca="false">IF($E104="","",IFERROR(VLOOKUP($E104,02_施策マスター!$A:$C,3,0),""))</f>
        <v>PR</v>
      </c>
    </row>
    <row r="105" customFormat="false" ht="26.85" hidden="false" customHeight="false" outlineLevel="0" collapsed="false">
      <c r="A105" s="10" t="str">
        <f aca="false">01_評価入力!A105</f>
        <v>AIMF-PR-GRD-001</v>
      </c>
      <c r="B105" s="10" t="str">
        <f aca="false">01_評価入力!S105</f>
        <v/>
      </c>
      <c r="C105" s="10" t="str">
        <f aca="false">01_評価入力!R105</f>
        <v/>
      </c>
      <c r="D105" s="10" t="str">
        <f aca="false">01_評価入力!K105</f>
        <v/>
      </c>
      <c r="E105" s="10" t="str">
        <f aca="false">01_評価入力!T105</f>
        <v>AIMF-PR-GRD-001</v>
      </c>
      <c r="F105" s="10" t="str">
        <f aca="false">01_評価入力!U105</f>
        <v>多層インライン・ガードレール（入出力フィルタ）の実装</v>
      </c>
      <c r="G105" s="10" t="str">
        <f aca="false">IF($E105="","",IFERROR(VLOOKUP($E105,02_施策マスター!$A:$C,3,0),""))</f>
        <v>PR</v>
      </c>
    </row>
    <row r="106" customFormat="false" ht="26.85" hidden="false" customHeight="false" outlineLevel="0" collapsed="false">
      <c r="A106" s="10" t="str">
        <f aca="false">01_評価入力!A106</f>
        <v>AIMF-PR-GRD-002</v>
      </c>
      <c r="B106" s="10" t="str">
        <f aca="false">01_評価入力!S106</f>
        <v/>
      </c>
      <c r="C106" s="10" t="str">
        <f aca="false">01_評価入力!R106</f>
        <v/>
      </c>
      <c r="D106" s="10" t="str">
        <f aca="false">01_評価入力!K106</f>
        <v/>
      </c>
      <c r="E106" s="10" t="str">
        <f aca="false">01_評価入力!T106</f>
        <v>AIMF-PR-GRD-002</v>
      </c>
      <c r="F106" s="10" t="str">
        <f aca="false">01_評価入力!U106</f>
        <v>AIエージェント実行環境の隔離（サンドボックス化）</v>
      </c>
      <c r="G106" s="10" t="str">
        <f aca="false">IF($E106="","",IFERROR(VLOOKUP($E106,02_施策マスター!$A:$C,3,0),""))</f>
        <v>PR</v>
      </c>
    </row>
    <row r="107" customFormat="false" ht="26.85" hidden="false" customHeight="false" outlineLevel="0" collapsed="false">
      <c r="A107" s="10" t="str">
        <f aca="false">01_評価入力!A107</f>
        <v>AIMF-PR-GRD-003</v>
      </c>
      <c r="B107" s="10" t="str">
        <f aca="false">01_評価入力!S107</f>
        <v/>
      </c>
      <c r="C107" s="10" t="str">
        <f aca="false">01_評価入力!R107</f>
        <v/>
      </c>
      <c r="D107" s="10" t="str">
        <f aca="false">01_評価入力!K107</f>
        <v/>
      </c>
      <c r="E107" s="10" t="str">
        <f aca="false">01_評価入力!T107</f>
        <v>AIMF-PR-GRD-003</v>
      </c>
      <c r="F107" s="10" t="str">
        <f aca="false">01_評価入力!U107</f>
        <v>Human-in-the-Loopのシステム強制</v>
      </c>
      <c r="G107" s="10" t="str">
        <f aca="false">IF($E107="","",IFERROR(VLOOKUP($E107,02_施策マスター!$A:$C,3,0),""))</f>
        <v>PR</v>
      </c>
    </row>
    <row r="108" customFormat="false" ht="26.85" hidden="false" customHeight="false" outlineLevel="0" collapsed="false">
      <c r="A108" s="10" t="str">
        <f aca="false">01_評価入力!A108</f>
        <v>AIMF-PR-GRD-004</v>
      </c>
      <c r="B108" s="10" t="str">
        <f aca="false">01_評価入力!S108</f>
        <v/>
      </c>
      <c r="C108" s="10" t="str">
        <f aca="false">01_評価入力!R108</f>
        <v/>
      </c>
      <c r="D108" s="10" t="str">
        <f aca="false">01_評価入力!K108</f>
        <v/>
      </c>
      <c r="E108" s="10" t="str">
        <f aca="false">01_評価入力!T108</f>
        <v>AIMF-PR-GRD-004</v>
      </c>
      <c r="F108" s="10" t="str">
        <f aca="false">01_評価入力!U108</f>
        <v>出力の安全な取扱い（Improper Output Handling対策）</v>
      </c>
      <c r="G108" s="10" t="str">
        <f aca="false">IF($E108="","",IFERROR(VLOOKUP($E108,02_施策マスター!$A:$C,3,0),""))</f>
        <v>PR</v>
      </c>
    </row>
    <row r="109" customFormat="false" ht="22.35" hidden="false" customHeight="false" outlineLevel="0" collapsed="false">
      <c r="A109" s="10" t="str">
        <f aca="false">01_評価入力!A109</f>
        <v>AIMF-PR-GRD-005</v>
      </c>
      <c r="B109" s="10" t="str">
        <f aca="false">01_評価入力!S109</f>
        <v/>
      </c>
      <c r="C109" s="10" t="str">
        <f aca="false">01_評価入力!R109</f>
        <v/>
      </c>
      <c r="D109" s="10" t="str">
        <f aca="false">01_評価入力!K109</f>
        <v/>
      </c>
      <c r="E109" s="10" t="str">
        <f aca="false">01_評価入力!T109</f>
        <v>AIMF-PR-GRD-005</v>
      </c>
      <c r="F109" s="10" t="str">
        <f aca="false">01_評価入力!U109</f>
        <v>構造化出力・スキーマ検証の強制</v>
      </c>
      <c r="G109" s="10" t="str">
        <f aca="false">IF($E109="","",IFERROR(VLOOKUP($E109,02_施策マスター!$A:$C,3,0),""))</f>
        <v>PR</v>
      </c>
    </row>
    <row r="110" customFormat="false" ht="26.85" hidden="false" customHeight="false" outlineLevel="0" collapsed="false">
      <c r="A110" s="10" t="str">
        <f aca="false">01_評価入力!A110</f>
        <v>AIMF-PR-GRD-006</v>
      </c>
      <c r="B110" s="10" t="str">
        <f aca="false">01_評価入力!S110</f>
        <v/>
      </c>
      <c r="C110" s="10" t="str">
        <f aca="false">01_評価入力!R110</f>
        <v/>
      </c>
      <c r="D110" s="10" t="str">
        <f aca="false">01_評価入力!K110</f>
        <v/>
      </c>
      <c r="E110" s="10" t="str">
        <f aca="false">01_評価入力!T110</f>
        <v>AIMF-PR-GRD-006</v>
      </c>
      <c r="F110" s="10" t="str">
        <f aca="false">01_評価入力!U110</f>
        <v>過剰な自律性（Excessive Agency）の制限</v>
      </c>
      <c r="G110" s="10" t="str">
        <f aca="false">IF($E110="","",IFERROR(VLOOKUP($E110,02_施策マスター!$A:$C,3,0),""))</f>
        <v>PR</v>
      </c>
    </row>
    <row r="111" customFormat="false" ht="26.85" hidden="false" customHeight="false" outlineLevel="0" collapsed="false">
      <c r="A111" s="10" t="str">
        <f aca="false">01_評価入力!A111</f>
        <v>AIMF-PR-GRD-007</v>
      </c>
      <c r="B111" s="10" t="str">
        <f aca="false">01_評価入力!S111</f>
        <v/>
      </c>
      <c r="C111" s="10" t="str">
        <f aca="false">01_評価入力!R111</f>
        <v/>
      </c>
      <c r="D111" s="10" t="str">
        <f aca="false">01_評価入力!K111</f>
        <v/>
      </c>
      <c r="E111" s="10" t="str">
        <f aca="false">01_評価入力!T111</f>
        <v>AIMF-PR-GRD-007</v>
      </c>
      <c r="F111" s="10" t="str">
        <f aca="false">01_評価入力!U111</f>
        <v>RAGコンテキストの検証と出典の強制</v>
      </c>
      <c r="G111" s="10" t="str">
        <f aca="false">IF($E111="","",IFERROR(VLOOKUP($E111,02_施策マスター!$A:$C,3,0),""))</f>
        <v>PR</v>
      </c>
    </row>
    <row r="112" customFormat="false" ht="39.55" hidden="false" customHeight="false" outlineLevel="0" collapsed="false">
      <c r="A112" s="10" t="str">
        <f aca="false">01_評価入力!A112</f>
        <v>AIMF-PR-GRD-008</v>
      </c>
      <c r="B112" s="10" t="str">
        <f aca="false">01_評価入力!S112</f>
        <v/>
      </c>
      <c r="C112" s="10" t="str">
        <f aca="false">01_評価入力!R112</f>
        <v/>
      </c>
      <c r="D112" s="10" t="str">
        <f aca="false">01_評価入力!K112</f>
        <v/>
      </c>
      <c r="E112" s="10" t="str">
        <f aca="false">01_評価入力!T112</f>
        <v>AIMF-PR-GRD-008</v>
      </c>
      <c r="F112" s="10" t="str">
        <f aca="false">01_評価入力!U112</f>
        <v>リソース消費上限の強制（Unbounded Consumption対策）</v>
      </c>
      <c r="G112" s="10" t="str">
        <f aca="false">IF($E112="","",IFERROR(VLOOKUP($E112,02_施策マスター!$A:$C,3,0),""))</f>
        <v>PR</v>
      </c>
    </row>
    <row r="113" customFormat="false" ht="22.35" hidden="false" customHeight="false" outlineLevel="0" collapsed="false">
      <c r="A113" s="10" t="str">
        <f aca="false">01_評価入力!A113</f>
        <v>AIMF-PR-AGT-001</v>
      </c>
      <c r="B113" s="10" t="str">
        <f aca="false">01_評価入力!S113</f>
        <v/>
      </c>
      <c r="C113" s="10" t="str">
        <f aca="false">01_評価入力!R113</f>
        <v/>
      </c>
      <c r="D113" s="10" t="str">
        <f aca="false">01_評価入力!K113</f>
        <v/>
      </c>
      <c r="E113" s="10" t="str">
        <f aca="false">01_評価入力!T113</f>
        <v>AIMF-PR-AGT-001</v>
      </c>
      <c r="F113" s="10" t="str">
        <f aca="false">01_評価入力!U113</f>
        <v>エージェントID管理・相互認証</v>
      </c>
      <c r="G113" s="10" t="str">
        <f aca="false">IF($E113="","",IFERROR(VLOOKUP($E113,02_施策マスター!$A:$C,3,0),""))</f>
        <v>PR</v>
      </c>
    </row>
    <row r="114" customFormat="false" ht="26.85" hidden="false" customHeight="false" outlineLevel="0" collapsed="false">
      <c r="A114" s="10" t="str">
        <f aca="false">01_評価入力!A114</f>
        <v>AIMF-PR-AGT-002</v>
      </c>
      <c r="B114" s="10" t="str">
        <f aca="false">01_評価入力!S114</f>
        <v/>
      </c>
      <c r="C114" s="10" t="str">
        <f aca="false">01_評価入力!R114</f>
        <v/>
      </c>
      <c r="D114" s="10" t="str">
        <f aca="false">01_評価入力!K114</f>
        <v/>
      </c>
      <c r="E114" s="10" t="str">
        <f aca="false">01_評価入力!T114</f>
        <v>AIMF-PR-AGT-002</v>
      </c>
      <c r="F114" s="10" t="str">
        <f aca="false">01_評価入力!U114</f>
        <v>MCP等ツール接続プロトコルのセキュリティ</v>
      </c>
      <c r="G114" s="10" t="str">
        <f aca="false">IF($E114="","",IFERROR(VLOOKUP($E114,02_施策マスター!$A:$C,3,0),""))</f>
        <v>PR</v>
      </c>
    </row>
    <row r="115" customFormat="false" ht="26.85" hidden="false" customHeight="false" outlineLevel="0" collapsed="false">
      <c r="A115" s="10" t="str">
        <f aca="false">01_評価入力!A115</f>
        <v>AIMF-PR-AGT-003</v>
      </c>
      <c r="B115" s="10" t="str">
        <f aca="false">01_評価入力!S115</f>
        <v/>
      </c>
      <c r="C115" s="10" t="str">
        <f aca="false">01_評価入力!R115</f>
        <v/>
      </c>
      <c r="D115" s="10" t="str">
        <f aca="false">01_評価入力!K115</f>
        <v/>
      </c>
      <c r="E115" s="10" t="str">
        <f aca="false">01_評価入力!T115</f>
        <v>AIMF-PR-AGT-003</v>
      </c>
      <c r="F115" s="10" t="str">
        <f aca="false">01_評価入力!U115</f>
        <v>エージェントメモリ（長期記憶）の保護と汚染対策</v>
      </c>
      <c r="G115" s="10" t="str">
        <f aca="false">IF($E115="","",IFERROR(VLOOKUP($E115,02_施策マスター!$A:$C,3,0),""))</f>
        <v>PR</v>
      </c>
    </row>
    <row r="116" customFormat="false" ht="26.85" hidden="false" customHeight="false" outlineLevel="0" collapsed="false">
      <c r="A116" s="10" t="str">
        <f aca="false">01_評価入力!A116</f>
        <v>AIMF-PR-AGT-004</v>
      </c>
      <c r="B116" s="10" t="str">
        <f aca="false">01_評価入力!S116</f>
        <v/>
      </c>
      <c r="C116" s="10" t="str">
        <f aca="false">01_評価入力!R116</f>
        <v/>
      </c>
      <c r="D116" s="10" t="str">
        <f aca="false">01_評価入力!K116</f>
        <v/>
      </c>
      <c r="E116" s="10" t="str">
        <f aca="false">01_評価入力!T116</f>
        <v>AIMF-PR-AGT-004</v>
      </c>
      <c r="F116" s="10" t="str">
        <f aca="false">01_評価入力!U116</f>
        <v>最小エージェンシー原則（行動範囲・目標境界の定義）</v>
      </c>
      <c r="G116" s="10" t="str">
        <f aca="false">IF($E116="","",IFERROR(VLOOKUP($E116,02_施策マスター!$A:$C,3,0),""))</f>
        <v>PR</v>
      </c>
    </row>
    <row r="117" customFormat="false" ht="26.85" hidden="false" customHeight="false" outlineLevel="0" collapsed="false">
      <c r="A117" s="10" t="str">
        <f aca="false">01_評価入力!A117</f>
        <v>AIMF-PR-AGT-005</v>
      </c>
      <c r="B117" s="10" t="str">
        <f aca="false">01_評価入力!S117</f>
        <v/>
      </c>
      <c r="C117" s="10" t="str">
        <f aca="false">01_評価入力!R117</f>
        <v/>
      </c>
      <c r="D117" s="10" t="str">
        <f aca="false">01_評価入力!K117</f>
        <v/>
      </c>
      <c r="E117" s="10" t="str">
        <f aca="false">01_評価入力!T117</f>
        <v>AIMF-PR-AGT-005</v>
      </c>
      <c r="F117" s="10" t="str">
        <f aca="false">01_評価入力!U117</f>
        <v>ツールACLマトリクスによる呼出可否管理</v>
      </c>
      <c r="G117" s="10" t="str">
        <f aca="false">IF($E117="","",IFERROR(VLOOKUP($E117,02_施策マスター!$A:$C,3,0),""))</f>
        <v>PR</v>
      </c>
    </row>
    <row r="118" customFormat="false" ht="22.35" hidden="false" customHeight="false" outlineLevel="0" collapsed="false">
      <c r="A118" s="10" t="str">
        <f aca="false">01_評価入力!A118</f>
        <v>AIMF-PR-AGT-006</v>
      </c>
      <c r="B118" s="10" t="str">
        <f aca="false">01_評価入力!S118</f>
        <v/>
      </c>
      <c r="C118" s="10" t="str">
        <f aca="false">01_評価入力!R118</f>
        <v/>
      </c>
      <c r="D118" s="10" t="str">
        <f aca="false">01_評価入力!K118</f>
        <v/>
      </c>
      <c r="E118" s="10" t="str">
        <f aca="false">01_評価入力!T118</f>
        <v>AIMF-PR-AGT-006</v>
      </c>
      <c r="F118" s="10" t="str">
        <f aca="false">01_評価入力!U118</f>
        <v>タスク計画の事前検証と逸脱制御</v>
      </c>
      <c r="G118" s="10" t="str">
        <f aca="false">IF($E118="","",IFERROR(VLOOKUP($E118,02_施策マスター!$A:$C,3,0),""))</f>
        <v>PR</v>
      </c>
    </row>
    <row r="119" customFormat="false" ht="26.85" hidden="false" customHeight="false" outlineLevel="0" collapsed="false">
      <c r="A119" s="10" t="str">
        <f aca="false">01_評価入力!A119</f>
        <v>AIMF-PR-AGT-007</v>
      </c>
      <c r="B119" s="10" t="str">
        <f aca="false">01_評価入力!S119</f>
        <v/>
      </c>
      <c r="C119" s="10" t="str">
        <f aca="false">01_評価入力!R119</f>
        <v/>
      </c>
      <c r="D119" s="10" t="str">
        <f aca="false">01_評価入力!K119</f>
        <v/>
      </c>
      <c r="E119" s="10" t="str">
        <f aca="false">01_評価入力!T119</f>
        <v>AIMF-PR-AGT-007</v>
      </c>
      <c r="F119" s="10" t="str">
        <f aca="false">01_評価入力!U119</f>
        <v>エージェント生成コードの実行統制</v>
      </c>
      <c r="G119" s="10" t="str">
        <f aca="false">IF($E119="","",IFERROR(VLOOKUP($E119,02_施策マスター!$A:$C,3,0),""))</f>
        <v>PR</v>
      </c>
    </row>
    <row r="120" customFormat="false" ht="26.85" hidden="false" customHeight="false" outlineLevel="0" collapsed="false">
      <c r="A120" s="10" t="str">
        <f aca="false">01_評価入力!A120</f>
        <v>AIMF-PR-AGT-008</v>
      </c>
      <c r="B120" s="10" t="str">
        <f aca="false">01_評価入力!S120</f>
        <v/>
      </c>
      <c r="C120" s="10" t="str">
        <f aca="false">01_評価入力!R120</f>
        <v/>
      </c>
      <c r="D120" s="10" t="str">
        <f aca="false">01_評価入力!K120</f>
        <v/>
      </c>
      <c r="E120" s="10" t="str">
        <f aca="false">01_評価入力!T120</f>
        <v>AIMF-PR-AGT-008</v>
      </c>
      <c r="F120" s="10" t="str">
        <f aca="false">01_評価入力!U120</f>
        <v>委任チェーン・エージェント間信頼境界の設計</v>
      </c>
      <c r="G120" s="10" t="str">
        <f aca="false">IF($E120="","",IFERROR(VLOOKUP($E120,02_施策マスター!$A:$C,3,0),""))</f>
        <v>PR</v>
      </c>
    </row>
    <row r="121" customFormat="false" ht="26.85" hidden="false" customHeight="false" outlineLevel="0" collapsed="false">
      <c r="A121" s="10" t="str">
        <f aca="false">01_評価入力!A121</f>
        <v>AIMF-PR-AGT-009</v>
      </c>
      <c r="B121" s="10" t="str">
        <f aca="false">01_評価入力!S121</f>
        <v/>
      </c>
      <c r="C121" s="10" t="str">
        <f aca="false">01_評価入力!R121</f>
        <v/>
      </c>
      <c r="D121" s="10" t="str">
        <f aca="false">01_評価入力!K121</f>
        <v/>
      </c>
      <c r="E121" s="10" t="str">
        <f aca="false">01_評価入力!T121</f>
        <v>AIMF-PR-AGT-009</v>
      </c>
      <c r="F121" s="10" t="str">
        <f aca="false">01_評価入力!U121</f>
        <v>エージェント設定のセキュアベースライン</v>
      </c>
      <c r="G121" s="10" t="str">
        <f aca="false">IF($E121="","",IFERROR(VLOOKUP($E121,02_施策マスター!$A:$C,3,0),""))</f>
        <v>PR</v>
      </c>
    </row>
    <row r="122" customFormat="false" ht="26.85" hidden="false" customHeight="false" outlineLevel="0" collapsed="false">
      <c r="A122" s="10" t="str">
        <f aca="false">01_評価入力!A122</f>
        <v>AIMF-PR-AGT-010</v>
      </c>
      <c r="B122" s="10" t="str">
        <f aca="false">01_評価入力!S122</f>
        <v/>
      </c>
      <c r="C122" s="10" t="str">
        <f aca="false">01_評価入力!R122</f>
        <v/>
      </c>
      <c r="D122" s="10" t="str">
        <f aca="false">01_評価入力!K122</f>
        <v/>
      </c>
      <c r="E122" s="10" t="str">
        <f aca="false">01_評価入力!T122</f>
        <v>AIMF-PR-AGT-010</v>
      </c>
      <c r="F122" s="10" t="str">
        <f aca="false">01_評価入力!U122</f>
        <v>オーケストレーターの単一障害点・乗っ取り対策</v>
      </c>
      <c r="G122" s="10" t="str">
        <f aca="false">IF($E122="","",IFERROR(VLOOKUP($E122,02_施策マスター!$A:$C,3,0),""))</f>
        <v>PR</v>
      </c>
    </row>
    <row r="123" customFormat="false" ht="26.85" hidden="false" customHeight="false" outlineLevel="0" collapsed="false">
      <c r="A123" s="10" t="str">
        <f aca="false">01_評価入力!A123</f>
        <v>AIMF-PR-HOV-001</v>
      </c>
      <c r="B123" s="10" t="str">
        <f aca="false">01_評価入力!S123</f>
        <v/>
      </c>
      <c r="C123" s="10" t="str">
        <f aca="false">01_評価入力!R123</f>
        <v/>
      </c>
      <c r="D123" s="10" t="str">
        <f aca="false">01_評価入力!K123</f>
        <v/>
      </c>
      <c r="E123" s="10" t="str">
        <f aca="false">01_評価入力!T123</f>
        <v>AIMF-PR-HOV-001</v>
      </c>
      <c r="F123" s="10" t="str">
        <f aca="false">01_評価入力!U123</f>
        <v>人間による監督（Human Oversight）の全体設計</v>
      </c>
      <c r="G123" s="10" t="str">
        <f aca="false">IF($E123="","",IFERROR(VLOOKUP($E123,02_施策マスター!$A:$C,3,0),""))</f>
        <v>PR</v>
      </c>
    </row>
    <row r="124" customFormat="false" ht="26.85" hidden="false" customHeight="false" outlineLevel="0" collapsed="false">
      <c r="A124" s="10" t="str">
        <f aca="false">01_評価入力!A124</f>
        <v>AIMF-PR-HOV-002</v>
      </c>
      <c r="B124" s="10" t="str">
        <f aca="false">01_評価入力!S124</f>
        <v/>
      </c>
      <c r="C124" s="10" t="str">
        <f aca="false">01_評価入力!R124</f>
        <v/>
      </c>
      <c r="D124" s="10" t="str">
        <f aca="false">01_評価入力!K124</f>
        <v/>
      </c>
      <c r="E124" s="10" t="str">
        <f aca="false">01_評価入力!T124</f>
        <v>AIMF-PR-HOV-002</v>
      </c>
      <c r="F124" s="10" t="str">
        <f aca="false">01_評価入力!U124</f>
        <v>監督者の力量要件と自動化バイアス対策</v>
      </c>
      <c r="G124" s="10" t="str">
        <f aca="false">IF($E124="","",IFERROR(VLOOKUP($E124,02_施策マスター!$A:$C,3,0),""))</f>
        <v>PR</v>
      </c>
    </row>
    <row r="125" customFormat="false" ht="26.85" hidden="false" customHeight="false" outlineLevel="0" collapsed="false">
      <c r="A125" s="10" t="str">
        <f aca="false">01_評価入力!A125</f>
        <v>AIMF-PR-HOV-003</v>
      </c>
      <c r="B125" s="10" t="str">
        <f aca="false">01_評価入力!S125</f>
        <v/>
      </c>
      <c r="C125" s="10" t="str">
        <f aca="false">01_評価入力!R125</f>
        <v/>
      </c>
      <c r="D125" s="10" t="str">
        <f aca="false">01_評価入力!K125</f>
        <v/>
      </c>
      <c r="E125" s="10" t="str">
        <f aca="false">01_評価入力!T125</f>
        <v>AIMF-PR-HOV-003</v>
      </c>
      <c r="F125" s="10" t="str">
        <f aca="false">01_評価入力!U125</f>
        <v>人間・エージェント間の信頼悪用対策</v>
      </c>
      <c r="G125" s="10" t="str">
        <f aca="false">IF($E125="","",IFERROR(VLOOKUP($E125,02_施策マスター!$A:$C,3,0),""))</f>
        <v>PR</v>
      </c>
    </row>
    <row r="126" customFormat="false" ht="22.35" hidden="false" customHeight="false" outlineLevel="0" collapsed="false">
      <c r="A126" s="10" t="str">
        <f aca="false">01_評価入力!A126</f>
        <v>AIMF-PR-ADV-001</v>
      </c>
      <c r="B126" s="10" t="str">
        <f aca="false">01_評価入力!S126</f>
        <v/>
      </c>
      <c r="C126" s="10" t="str">
        <f aca="false">01_評価入力!R126</f>
        <v/>
      </c>
      <c r="D126" s="10" t="str">
        <f aca="false">01_評価入力!K126</f>
        <v/>
      </c>
      <c r="E126" s="10" t="str">
        <f aca="false">01_評価入力!T126</f>
        <v>AIMF-PR-ADV-001</v>
      </c>
      <c r="F126" s="10" t="str">
        <f aca="false">01_評価入力!U126</f>
        <v>従来型ML特有の敵対的攻撃対策</v>
      </c>
      <c r="G126" s="10" t="str">
        <f aca="false">IF($E126="","",IFERROR(VLOOKUP($E126,02_施策マスター!$A:$C,3,0),""))</f>
        <v>PR</v>
      </c>
    </row>
    <row r="127" customFormat="false" ht="22.35" hidden="false" customHeight="false" outlineLevel="0" collapsed="false">
      <c r="A127" s="10" t="str">
        <f aca="false">01_評価入力!A127</f>
        <v>AIMF-PR-ADV-002</v>
      </c>
      <c r="B127" s="10" t="str">
        <f aca="false">01_評価入力!S127</f>
        <v/>
      </c>
      <c r="C127" s="10" t="str">
        <f aca="false">01_評価入力!R127</f>
        <v/>
      </c>
      <c r="D127" s="10" t="str">
        <f aca="false">01_評価入力!K127</f>
        <v/>
      </c>
      <c r="E127" s="10" t="str">
        <f aca="false">01_評価入力!T127</f>
        <v>AIMF-PR-ADV-002</v>
      </c>
      <c r="F127" s="10" t="str">
        <f aca="false">01_評価入力!U127</f>
        <v>モデル抽出・スティーリング対策</v>
      </c>
      <c r="G127" s="10" t="str">
        <f aca="false">IF($E127="","",IFERROR(VLOOKUP($E127,02_施策マスター!$A:$C,3,0),""))</f>
        <v>PR</v>
      </c>
    </row>
    <row r="128" customFormat="false" ht="26.85" hidden="false" customHeight="false" outlineLevel="0" collapsed="false">
      <c r="A128" s="10" t="str">
        <f aca="false">01_評価入力!A128</f>
        <v>AIMF-PR-ADV-003</v>
      </c>
      <c r="B128" s="10" t="str">
        <f aca="false">01_評価入力!S128</f>
        <v/>
      </c>
      <c r="C128" s="10" t="str">
        <f aca="false">01_評価入力!R128</f>
        <v/>
      </c>
      <c r="D128" s="10" t="str">
        <f aca="false">01_評価入力!K128</f>
        <v/>
      </c>
      <c r="E128" s="10" t="str">
        <f aca="false">01_評価入力!T128</f>
        <v>AIMF-PR-ADV-003</v>
      </c>
      <c r="F128" s="10" t="str">
        <f aca="false">01_評価入力!U128</f>
        <v>メンバーシップ推論・モデル反転対策</v>
      </c>
      <c r="G128" s="10" t="str">
        <f aca="false">IF($E128="","",IFERROR(VLOOKUP($E128,02_施策マスター!$A:$C,3,0),""))</f>
        <v>PR</v>
      </c>
    </row>
    <row r="129" customFormat="false" ht="22.35" hidden="false" customHeight="false" outlineLevel="0" collapsed="false">
      <c r="A129" s="10" t="str">
        <f aca="false">01_評価入力!A129</f>
        <v>AIMF-PR-ADV-004</v>
      </c>
      <c r="B129" s="10" t="str">
        <f aca="false">01_評価入力!S129</f>
        <v/>
      </c>
      <c r="C129" s="10" t="str">
        <f aca="false">01_評価入力!R129</f>
        <v/>
      </c>
      <c r="D129" s="10" t="str">
        <f aca="false">01_評価入力!K129</f>
        <v/>
      </c>
      <c r="E129" s="10" t="str">
        <f aca="false">01_評価入力!T129</f>
        <v>AIMF-PR-ADV-004</v>
      </c>
      <c r="F129" s="10" t="str">
        <f aca="false">01_評価入力!U129</f>
        <v>回避攻撃（敵対的サンプル）対策</v>
      </c>
      <c r="G129" s="10" t="str">
        <f aca="false">IF($E129="","",IFERROR(VLOOKUP($E129,02_施策マスター!$A:$C,3,0),""))</f>
        <v>PR</v>
      </c>
    </row>
    <row r="130" customFormat="false" ht="26.85" hidden="false" customHeight="false" outlineLevel="0" collapsed="false">
      <c r="A130" s="10" t="str">
        <f aca="false">01_評価入力!A130</f>
        <v>AIMF-PR-CAI-001</v>
      </c>
      <c r="B130" s="10" t="str">
        <f aca="false">01_評価入力!S130</f>
        <v/>
      </c>
      <c r="C130" s="10" t="str">
        <f aca="false">01_評価入力!R130</f>
        <v/>
      </c>
      <c r="D130" s="10" t="str">
        <f aca="false">01_評価入力!K130</f>
        <v/>
      </c>
      <c r="E130" s="10" t="str">
        <f aca="false">01_評価入力!T130</f>
        <v>AIMF-PR-CAI-001</v>
      </c>
      <c r="F130" s="10" t="str">
        <f aca="false">01_評価入力!U130</f>
        <v>フィッシング・標的型攻撃対策の高度化（対AI攻撃）</v>
      </c>
      <c r="G130" s="10" t="str">
        <f aca="false">IF($E130="","",IFERROR(VLOOKUP($E130,02_施策マスター!$A:$C,3,0),""))</f>
        <v>PR</v>
      </c>
    </row>
    <row r="131" customFormat="false" ht="26.85" hidden="false" customHeight="false" outlineLevel="0" collapsed="false">
      <c r="A131" s="10" t="str">
        <f aca="false">01_評価入力!A131</f>
        <v>AIMF-PR-CAI-002</v>
      </c>
      <c r="B131" s="10" t="str">
        <f aca="false">01_評価入力!S131</f>
        <v/>
      </c>
      <c r="C131" s="10" t="str">
        <f aca="false">01_評価入力!R131</f>
        <v/>
      </c>
      <c r="D131" s="10" t="str">
        <f aca="false">01_評価入力!K131</f>
        <v/>
      </c>
      <c r="E131" s="10" t="str">
        <f aca="false">01_評価入力!T131</f>
        <v>AIMF-PR-CAI-002</v>
      </c>
      <c r="F131" s="10" t="str">
        <f aca="false">01_評価入力!U131</f>
        <v>MFAにおける生体・音声認証の見直し（対ディープフェイク）</v>
      </c>
      <c r="G131" s="10" t="str">
        <f aca="false">IF($E131="","",IFERROR(VLOOKUP($E131,02_施策マスター!$A:$C,3,0),""))</f>
        <v>PR</v>
      </c>
    </row>
    <row r="132" customFormat="false" ht="26.85" hidden="false" customHeight="false" outlineLevel="0" collapsed="false">
      <c r="A132" s="10" t="str">
        <f aca="false">01_評価入力!A132</f>
        <v>AIMF-PR-CAI-003</v>
      </c>
      <c r="B132" s="10" t="str">
        <f aca="false">01_評価入力!S132</f>
        <v/>
      </c>
      <c r="C132" s="10" t="str">
        <f aca="false">01_評価入力!R132</f>
        <v/>
      </c>
      <c r="D132" s="10" t="str">
        <f aca="false">01_評価入力!K132</f>
        <v/>
      </c>
      <c r="E132" s="10" t="str">
        <f aca="false">01_評価入力!T132</f>
        <v>AIMF-PR-CAI-003</v>
      </c>
      <c r="F132" s="10" t="str">
        <f aca="false">01_評価入力!U132</f>
        <v>AI前提のパスワードレス認証・セキュアコーディング</v>
      </c>
      <c r="G132" s="10" t="str">
        <f aca="false">IF($E132="","",IFERROR(VLOOKUP($E132,02_施策マスター!$A:$C,3,0),""))</f>
        <v>PR</v>
      </c>
    </row>
    <row r="133" customFormat="false" ht="26.85" hidden="false" customHeight="false" outlineLevel="0" collapsed="false">
      <c r="A133" s="10" t="str">
        <f aca="false">01_評価入力!A133</f>
        <v>AIMF-PR-CAI-004</v>
      </c>
      <c r="B133" s="10" t="str">
        <f aca="false">01_評価入力!S133</f>
        <v/>
      </c>
      <c r="C133" s="10" t="str">
        <f aca="false">01_評価入力!R133</f>
        <v/>
      </c>
      <c r="D133" s="10" t="str">
        <f aca="false">01_評価入力!K133</f>
        <v/>
      </c>
      <c r="E133" s="10" t="str">
        <f aca="false">01_評価入力!T133</f>
        <v>AIMF-PR-CAI-004</v>
      </c>
      <c r="F133" s="10" t="str">
        <f aca="false">01_評価入力!U133</f>
        <v>ディープフェイク詐欺対策の業務プロセス</v>
      </c>
      <c r="G133" s="10" t="str">
        <f aca="false">IF($E133="","",IFERROR(VLOOKUP($E133,02_施策マスター!$A:$C,3,0),""))</f>
        <v>PR</v>
      </c>
    </row>
    <row r="134" customFormat="false" ht="26.85" hidden="false" customHeight="false" outlineLevel="0" collapsed="false">
      <c r="A134" s="10" t="str">
        <f aca="false">01_評価入力!A134</f>
        <v>AIMF-PR-CAI-005</v>
      </c>
      <c r="B134" s="10" t="str">
        <f aca="false">01_評価入力!S134</f>
        <v/>
      </c>
      <c r="C134" s="10" t="str">
        <f aca="false">01_評価入力!R134</f>
        <v/>
      </c>
      <c r="D134" s="10" t="str">
        <f aca="false">01_評価入力!K134</f>
        <v/>
      </c>
      <c r="E134" s="10" t="str">
        <f aca="false">01_評価入力!T134</f>
        <v>AIMF-PR-CAI-005</v>
      </c>
      <c r="F134" s="10" t="str">
        <f aca="false">01_評価入力!U134</f>
        <v>AI生成フィッシング対策とメール認証の強化</v>
      </c>
      <c r="G134" s="10" t="str">
        <f aca="false">IF($E134="","",IFERROR(VLOOKUP($E134,02_施策マスター!$A:$C,3,0),""))</f>
        <v>PR</v>
      </c>
    </row>
    <row r="135" customFormat="false" ht="26.85" hidden="false" customHeight="false" outlineLevel="0" collapsed="false">
      <c r="A135" s="10" t="str">
        <f aca="false">01_評価入力!A135</f>
        <v>AIMF-PR-CAI-006</v>
      </c>
      <c r="B135" s="10" t="str">
        <f aca="false">01_評価入力!S135</f>
        <v/>
      </c>
      <c r="C135" s="10" t="str">
        <f aca="false">01_評価入力!R135</f>
        <v/>
      </c>
      <c r="D135" s="10" t="str">
        <f aca="false">01_評価入力!K135</f>
        <v/>
      </c>
      <c r="E135" s="10" t="str">
        <f aca="false">01_評価入力!T135</f>
        <v>AIMF-PR-CAI-006</v>
      </c>
      <c r="F135" s="10" t="str">
        <f aca="false">01_評価入力!U135</f>
        <v>アタックサーフェス削減とゼロトラスト移行</v>
      </c>
      <c r="G135" s="10" t="str">
        <f aca="false">IF($E135="","",IFERROR(VLOOKUP($E135,02_施策マスター!$A:$C,3,0),""))</f>
        <v>PR</v>
      </c>
    </row>
    <row r="136" customFormat="false" ht="26.85" hidden="false" customHeight="false" outlineLevel="0" collapsed="false">
      <c r="A136" s="10" t="str">
        <f aca="false">01_評価入力!A136</f>
        <v>AIMF-PR-CAI-007</v>
      </c>
      <c r="B136" s="10" t="str">
        <f aca="false">01_評価入力!S136</f>
        <v/>
      </c>
      <c r="C136" s="10" t="str">
        <f aca="false">01_評価入力!R136</f>
        <v/>
      </c>
      <c r="D136" s="10" t="str">
        <f aca="false">01_評価入力!K136</f>
        <v/>
      </c>
      <c r="E136" s="10" t="str">
        <f aca="false">01_評価入力!T136</f>
        <v>AIMF-PR-CAI-007</v>
      </c>
      <c r="F136" s="10" t="str">
        <f aca="false">01_評価入力!U136</f>
        <v>AI加速攻撃を想定したパッチSLAの短縮</v>
      </c>
      <c r="G136" s="10" t="str">
        <f aca="false">IF($E136="","",IFERROR(VLOOKUP($E136,02_施策マスター!$A:$C,3,0),""))</f>
        <v>PR</v>
      </c>
    </row>
    <row r="137" customFormat="false" ht="22.35" hidden="false" customHeight="false" outlineLevel="0" collapsed="false">
      <c r="A137" s="10" t="str">
        <f aca="false">01_評価入力!A137</f>
        <v>AIMF-PR-EDU-001</v>
      </c>
      <c r="B137" s="10" t="str">
        <f aca="false">01_評価入力!S137</f>
        <v/>
      </c>
      <c r="C137" s="10" t="str">
        <f aca="false">01_評価入力!R137</f>
        <v/>
      </c>
      <c r="D137" s="10" t="str">
        <f aca="false">01_評価入力!K137</f>
        <v/>
      </c>
      <c r="E137" s="10" t="str">
        <f aca="false">01_評価入力!T137</f>
        <v>AIMF-PR-EDU-001</v>
      </c>
      <c r="F137" s="10" t="str">
        <f aca="false">01_評価入力!U137</f>
        <v>層別AIセキュリティ教育の徹底</v>
      </c>
      <c r="G137" s="10" t="str">
        <f aca="false">IF($E137="","",IFERROR(VLOOKUP($E137,02_施策マスター!$A:$C,3,0),""))</f>
        <v>PR</v>
      </c>
    </row>
    <row r="138" customFormat="false" ht="22.35" hidden="false" customHeight="false" outlineLevel="0" collapsed="false">
      <c r="A138" s="10" t="str">
        <f aca="false">01_評価入力!A138</f>
        <v>AIMF-PR-EDU-002</v>
      </c>
      <c r="B138" s="10" t="str">
        <f aca="false">01_評価入力!S138</f>
        <v/>
      </c>
      <c r="C138" s="10" t="str">
        <f aca="false">01_評価入力!R138</f>
        <v/>
      </c>
      <c r="D138" s="10" t="str">
        <f aca="false">01_評価入力!K138</f>
        <v/>
      </c>
      <c r="E138" s="10" t="str">
        <f aca="false">01_評価入力!T138</f>
        <v>AIMF-PR-EDU-002</v>
      </c>
      <c r="F138" s="10" t="str">
        <f aca="false">01_評価入力!U138</f>
        <v>開発者向けセキュアAI開発研修</v>
      </c>
      <c r="G138" s="10" t="str">
        <f aca="false">IF($E138="","",IFERROR(VLOOKUP($E138,02_施策マスター!$A:$C,3,0),""))</f>
        <v>PR</v>
      </c>
    </row>
    <row r="139" customFormat="false" ht="26.85" hidden="false" customHeight="false" outlineLevel="0" collapsed="false">
      <c r="A139" s="10" t="str">
        <f aca="false">01_評価入力!A139</f>
        <v>AIMF-PR-EDU-003</v>
      </c>
      <c r="B139" s="10" t="str">
        <f aca="false">01_評価入力!S139</f>
        <v/>
      </c>
      <c r="C139" s="10" t="str">
        <f aca="false">01_評価入力!R139</f>
        <v/>
      </c>
      <c r="D139" s="10" t="str">
        <f aca="false">01_評価入力!K139</f>
        <v/>
      </c>
      <c r="E139" s="10" t="str">
        <f aca="false">01_評価入力!T139</f>
        <v>AIMF-PR-EDU-003</v>
      </c>
      <c r="F139" s="10" t="str">
        <f aca="false">01_評価入力!U139</f>
        <v>AI生成ソーシャルエンジニアリング対応訓練</v>
      </c>
      <c r="G139" s="10" t="str">
        <f aca="false">IF($E139="","",IFERROR(VLOOKUP($E139,02_施策マスター!$A:$C,3,0),""))</f>
        <v>PR</v>
      </c>
    </row>
    <row r="140" customFormat="false" ht="26.85" hidden="false" customHeight="false" outlineLevel="0" collapsed="false">
      <c r="A140" s="10" t="str">
        <f aca="false">01_評価入力!A140</f>
        <v>AIMF-PR-EDU-004</v>
      </c>
      <c r="B140" s="10" t="str">
        <f aca="false">01_評価入力!S140</f>
        <v/>
      </c>
      <c r="C140" s="10" t="str">
        <f aca="false">01_評価入力!R140</f>
        <v/>
      </c>
      <c r="D140" s="10" t="str">
        <f aca="false">01_評価入力!K140</f>
        <v/>
      </c>
      <c r="E140" s="10" t="str">
        <f aca="false">01_評価入力!T140</f>
        <v>AIMF-PR-EDU-004</v>
      </c>
      <c r="F140" s="10" t="str">
        <f aca="false">01_評価入力!U140</f>
        <v>経営層向けAIサイバーリスクブリーフィング</v>
      </c>
      <c r="G140" s="10" t="str">
        <f aca="false">IF($E140="","",IFERROR(VLOOKUP($E140,02_施策マスター!$A:$C,3,0),""))</f>
        <v>PR</v>
      </c>
    </row>
    <row r="141" customFormat="false" ht="26.85" hidden="false" customHeight="false" outlineLevel="0" collapsed="false">
      <c r="A141" s="10" t="str">
        <f aca="false">01_評価入力!A141</f>
        <v>AIMF-DE-VUL-001</v>
      </c>
      <c r="B141" s="10" t="str">
        <f aca="false">01_評価入力!S141</f>
        <v/>
      </c>
      <c r="C141" s="10" t="str">
        <f aca="false">01_評価入力!R141</f>
        <v/>
      </c>
      <c r="D141" s="10" t="str">
        <f aca="false">01_評価入力!K141</f>
        <v/>
      </c>
      <c r="E141" s="10" t="str">
        <f aca="false">01_評価入力!T141</f>
        <v>AIMF-DE-VUL-001</v>
      </c>
      <c r="F141" s="10" t="str">
        <f aca="false">01_評価入力!U141</f>
        <v>SBOM/AI-BOMの継続的脆弱性スキャン</v>
      </c>
      <c r="G141" s="10" t="str">
        <f aca="false">IF($E141="","",IFERROR(VLOOKUP($E141,02_施策マスター!$A:$C,3,0),""))</f>
        <v>DE</v>
      </c>
    </row>
    <row r="142" customFormat="false" ht="26.85" hidden="false" customHeight="false" outlineLevel="0" collapsed="false">
      <c r="A142" s="10" t="str">
        <f aca="false">01_評価入力!A142</f>
        <v>AIMF-DE-VUL-002</v>
      </c>
      <c r="B142" s="10" t="str">
        <f aca="false">01_評価入力!S142</f>
        <v/>
      </c>
      <c r="C142" s="10" t="str">
        <f aca="false">01_評価入力!R142</f>
        <v/>
      </c>
      <c r="D142" s="10" t="str">
        <f aca="false">01_評価入力!K142</f>
        <v/>
      </c>
      <c r="E142" s="10" t="str">
        <f aca="false">01_評価入力!T142</f>
        <v>AIMF-DE-VUL-002</v>
      </c>
      <c r="F142" s="10" t="str">
        <f aca="false">01_評価入力!U142</f>
        <v>悪性パッケージ・依存関係侵害の検知</v>
      </c>
      <c r="G142" s="10" t="str">
        <f aca="false">IF($E142="","",IFERROR(VLOOKUP($E142,02_施策マスター!$A:$C,3,0),""))</f>
        <v>DE</v>
      </c>
    </row>
    <row r="143" customFormat="false" ht="26.85" hidden="false" customHeight="false" outlineLevel="0" collapsed="false">
      <c r="A143" s="10" t="str">
        <f aca="false">01_評価入力!A143</f>
        <v>AIMF-DE-VUL-003</v>
      </c>
      <c r="B143" s="10" t="str">
        <f aca="false">01_評価入力!S143</f>
        <v/>
      </c>
      <c r="C143" s="10" t="str">
        <f aca="false">01_評価入力!R143</f>
        <v/>
      </c>
      <c r="D143" s="10" t="str">
        <f aca="false">01_評価入力!K143</f>
        <v/>
      </c>
      <c r="E143" s="10" t="str">
        <f aca="false">01_評価入力!T143</f>
        <v>AIMF-DE-VUL-003</v>
      </c>
      <c r="F143" s="10" t="str">
        <f aca="false">01_評価入力!U143</f>
        <v>モデルレジストリ・リポジトリの改ざん検知</v>
      </c>
      <c r="G143" s="10" t="str">
        <f aca="false">IF($E143="","",IFERROR(VLOOKUP($E143,02_施策マスター!$A:$C,3,0),""))</f>
        <v>DE</v>
      </c>
    </row>
    <row r="144" customFormat="false" ht="22.35" hidden="false" customHeight="false" outlineLevel="0" collapsed="false">
      <c r="A144" s="10" t="str">
        <f aca="false">01_評価入力!A144</f>
        <v>AIMF-DE-IOM-001</v>
      </c>
      <c r="B144" s="10" t="str">
        <f aca="false">01_評価入力!S144</f>
        <v/>
      </c>
      <c r="C144" s="10" t="str">
        <f aca="false">01_評価入力!R144</f>
        <v/>
      </c>
      <c r="D144" s="10" t="str">
        <f aca="false">01_評価入力!K144</f>
        <v/>
      </c>
      <c r="E144" s="10" t="str">
        <f aca="false">01_評価入力!T144</f>
        <v>AIMF-DE-IOM-001</v>
      </c>
      <c r="F144" s="10" t="str">
        <f aca="false">01_評価入力!U144</f>
        <v>セマンティック・アノマリー検知</v>
      </c>
      <c r="G144" s="10" t="str">
        <f aca="false">IF($E144="","",IFERROR(VLOOKUP($E144,02_施策マスター!$A:$C,3,0),""))</f>
        <v>DE</v>
      </c>
    </row>
    <row r="145" customFormat="false" ht="26.85" hidden="false" customHeight="false" outlineLevel="0" collapsed="false">
      <c r="A145" s="10" t="str">
        <f aca="false">01_評価入力!A145</f>
        <v>AIMF-DE-IOM-002</v>
      </c>
      <c r="B145" s="10" t="str">
        <f aca="false">01_評価入力!S145</f>
        <v/>
      </c>
      <c r="C145" s="10" t="str">
        <f aca="false">01_評価入力!R145</f>
        <v/>
      </c>
      <c r="D145" s="10" t="str">
        <f aca="false">01_評価入力!K145</f>
        <v/>
      </c>
      <c r="E145" s="10" t="str">
        <f aca="false">01_評価入力!T145</f>
        <v>AIMF-DE-IOM-002</v>
      </c>
      <c r="F145" s="10" t="str">
        <f aca="false">01_評価入力!U145</f>
        <v>LLM監査ログ（プロンプト・レスポンス）の一元記録</v>
      </c>
      <c r="G145" s="10" t="str">
        <f aca="false">IF($E145="","",IFERROR(VLOOKUP($E145,02_施策マスター!$A:$C,3,0),""))</f>
        <v>DE</v>
      </c>
    </row>
    <row r="146" customFormat="false" ht="26.85" hidden="false" customHeight="false" outlineLevel="0" collapsed="false">
      <c r="A146" s="10" t="str">
        <f aca="false">01_評価入力!A146</f>
        <v>AIMF-DE-IOM-003</v>
      </c>
      <c r="B146" s="10" t="str">
        <f aca="false">01_評価入力!S146</f>
        <v/>
      </c>
      <c r="C146" s="10" t="str">
        <f aca="false">01_評価入力!R146</f>
        <v/>
      </c>
      <c r="D146" s="10" t="str">
        <f aca="false">01_評価入力!K146</f>
        <v/>
      </c>
      <c r="E146" s="10" t="str">
        <f aca="false">01_評価入力!T146</f>
        <v>AIMF-DE-IOM-003</v>
      </c>
      <c r="F146" s="10" t="str">
        <f aca="false">01_評価入力!U146</f>
        <v>ハルシネーション・信頼度の動的監視</v>
      </c>
      <c r="G146" s="10" t="str">
        <f aca="false">IF($E146="","",IFERROR(VLOOKUP($E146,02_施策マスター!$A:$C,3,0),""))</f>
        <v>DE</v>
      </c>
    </row>
    <row r="147" customFormat="false" ht="26.85" hidden="false" customHeight="false" outlineLevel="0" collapsed="false">
      <c r="A147" s="10" t="str">
        <f aca="false">01_評価入力!A147</f>
        <v>AIMF-DE-IOM-004</v>
      </c>
      <c r="B147" s="10" t="str">
        <f aca="false">01_評価入力!S147</f>
        <v/>
      </c>
      <c r="C147" s="10" t="str">
        <f aca="false">01_評価入力!R147</f>
        <v/>
      </c>
      <c r="D147" s="10" t="str">
        <f aca="false">01_評価入力!K147</f>
        <v/>
      </c>
      <c r="E147" s="10" t="str">
        <f aca="false">01_評価入力!T147</f>
        <v>AIMF-DE-IOM-004</v>
      </c>
      <c r="F147" s="10" t="str">
        <f aca="false">01_評価入力!U147</f>
        <v>プロンプトインジェクション検知ルールの管理</v>
      </c>
      <c r="G147" s="10" t="str">
        <f aca="false">IF($E147="","",IFERROR(VLOOKUP($E147,02_施策マスター!$A:$C,3,0),""))</f>
        <v>DE</v>
      </c>
    </row>
    <row r="148" customFormat="false" ht="26.85" hidden="false" customHeight="false" outlineLevel="0" collapsed="false">
      <c r="A148" s="10" t="str">
        <f aca="false">01_評価入力!A148</f>
        <v>AIMF-DE-IOM-005</v>
      </c>
      <c r="B148" s="10" t="str">
        <f aca="false">01_評価入力!S148</f>
        <v/>
      </c>
      <c r="C148" s="10" t="str">
        <f aca="false">01_評価入力!R148</f>
        <v/>
      </c>
      <c r="D148" s="10" t="str">
        <f aca="false">01_評価入力!K148</f>
        <v/>
      </c>
      <c r="E148" s="10" t="str">
        <f aca="false">01_評価入力!T148</f>
        <v>AIMF-DE-IOM-005</v>
      </c>
      <c r="F148" s="10" t="str">
        <f aca="false">01_評価入力!U148</f>
        <v>脱獄・ポリシー回避試行のスコアリング検知</v>
      </c>
      <c r="G148" s="10" t="str">
        <f aca="false">IF($E148="","",IFERROR(VLOOKUP($E148,02_施策マスター!$A:$C,3,0),""))</f>
        <v>DE</v>
      </c>
    </row>
    <row r="149" customFormat="false" ht="22.35" hidden="false" customHeight="false" outlineLevel="0" collapsed="false">
      <c r="A149" s="10" t="str">
        <f aca="false">01_評価入力!A149</f>
        <v>AIMF-DE-IOM-006</v>
      </c>
      <c r="B149" s="10" t="str">
        <f aca="false">01_評価入力!S149</f>
        <v/>
      </c>
      <c r="C149" s="10" t="str">
        <f aca="false">01_評価入力!R149</f>
        <v/>
      </c>
      <c r="D149" s="10" t="str">
        <f aca="false">01_評価入力!K149</f>
        <v/>
      </c>
      <c r="E149" s="10" t="str">
        <f aca="false">01_評価入力!T149</f>
        <v>AIMF-DE-IOM-006</v>
      </c>
      <c r="F149" s="10" t="str">
        <f aca="false">01_評価入力!U149</f>
        <v>出力へのPII・機微情報混入検知</v>
      </c>
      <c r="G149" s="10" t="str">
        <f aca="false">IF($E149="","",IFERROR(VLOOKUP($E149,02_施策マスター!$A:$C,3,0),""))</f>
        <v>DE</v>
      </c>
    </row>
    <row r="150" customFormat="false" ht="26.85" hidden="false" customHeight="false" outlineLevel="0" collapsed="false">
      <c r="A150" s="10" t="str">
        <f aca="false">01_評価入力!A150</f>
        <v>AIMF-DE-IOM-007</v>
      </c>
      <c r="B150" s="10" t="str">
        <f aca="false">01_評価入力!S150</f>
        <v/>
      </c>
      <c r="C150" s="10" t="str">
        <f aca="false">01_評価入力!R150</f>
        <v/>
      </c>
      <c r="D150" s="10" t="str">
        <f aca="false">01_評価入力!K150</f>
        <v/>
      </c>
      <c r="E150" s="10" t="str">
        <f aca="false">01_評価入力!T150</f>
        <v>AIMF-DE-IOM-007</v>
      </c>
      <c r="F150" s="10" t="str">
        <f aca="false">01_評価入力!U150</f>
        <v>システムプロンプト漏えい・プローブの検知</v>
      </c>
      <c r="G150" s="10" t="str">
        <f aca="false">IF($E150="","",IFERROR(VLOOKUP($E150,02_施策マスター!$A:$C,3,0),""))</f>
        <v>DE</v>
      </c>
    </row>
    <row r="151" customFormat="false" ht="26.85" hidden="false" customHeight="false" outlineLevel="0" collapsed="false">
      <c r="A151" s="10" t="str">
        <f aca="false">01_評価入力!A151</f>
        <v>AIMF-DE-IOM-008</v>
      </c>
      <c r="B151" s="10" t="str">
        <f aca="false">01_評価入力!S151</f>
        <v/>
      </c>
      <c r="C151" s="10" t="str">
        <f aca="false">01_評価入力!R151</f>
        <v/>
      </c>
      <c r="D151" s="10" t="str">
        <f aca="false">01_評価入力!K151</f>
        <v/>
      </c>
      <c r="E151" s="10" t="str">
        <f aca="false">01_評価入力!T151</f>
        <v>AIMF-DE-IOM-008</v>
      </c>
      <c r="F151" s="10" t="str">
        <f aca="false">01_評価入力!U151</f>
        <v>利用者行動分析（UEBA）によるAI悪用検知</v>
      </c>
      <c r="G151" s="10" t="str">
        <f aca="false">IF($E151="","",IFERROR(VLOOKUP($E151,02_施策マスター!$A:$C,3,0),""))</f>
        <v>DE</v>
      </c>
    </row>
    <row r="152" customFormat="false" ht="26.85" hidden="false" customHeight="false" outlineLevel="0" collapsed="false">
      <c r="A152" s="10" t="str">
        <f aca="false">01_評価入力!A152</f>
        <v>AIMF-DE-AGT-001</v>
      </c>
      <c r="B152" s="10" t="str">
        <f aca="false">01_評価入力!S152</f>
        <v/>
      </c>
      <c r="C152" s="10" t="str">
        <f aca="false">01_評価入力!R152</f>
        <v/>
      </c>
      <c r="D152" s="10" t="str">
        <f aca="false">01_評価入力!K152</f>
        <v/>
      </c>
      <c r="E152" s="10" t="str">
        <f aca="false">01_評価入力!T152</f>
        <v>AIMF-DE-AGT-001</v>
      </c>
      <c r="F152" s="10" t="str">
        <f aca="false">01_評価入力!U152</f>
        <v>エージェント状態遷移・思考プロセスの可視化監視</v>
      </c>
      <c r="G152" s="10" t="str">
        <f aca="false">IF($E152="","",IFERROR(VLOOKUP($E152,02_施策マスター!$A:$C,3,0),""))</f>
        <v>DE</v>
      </c>
    </row>
    <row r="153" customFormat="false" ht="26.85" hidden="false" customHeight="false" outlineLevel="0" collapsed="false">
      <c r="A153" s="10" t="str">
        <f aca="false">01_評価入力!A153</f>
        <v>AIMF-DE-AGT-002</v>
      </c>
      <c r="B153" s="10" t="str">
        <f aca="false">01_評価入力!S153</f>
        <v/>
      </c>
      <c r="C153" s="10" t="str">
        <f aca="false">01_評価入力!R153</f>
        <v/>
      </c>
      <c r="D153" s="10" t="str">
        <f aca="false">01_評価入力!K153</f>
        <v/>
      </c>
      <c r="E153" s="10" t="str">
        <f aca="false">01_評価入力!T153</f>
        <v>AIMF-DE-AGT-002</v>
      </c>
      <c r="F153" s="10" t="str">
        <f aca="false">01_評価入力!U153</f>
        <v>エージェント間通信の相互セキュリティスキャン</v>
      </c>
      <c r="G153" s="10" t="str">
        <f aca="false">IF($E153="","",IFERROR(VLOOKUP($E153,02_施策マスター!$A:$C,3,0),""))</f>
        <v>DE</v>
      </c>
    </row>
    <row r="154" customFormat="false" ht="22.35" hidden="false" customHeight="false" outlineLevel="0" collapsed="false">
      <c r="A154" s="10" t="str">
        <f aca="false">01_評価入力!A154</f>
        <v>AIMF-DE-AGT-003</v>
      </c>
      <c r="B154" s="10" t="str">
        <f aca="false">01_評価入力!S154</f>
        <v/>
      </c>
      <c r="C154" s="10" t="str">
        <f aca="false">01_評価入力!R154</f>
        <v/>
      </c>
      <c r="D154" s="10" t="str">
        <f aca="false">01_評価入力!K154</f>
        <v/>
      </c>
      <c r="E154" s="10" t="str">
        <f aca="false">01_評価入力!T154</f>
        <v>AIMF-DE-AGT-003</v>
      </c>
      <c r="F154" s="10" t="str">
        <f aca="false">01_評価入力!U154</f>
        <v>ツール呼出の異常検知</v>
      </c>
      <c r="G154" s="10" t="str">
        <f aca="false">IF($E154="","",IFERROR(VLOOKUP($E154,02_施策マスター!$A:$C,3,0),""))</f>
        <v>DE</v>
      </c>
    </row>
    <row r="155" customFormat="false" ht="26.85" hidden="false" customHeight="false" outlineLevel="0" collapsed="false">
      <c r="A155" s="10" t="str">
        <f aca="false">01_評価入力!A155</f>
        <v>AIMF-DE-AGT-004</v>
      </c>
      <c r="B155" s="10" t="str">
        <f aca="false">01_評価入力!S155</f>
        <v/>
      </c>
      <c r="C155" s="10" t="str">
        <f aca="false">01_評価入力!R155</f>
        <v/>
      </c>
      <c r="D155" s="10" t="str">
        <f aca="false">01_評価入力!K155</f>
        <v/>
      </c>
      <c r="E155" s="10" t="str">
        <f aca="false">01_評価入力!T155</f>
        <v>AIMF-DE-AGT-004</v>
      </c>
      <c r="F155" s="10" t="str">
        <f aca="false">01_評価入力!U155</f>
        <v>目標逸脱（ゴールドリフト）の検知</v>
      </c>
      <c r="G155" s="10" t="str">
        <f aca="false">IF($E155="","",IFERROR(VLOOKUP($E155,02_施策マスター!$A:$C,3,0),""))</f>
        <v>DE</v>
      </c>
    </row>
    <row r="156" customFormat="false" ht="22.35" hidden="false" customHeight="false" outlineLevel="0" collapsed="false">
      <c r="A156" s="10" t="str">
        <f aca="false">01_評価入力!A156</f>
        <v>AIMF-DE-AGT-005</v>
      </c>
      <c r="B156" s="10" t="str">
        <f aca="false">01_評価入力!S156</f>
        <v/>
      </c>
      <c r="C156" s="10" t="str">
        <f aca="false">01_評価入力!R156</f>
        <v/>
      </c>
      <c r="D156" s="10" t="str">
        <f aca="false">01_評価入力!K156</f>
        <v/>
      </c>
      <c r="E156" s="10" t="str">
        <f aca="false">01_評価入力!T156</f>
        <v>AIMF-DE-AGT-005</v>
      </c>
      <c r="F156" s="10" t="str">
        <f aca="false">01_評価入力!U156</f>
        <v>暴走・連鎖障害の予兆検知</v>
      </c>
      <c r="G156" s="10" t="str">
        <f aca="false">IF($E156="","",IFERROR(VLOOKUP($E156,02_施策マスター!$A:$C,3,0),""))</f>
        <v>DE</v>
      </c>
    </row>
    <row r="157" customFormat="false" ht="26.85" hidden="false" customHeight="false" outlineLevel="0" collapsed="false">
      <c r="A157" s="10" t="str">
        <f aca="false">01_評価入力!A157</f>
        <v>AIMF-DE-AGT-006</v>
      </c>
      <c r="B157" s="10" t="str">
        <f aca="false">01_評価入力!S157</f>
        <v/>
      </c>
      <c r="C157" s="10" t="str">
        <f aca="false">01_評価入力!R157</f>
        <v/>
      </c>
      <c r="D157" s="10" t="str">
        <f aca="false">01_評価入力!K157</f>
        <v/>
      </c>
      <c r="E157" s="10" t="str">
        <f aca="false">01_評価入力!T157</f>
        <v>AIMF-DE-AGT-006</v>
      </c>
      <c r="F157" s="10" t="str">
        <f aca="false">01_評価入力!U157</f>
        <v>エージェントメモリ・コンテキスト改ざんの検知</v>
      </c>
      <c r="G157" s="10" t="str">
        <f aca="false">IF($E157="","",IFERROR(VLOOKUP($E157,02_施策マスター!$A:$C,3,0),""))</f>
        <v>DE</v>
      </c>
    </row>
    <row r="158" customFormat="false" ht="26.85" hidden="false" customHeight="false" outlineLevel="0" collapsed="false">
      <c r="A158" s="10" t="str">
        <f aca="false">01_評価入力!A158</f>
        <v>AIMF-DE-AGT-007</v>
      </c>
      <c r="B158" s="10" t="str">
        <f aca="false">01_評価入力!S158</f>
        <v/>
      </c>
      <c r="C158" s="10" t="str">
        <f aca="false">01_評価入力!R158</f>
        <v/>
      </c>
      <c r="D158" s="10" t="str">
        <f aca="false">01_評価入力!K158</f>
        <v/>
      </c>
      <c r="E158" s="10" t="str">
        <f aca="false">01_評価入力!T158</f>
        <v>AIMF-DE-AGT-007</v>
      </c>
      <c r="F158" s="10" t="str">
        <f aca="false">01_評価入力!U158</f>
        <v>ローグエージェント（逸脱挙動）の検知</v>
      </c>
      <c r="G158" s="10" t="str">
        <f aca="false">IF($E158="","",IFERROR(VLOOKUP($E158,02_施策マスター!$A:$C,3,0),""))</f>
        <v>DE</v>
      </c>
    </row>
    <row r="159" customFormat="false" ht="26.85" hidden="false" customHeight="false" outlineLevel="0" collapsed="false">
      <c r="A159" s="10" t="str">
        <f aca="false">01_評価入力!A159</f>
        <v>AIMF-DE-HLT-001</v>
      </c>
      <c r="B159" s="10" t="str">
        <f aca="false">01_評価入力!S159</f>
        <v/>
      </c>
      <c r="C159" s="10" t="str">
        <f aca="false">01_評価入力!R159</f>
        <v/>
      </c>
      <c r="D159" s="10" t="str">
        <f aca="false">01_評価入力!K159</f>
        <v/>
      </c>
      <c r="E159" s="10" t="str">
        <f aca="false">01_評価入力!T159</f>
        <v>AIMF-DE-HLT-001</v>
      </c>
      <c r="F159" s="10" t="str">
        <f aca="false">01_評価入力!U159</f>
        <v>AIインフラ構成監査とリソース監視（DoS検知）</v>
      </c>
      <c r="G159" s="10" t="str">
        <f aca="false">IF($E159="","",IFERROR(VLOOKUP($E159,02_施策マスター!$A:$C,3,0),""))</f>
        <v>DE</v>
      </c>
    </row>
    <row r="160" customFormat="false" ht="26.85" hidden="false" customHeight="false" outlineLevel="0" collapsed="false">
      <c r="A160" s="10" t="str">
        <f aca="false">01_評価入力!A160</f>
        <v>AIMF-DE-HLT-002</v>
      </c>
      <c r="B160" s="10" t="str">
        <f aca="false">01_評価入力!S160</f>
        <v/>
      </c>
      <c r="C160" s="10" t="str">
        <f aca="false">01_評価入力!R160</f>
        <v/>
      </c>
      <c r="D160" s="10" t="str">
        <f aca="false">01_評価入力!K160</f>
        <v/>
      </c>
      <c r="E160" s="10" t="str">
        <f aca="false">01_評価入力!T160</f>
        <v>AIMF-DE-HLT-002</v>
      </c>
      <c r="F160" s="10" t="str">
        <f aca="false">01_評価入力!U160</f>
        <v>データポイズニング・ドリフトの監視</v>
      </c>
      <c r="G160" s="10" t="str">
        <f aca="false">IF($E160="","",IFERROR(VLOOKUP($E160,02_施策マスター!$A:$C,3,0),""))</f>
        <v>DE</v>
      </c>
    </row>
    <row r="161" customFormat="false" ht="22.35" hidden="false" customHeight="false" outlineLevel="0" collapsed="false">
      <c r="A161" s="10" t="str">
        <f aca="false">01_評価入力!A161</f>
        <v>AIMF-DE-HLT-003</v>
      </c>
      <c r="B161" s="10" t="str">
        <f aca="false">01_評価入力!S161</f>
        <v/>
      </c>
      <c r="C161" s="10" t="str">
        <f aca="false">01_評価入力!R161</f>
        <v/>
      </c>
      <c r="D161" s="10" t="str">
        <f aca="false">01_評価入力!K161</f>
        <v/>
      </c>
      <c r="E161" s="10" t="str">
        <f aca="false">01_評価入力!T161</f>
        <v>AIMF-DE-HLT-003</v>
      </c>
      <c r="F161" s="10" t="str">
        <f aca="false">01_評価入力!U161</f>
        <v>モデル性能・品質劣化の継続監視</v>
      </c>
      <c r="G161" s="10" t="str">
        <f aca="false">IF($E161="","",IFERROR(VLOOKUP($E161,02_施策マスター!$A:$C,3,0),""))</f>
        <v>DE</v>
      </c>
    </row>
    <row r="162" customFormat="false" ht="26.85" hidden="false" customHeight="false" outlineLevel="0" collapsed="false">
      <c r="A162" s="10" t="str">
        <f aca="false">01_評価入力!A162</f>
        <v>AIMF-DE-HLT-004</v>
      </c>
      <c r="B162" s="10" t="str">
        <f aca="false">01_評価入力!S162</f>
        <v/>
      </c>
      <c r="C162" s="10" t="str">
        <f aca="false">01_評価入力!R162</f>
        <v/>
      </c>
      <c r="D162" s="10" t="str">
        <f aca="false">01_評価入力!K162</f>
        <v/>
      </c>
      <c r="E162" s="10" t="str">
        <f aca="false">01_評価入力!T162</f>
        <v>AIMF-DE-HLT-004</v>
      </c>
      <c r="F162" s="10" t="str">
        <f aca="false">01_評価入力!U162</f>
        <v>埋め込み空間・ベクトルDBの異常検知</v>
      </c>
      <c r="G162" s="10" t="str">
        <f aca="false">IF($E162="","",IFERROR(VLOOKUP($E162,02_施策マスター!$A:$C,3,0),""))</f>
        <v>DE</v>
      </c>
    </row>
    <row r="163" customFormat="false" ht="22.35" hidden="false" customHeight="false" outlineLevel="0" collapsed="false">
      <c r="A163" s="10" t="str">
        <f aca="false">01_評価入力!A163</f>
        <v>AIMF-DE-HLT-005</v>
      </c>
      <c r="B163" s="10" t="str">
        <f aca="false">01_評価入力!S163</f>
        <v/>
      </c>
      <c r="C163" s="10" t="str">
        <f aca="false">01_評価入力!R163</f>
        <v/>
      </c>
      <c r="D163" s="10" t="str">
        <f aca="false">01_評価入力!K163</f>
        <v/>
      </c>
      <c r="E163" s="10" t="str">
        <f aca="false">01_評価入力!T163</f>
        <v>AIMF-DE-HLT-005</v>
      </c>
      <c r="F163" s="10" t="str">
        <f aca="false">01_評価入力!U163</f>
        <v>GPUリソースの不正利用検知</v>
      </c>
      <c r="G163" s="10" t="str">
        <f aca="false">IF($E163="","",IFERROR(VLOOKUP($E163,02_施策マスター!$A:$C,3,0),""))</f>
        <v>DE</v>
      </c>
    </row>
    <row r="164" customFormat="false" ht="26.85" hidden="false" customHeight="false" outlineLevel="0" collapsed="false">
      <c r="A164" s="10" t="str">
        <f aca="false">01_評価入力!A164</f>
        <v>AIMF-DE-HLT-006</v>
      </c>
      <c r="B164" s="10" t="str">
        <f aca="false">01_評価入力!S164</f>
        <v/>
      </c>
      <c r="C164" s="10" t="str">
        <f aca="false">01_評価入力!R164</f>
        <v/>
      </c>
      <c r="D164" s="10" t="str">
        <f aca="false">01_評価入力!K164</f>
        <v/>
      </c>
      <c r="E164" s="10" t="str">
        <f aca="false">01_評価入力!T164</f>
        <v>AIMF-DE-HLT-006</v>
      </c>
      <c r="F164" s="10" t="str">
        <f aca="false">01_評価入力!U164</f>
        <v>AI利用コスト・トークン消費の異常監視</v>
      </c>
      <c r="G164" s="10" t="str">
        <f aca="false">IF($E164="","",IFERROR(VLOOKUP($E164,02_施策マスター!$A:$C,3,0),""))</f>
        <v>DE</v>
      </c>
    </row>
    <row r="165" customFormat="false" ht="26.85" hidden="false" customHeight="false" outlineLevel="0" collapsed="false">
      <c r="A165" s="10" t="str">
        <f aca="false">01_評価入力!A165</f>
        <v>AIMF-DE-SOC-001</v>
      </c>
      <c r="B165" s="10" t="str">
        <f aca="false">01_評価入力!S165</f>
        <v/>
      </c>
      <c r="C165" s="10" t="str">
        <f aca="false">01_評価入力!R165</f>
        <v/>
      </c>
      <c r="D165" s="10" t="str">
        <f aca="false">01_評価入力!K165</f>
        <v/>
      </c>
      <c r="E165" s="10" t="str">
        <f aca="false">01_評価入力!T165</f>
        <v>AIMF-DE-SOC-001</v>
      </c>
      <c r="F165" s="10" t="str">
        <f aca="false">01_評価入力!U165</f>
        <v>AIテレメトリのSIEM統合と相関分析</v>
      </c>
      <c r="G165" s="10" t="str">
        <f aca="false">IF($E165="","",IFERROR(VLOOKUP($E165,02_施策マスター!$A:$C,3,0),""))</f>
        <v>DE</v>
      </c>
    </row>
    <row r="166" customFormat="false" ht="26.85" hidden="false" customHeight="false" outlineLevel="0" collapsed="false">
      <c r="A166" s="10" t="str">
        <f aca="false">01_評価入力!A166</f>
        <v>AIMF-DE-SOC-002</v>
      </c>
      <c r="B166" s="10" t="str">
        <f aca="false">01_評価入力!S166</f>
        <v/>
      </c>
      <c r="C166" s="10" t="str">
        <f aca="false">01_評価入力!R166</f>
        <v/>
      </c>
      <c r="D166" s="10" t="str">
        <f aca="false">01_評価入力!K166</f>
        <v/>
      </c>
      <c r="E166" s="10" t="str">
        <f aca="false">01_評価入力!T166</f>
        <v>AIMF-DE-SOC-002</v>
      </c>
      <c r="F166" s="10" t="str">
        <f aca="false">01_評価入力!U166</f>
        <v>ATLAS対応の検知ルールカバレッジ管理</v>
      </c>
      <c r="G166" s="10" t="str">
        <f aca="false">IF($E166="","",IFERROR(VLOOKUP($E166,02_施策マスター!$A:$C,3,0),""))</f>
        <v>DE</v>
      </c>
    </row>
    <row r="167" customFormat="false" ht="22.35" hidden="false" customHeight="false" outlineLevel="0" collapsed="false">
      <c r="A167" s="10" t="str">
        <f aca="false">01_評価入力!A167</f>
        <v>AIMF-DE-SOC-003</v>
      </c>
      <c r="B167" s="10" t="str">
        <f aca="false">01_評価入力!S167</f>
        <v/>
      </c>
      <c r="C167" s="10" t="str">
        <f aca="false">01_評価入力!R167</f>
        <v/>
      </c>
      <c r="D167" s="10" t="str">
        <f aca="false">01_評価入力!K167</f>
        <v/>
      </c>
      <c r="E167" s="10" t="str">
        <f aca="false">01_評価入力!T167</f>
        <v>AIMF-DE-SOC-003</v>
      </c>
      <c r="F167" s="10" t="str">
        <f aca="false">01_評価入力!U167</f>
        <v>AIアラートのトリアージ基準</v>
      </c>
      <c r="G167" s="10" t="str">
        <f aca="false">IF($E167="","",IFERROR(VLOOKUP($E167,02_施策マスター!$A:$C,3,0),""))</f>
        <v>DE</v>
      </c>
    </row>
    <row r="168" customFormat="false" ht="22.35" hidden="false" customHeight="false" outlineLevel="0" collapsed="false">
      <c r="A168" s="10" t="str">
        <f aca="false">01_評価入力!A168</f>
        <v>AIMF-DE-SOC-004</v>
      </c>
      <c r="B168" s="10" t="str">
        <f aca="false">01_評価入力!S168</f>
        <v/>
      </c>
      <c r="C168" s="10" t="str">
        <f aca="false">01_評価入力!R168</f>
        <v/>
      </c>
      <c r="D168" s="10" t="str">
        <f aca="false">01_評価入力!K168</f>
        <v/>
      </c>
      <c r="E168" s="10" t="str">
        <f aca="false">01_評価入力!T168</f>
        <v>AIMF-DE-SOC-004</v>
      </c>
      <c r="F168" s="10" t="str">
        <f aca="false">01_評価入力!U168</f>
        <v>AI環境の脅威ハンティング</v>
      </c>
      <c r="G168" s="10" t="str">
        <f aca="false">IF($E168="","",IFERROR(VLOOKUP($E168,02_施策マスター!$A:$C,3,0),""))</f>
        <v>DE</v>
      </c>
    </row>
    <row r="169" customFormat="false" ht="22.35" hidden="false" customHeight="false" outlineLevel="0" collapsed="false">
      <c r="A169" s="10" t="str">
        <f aca="false">01_評価入力!A169</f>
        <v>AIMF-DE-SOC-005</v>
      </c>
      <c r="B169" s="10" t="str">
        <f aca="false">01_評価入力!S169</f>
        <v/>
      </c>
      <c r="C169" s="10" t="str">
        <f aca="false">01_評価入力!R169</f>
        <v/>
      </c>
      <c r="D169" s="10" t="str">
        <f aca="false">01_評価入力!K169</f>
        <v/>
      </c>
      <c r="E169" s="10" t="str">
        <f aca="false">01_評価入力!T169</f>
        <v>AIMF-DE-SOC-005</v>
      </c>
      <c r="F169" s="10" t="str">
        <f aca="false">01_評価入力!U169</f>
        <v>検知有効性の定期テスト</v>
      </c>
      <c r="G169" s="10" t="str">
        <f aca="false">IF($E169="","",IFERROR(VLOOKUP($E169,02_施策マスター!$A:$C,3,0),""))</f>
        <v>DE</v>
      </c>
    </row>
    <row r="170" customFormat="false" ht="26.85" hidden="false" customHeight="false" outlineLevel="0" collapsed="false">
      <c r="A170" s="10" t="str">
        <f aca="false">01_評価入力!A170</f>
        <v>AIMF-DE-LOG-001</v>
      </c>
      <c r="B170" s="10" t="str">
        <f aca="false">01_評価入力!S170</f>
        <v/>
      </c>
      <c r="C170" s="10" t="str">
        <f aca="false">01_評価入力!R170</f>
        <v/>
      </c>
      <c r="D170" s="10" t="str">
        <f aca="false">01_評価入力!K170</f>
        <v/>
      </c>
      <c r="E170" s="10" t="str">
        <f aca="false">01_評価入力!T170</f>
        <v>AIMF-DE-LOG-001</v>
      </c>
      <c r="F170" s="10" t="str">
        <f aca="false">01_評価入力!U170</f>
        <v>AIコンポーネント横断のログ標準化</v>
      </c>
      <c r="G170" s="10" t="str">
        <f aca="false">IF($E170="","",IFERROR(VLOOKUP($E170,02_施策マスター!$A:$C,3,0),""))</f>
        <v>DE</v>
      </c>
    </row>
    <row r="171" customFormat="false" ht="22.35" hidden="false" customHeight="false" outlineLevel="0" collapsed="false">
      <c r="A171" s="10" t="str">
        <f aca="false">01_評価入力!A171</f>
        <v>AIMF-DE-LOG-002</v>
      </c>
      <c r="B171" s="10" t="str">
        <f aca="false">01_評価入力!S171</f>
        <v/>
      </c>
      <c r="C171" s="10" t="str">
        <f aca="false">01_評価入力!R171</f>
        <v/>
      </c>
      <c r="D171" s="10" t="str">
        <f aca="false">01_評価入力!K171</f>
        <v/>
      </c>
      <c r="E171" s="10" t="str">
        <f aca="false">01_評価入力!T171</f>
        <v>AIMF-DE-LOG-002</v>
      </c>
      <c r="F171" s="10" t="str">
        <f aca="false">01_評価入力!U171</f>
        <v>ログの完全性保護</v>
      </c>
      <c r="G171" s="10" t="str">
        <f aca="false">IF($E171="","",IFERROR(VLOOKUP($E171,02_施策マスター!$A:$C,3,0),""))</f>
        <v>DE</v>
      </c>
    </row>
    <row r="172" customFormat="false" ht="22.35" hidden="false" customHeight="false" outlineLevel="0" collapsed="false">
      <c r="A172" s="10" t="str">
        <f aca="false">01_評価入力!A172</f>
        <v>AIMF-DE-LOG-003</v>
      </c>
      <c r="B172" s="10" t="str">
        <f aca="false">01_評価入力!S172</f>
        <v/>
      </c>
      <c r="C172" s="10" t="str">
        <f aca="false">01_評価入力!R172</f>
        <v/>
      </c>
      <c r="D172" s="10" t="str">
        <f aca="false">01_評価入力!K172</f>
        <v/>
      </c>
      <c r="E172" s="10" t="str">
        <f aca="false">01_評価入力!T172</f>
        <v>AIMF-DE-LOG-003</v>
      </c>
      <c r="F172" s="10" t="str">
        <f aca="false">01_評価入力!U172</f>
        <v>ログ保持とプライバシーの両立</v>
      </c>
      <c r="G172" s="10" t="str">
        <f aca="false">IF($E172="","",IFERROR(VLOOKUP($E172,02_施策マスター!$A:$C,3,0),""))</f>
        <v>DE</v>
      </c>
    </row>
    <row r="173" customFormat="false" ht="26.85" hidden="false" customHeight="false" outlineLevel="0" collapsed="false">
      <c r="A173" s="10" t="str">
        <f aca="false">01_評価入力!A173</f>
        <v>AIMF-RS-IRP-001</v>
      </c>
      <c r="B173" s="10" t="str">
        <f aca="false">01_評価入力!S173</f>
        <v/>
      </c>
      <c r="C173" s="10" t="str">
        <f aca="false">01_評価入力!R173</f>
        <v/>
      </c>
      <c r="D173" s="10" t="str">
        <f aca="false">01_評価入力!K173</f>
        <v/>
      </c>
      <c r="E173" s="10" t="str">
        <f aca="false">01_評価入力!T173</f>
        <v>AIMF-RS-IRP-001</v>
      </c>
      <c r="F173" s="10" t="str">
        <f aca="false">01_評価入力!U173</f>
        <v>CSIRTのAI拡張とプレイブック整備</v>
      </c>
      <c r="G173" s="10" t="str">
        <f aca="false">IF($E173="","",IFERROR(VLOOKUP($E173,02_施策マスター!$A:$C,3,0),""))</f>
        <v>RS</v>
      </c>
    </row>
    <row r="174" customFormat="false" ht="26.85" hidden="false" customHeight="false" outlineLevel="0" collapsed="false">
      <c r="A174" s="10" t="str">
        <f aca="false">01_評価入力!A174</f>
        <v>AIMF-RS-IRP-002</v>
      </c>
      <c r="B174" s="10" t="str">
        <f aca="false">01_評価入力!S174</f>
        <v/>
      </c>
      <c r="C174" s="10" t="str">
        <f aca="false">01_評価入力!R174</f>
        <v/>
      </c>
      <c r="D174" s="10" t="str">
        <f aca="false">01_評価入力!K174</f>
        <v/>
      </c>
      <c r="E174" s="10" t="str">
        <f aca="false">01_評価入力!T174</f>
        <v>AIMF-RS-IRP-002</v>
      </c>
      <c r="F174" s="10" t="str">
        <f aca="false">01_評価入力!U174</f>
        <v>セキュリティ運用の自動化（SOAR）</v>
      </c>
      <c r="G174" s="10" t="str">
        <f aca="false">IF($E174="","",IFERROR(VLOOKUP($E174,02_施策マスター!$A:$C,3,0),""))</f>
        <v>RS</v>
      </c>
    </row>
    <row r="175" customFormat="false" ht="26.85" hidden="false" customHeight="false" outlineLevel="0" collapsed="false">
      <c r="A175" s="10" t="str">
        <f aca="false">01_評価入力!A175</f>
        <v>AIMF-RS-IRP-003</v>
      </c>
      <c r="B175" s="10" t="str">
        <f aca="false">01_評価入力!S175</f>
        <v/>
      </c>
      <c r="C175" s="10" t="str">
        <f aca="false">01_評価入力!R175</f>
        <v/>
      </c>
      <c r="D175" s="10" t="str">
        <f aca="false">01_評価入力!K175</f>
        <v/>
      </c>
      <c r="E175" s="10" t="str">
        <f aca="false">01_評価入力!T175</f>
        <v>AIMF-RS-IRP-003</v>
      </c>
      <c r="F175" s="10" t="str">
        <f aca="false">01_評価入力!U175</f>
        <v>動的レートリミットと攻撃主体の自動隔離</v>
      </c>
      <c r="G175" s="10" t="str">
        <f aca="false">IF($E175="","",IFERROR(VLOOKUP($E175,02_施策マスター!$A:$C,3,0),""))</f>
        <v>RS</v>
      </c>
    </row>
    <row r="176" customFormat="false" ht="26.85" hidden="false" customHeight="false" outlineLevel="0" collapsed="false">
      <c r="A176" s="10" t="str">
        <f aca="false">01_評価入力!A176</f>
        <v>AIMF-RS-IRP-004</v>
      </c>
      <c r="B176" s="10" t="str">
        <f aca="false">01_評価入力!S176</f>
        <v/>
      </c>
      <c r="C176" s="10" t="str">
        <f aca="false">01_評価入力!R176</f>
        <v/>
      </c>
      <c r="D176" s="10" t="str">
        <f aca="false">01_評価入力!K176</f>
        <v/>
      </c>
      <c r="E176" s="10" t="str">
        <f aca="false">01_評価入力!T176</f>
        <v>AIMF-RS-IRP-004</v>
      </c>
      <c r="F176" s="10" t="str">
        <f aca="false">01_評価入力!U176</f>
        <v>AI固有インシデントの分類・重大度基準</v>
      </c>
      <c r="G176" s="10" t="str">
        <f aca="false">IF($E176="","",IFERROR(VLOOKUP($E176,02_施策マスター!$A:$C,3,0),""))</f>
        <v>RS</v>
      </c>
    </row>
    <row r="177" customFormat="false" ht="26.85" hidden="false" customHeight="false" outlineLevel="0" collapsed="false">
      <c r="A177" s="10" t="str">
        <f aca="false">01_評価入力!A177</f>
        <v>AIMF-RS-IRP-005</v>
      </c>
      <c r="B177" s="10" t="str">
        <f aca="false">01_評価入力!S177</f>
        <v/>
      </c>
      <c r="C177" s="10" t="str">
        <f aca="false">01_評価入力!R177</f>
        <v/>
      </c>
      <c r="D177" s="10" t="str">
        <f aca="false">01_評価入力!K177</f>
        <v/>
      </c>
      <c r="E177" s="10" t="str">
        <f aca="false">01_評価入力!T177</f>
        <v>AIMF-RS-IRP-005</v>
      </c>
      <c r="F177" s="10" t="str">
        <f aca="false">01_評価入力!U177</f>
        <v>AIインシデント対応プレイブック群</v>
      </c>
      <c r="G177" s="10" t="str">
        <f aca="false">IF($E177="","",IFERROR(VLOOKUP($E177,02_施策マスター!$A:$C,3,0),""))</f>
        <v>RS</v>
      </c>
    </row>
    <row r="178" customFormat="false" ht="15" hidden="false" customHeight="false" outlineLevel="0" collapsed="false">
      <c r="A178" s="10" t="str">
        <f aca="false">01_評価入力!A178</f>
        <v>AIMF-RS-IRP-006</v>
      </c>
      <c r="B178" s="10" t="str">
        <f aca="false">01_評価入力!S178</f>
        <v/>
      </c>
      <c r="C178" s="10" t="str">
        <f aca="false">01_評価入力!R178</f>
        <v/>
      </c>
      <c r="D178" s="10" t="str">
        <f aca="false">01_評価入力!K178</f>
        <v/>
      </c>
      <c r="E178" s="10" t="str">
        <f aca="false">01_評価入力!T178</f>
        <v>AIMF-RS-IRP-006</v>
      </c>
      <c r="F178" s="10" t="str">
        <f aca="false">01_評価入力!U178</f>
        <v>AIシナリオの机上演習・実地訓練</v>
      </c>
      <c r="G178" s="10" t="str">
        <f aca="false">IF($E178="","",IFERROR(VLOOKUP($E178,02_施策マスター!$A:$C,3,0),""))</f>
        <v>RS</v>
      </c>
    </row>
    <row r="179" customFormat="false" ht="26.85" hidden="false" customHeight="false" outlineLevel="0" collapsed="false">
      <c r="A179" s="10" t="str">
        <f aca="false">01_評価入力!A179</f>
        <v>AIMF-RS-IRP-007</v>
      </c>
      <c r="B179" s="10" t="str">
        <f aca="false">01_評価入力!S179</f>
        <v/>
      </c>
      <c r="C179" s="10" t="str">
        <f aca="false">01_評価入力!R179</f>
        <v/>
      </c>
      <c r="D179" s="10" t="str">
        <f aca="false">01_評価入力!K179</f>
        <v/>
      </c>
      <c r="E179" s="10" t="str">
        <f aca="false">01_評価入力!T179</f>
        <v>AIMF-RS-IRP-007</v>
      </c>
      <c r="F179" s="10" t="str">
        <f aca="false">01_評価入力!U179</f>
        <v>プロバイダーとのインシデント連携体制</v>
      </c>
      <c r="G179" s="10" t="str">
        <f aca="false">IF($E179="","",IFERROR(VLOOKUP($E179,02_施策マスター!$A:$C,3,0),""))</f>
        <v>RS</v>
      </c>
    </row>
    <row r="180" customFormat="false" ht="26.85" hidden="false" customHeight="false" outlineLevel="0" collapsed="false">
      <c r="A180" s="10" t="str">
        <f aca="false">01_評価入力!A180</f>
        <v>AIMF-RS-IRP-008</v>
      </c>
      <c r="B180" s="10" t="str">
        <f aca="false">01_評価入力!S180</f>
        <v/>
      </c>
      <c r="C180" s="10" t="str">
        <f aca="false">01_評価入力!R180</f>
        <v/>
      </c>
      <c r="D180" s="10" t="str">
        <f aca="false">01_評価入力!K180</f>
        <v/>
      </c>
      <c r="E180" s="10" t="str">
        <f aca="false">01_評価入力!T180</f>
        <v>AIMF-RS-IRP-008</v>
      </c>
      <c r="F180" s="10" t="str">
        <f aca="false">01_評価入力!U180</f>
        <v>インシデント時のサービス停止判断権限</v>
      </c>
      <c r="G180" s="10" t="str">
        <f aca="false">IF($E180="","",IFERROR(VLOOKUP($E180,02_施策マスター!$A:$C,3,0),""))</f>
        <v>RS</v>
      </c>
    </row>
    <row r="181" customFormat="false" ht="26.85" hidden="false" customHeight="false" outlineLevel="0" collapsed="false">
      <c r="A181" s="10" t="str">
        <f aca="false">01_評価入力!A181</f>
        <v>AIMF-RS-CON-001</v>
      </c>
      <c r="B181" s="10" t="str">
        <f aca="false">01_評価入力!S181</f>
        <v/>
      </c>
      <c r="C181" s="10" t="str">
        <f aca="false">01_評価入力!R181</f>
        <v/>
      </c>
      <c r="D181" s="10" t="str">
        <f aca="false">01_評価入力!K181</f>
        <v/>
      </c>
      <c r="E181" s="10" t="str">
        <f aca="false">01_評価入力!T181</f>
        <v>AIMF-RS-CON-001</v>
      </c>
      <c r="F181" s="10" t="str">
        <f aca="false">01_評価入力!U181</f>
        <v>AIエージェントのキルスイッチ実装</v>
      </c>
      <c r="G181" s="10" t="str">
        <f aca="false">IF($E181="","",IFERROR(VLOOKUP($E181,02_施策マスター!$A:$C,3,0),""))</f>
        <v>RS</v>
      </c>
    </row>
    <row r="182" customFormat="false" ht="26.85" hidden="false" customHeight="false" outlineLevel="0" collapsed="false">
      <c r="A182" s="10" t="str">
        <f aca="false">01_評価入力!A182</f>
        <v>AIMF-RS-CON-002</v>
      </c>
      <c r="B182" s="10" t="str">
        <f aca="false">01_評価入力!S182</f>
        <v/>
      </c>
      <c r="C182" s="10" t="str">
        <f aca="false">01_評価入力!R182</f>
        <v/>
      </c>
      <c r="D182" s="10" t="str">
        <f aca="false">01_評価入力!K182</f>
        <v/>
      </c>
      <c r="E182" s="10" t="str">
        <f aca="false">01_評価入力!T182</f>
        <v>AIMF-RS-CON-002</v>
      </c>
      <c r="F182" s="10" t="str">
        <f aca="false">01_評価入力!U182</f>
        <v>インフラ通信・データアクセスの即時遮断</v>
      </c>
      <c r="G182" s="10" t="str">
        <f aca="false">IF($E182="","",IFERROR(VLOOKUP($E182,02_施策マスター!$A:$C,3,0),""))</f>
        <v>RS</v>
      </c>
    </row>
    <row r="183" customFormat="false" ht="22.35" hidden="false" customHeight="false" outlineLevel="0" collapsed="false">
      <c r="A183" s="10" t="str">
        <f aca="false">01_評価入力!A183</f>
        <v>AIMF-RS-CON-003</v>
      </c>
      <c r="B183" s="10" t="str">
        <f aca="false">01_評価入力!S183</f>
        <v/>
      </c>
      <c r="C183" s="10" t="str">
        <f aca="false">01_評価入力!R183</f>
        <v/>
      </c>
      <c r="D183" s="10" t="str">
        <f aca="false">01_評価入力!K183</f>
        <v/>
      </c>
      <c r="E183" s="10" t="str">
        <f aca="false">01_評価入力!T183</f>
        <v>AIMF-RS-CON-003</v>
      </c>
      <c r="F183" s="10" t="str">
        <f aca="false">01_評価入力!U183</f>
        <v>侵害モデルのロールバック</v>
      </c>
      <c r="G183" s="10" t="str">
        <f aca="false">IF($E183="","",IFERROR(VLOOKUP($E183,02_施策マスター!$A:$C,3,0),""))</f>
        <v>RS</v>
      </c>
    </row>
    <row r="184" customFormat="false" ht="26.85" hidden="false" customHeight="false" outlineLevel="0" collapsed="false">
      <c r="A184" s="10" t="str">
        <f aca="false">01_評価入力!A184</f>
        <v>AIMF-RS-CON-004</v>
      </c>
      <c r="B184" s="10" t="str">
        <f aca="false">01_評価入力!S184</f>
        <v/>
      </c>
      <c r="C184" s="10" t="str">
        <f aca="false">01_評価入力!R184</f>
        <v/>
      </c>
      <c r="D184" s="10" t="str">
        <f aca="false">01_評価入力!K184</f>
        <v/>
      </c>
      <c r="E184" s="10" t="str">
        <f aca="false">01_評価入力!T184</f>
        <v>AIMF-RS-CON-004</v>
      </c>
      <c r="F184" s="10" t="str">
        <f aca="false">01_評価入力!U184</f>
        <v>エージェント資格情報の即時失効・一括ローテーション</v>
      </c>
      <c r="G184" s="10" t="str">
        <f aca="false">IF($E184="","",IFERROR(VLOOKUP($E184,02_施策マスター!$A:$C,3,0),""))</f>
        <v>RS</v>
      </c>
    </row>
    <row r="185" customFormat="false" ht="26.85" hidden="false" customHeight="false" outlineLevel="0" collapsed="false">
      <c r="A185" s="10" t="str">
        <f aca="false">01_評価入力!A185</f>
        <v>AIMF-RS-CON-005</v>
      </c>
      <c r="B185" s="10" t="str">
        <f aca="false">01_評価入力!S185</f>
        <v/>
      </c>
      <c r="C185" s="10" t="str">
        <f aca="false">01_評価入力!R185</f>
        <v/>
      </c>
      <c r="D185" s="10" t="str">
        <f aca="false">01_評価入力!K185</f>
        <v/>
      </c>
      <c r="E185" s="10" t="str">
        <f aca="false">01_評価入力!T185</f>
        <v>AIMF-RS-CON-005</v>
      </c>
      <c r="F185" s="10" t="str">
        <f aca="false">01_評価入力!U185</f>
        <v>汚染RAGソース・メモリの隔離・検疫</v>
      </c>
      <c r="G185" s="10" t="str">
        <f aca="false">IF($E185="","",IFERROR(VLOOKUP($E185,02_施策マスター!$A:$C,3,0),""))</f>
        <v>RS</v>
      </c>
    </row>
    <row r="186" customFormat="false" ht="26.85" hidden="false" customHeight="false" outlineLevel="0" collapsed="false">
      <c r="A186" s="10" t="str">
        <f aca="false">01_評価入力!A186</f>
        <v>AIMF-RS-RPT-001</v>
      </c>
      <c r="B186" s="10" t="str">
        <f aca="false">01_評価入力!S186</f>
        <v/>
      </c>
      <c r="C186" s="10" t="str">
        <f aca="false">01_評価入力!R186</f>
        <v/>
      </c>
      <c r="D186" s="10" t="str">
        <f aca="false">01_評価入力!K186</f>
        <v/>
      </c>
      <c r="E186" s="10" t="str">
        <f aca="false">01_評価入力!T186</f>
        <v>AIMF-RS-RPT-001</v>
      </c>
      <c r="F186" s="10" t="str">
        <f aca="false">01_評価入力!U186</f>
        <v>インシデントの外部報告・ステークホルダー通知</v>
      </c>
      <c r="G186" s="10" t="str">
        <f aca="false">IF($E186="","",IFERROR(VLOOKUP($E186,02_施策マスター!$A:$C,3,0),""))</f>
        <v>RS</v>
      </c>
    </row>
    <row r="187" customFormat="false" ht="15" hidden="false" customHeight="false" outlineLevel="0" collapsed="false">
      <c r="A187" s="10" t="str">
        <f aca="false">01_評価入力!A187</f>
        <v>AIMF-RS-RPT-002</v>
      </c>
      <c r="B187" s="10" t="str">
        <f aca="false">01_評価入力!S187</f>
        <v/>
      </c>
      <c r="C187" s="10" t="str">
        <f aca="false">01_評価入力!R187</f>
        <v/>
      </c>
      <c r="D187" s="10" t="str">
        <f aca="false">01_評価入力!K187</f>
        <v/>
      </c>
      <c r="E187" s="10" t="str">
        <f aca="false">01_評価入力!T187</f>
        <v>AIMF-RS-RPT-002</v>
      </c>
      <c r="F187" s="10" t="str">
        <f aca="false">01_評価入力!U187</f>
        <v>個人情報漏えい等の当局報告</v>
      </c>
      <c r="G187" s="10" t="str">
        <f aca="false">IF($E187="","",IFERROR(VLOOKUP($E187,02_施策マスター!$A:$C,3,0),""))</f>
        <v>RS</v>
      </c>
    </row>
    <row r="188" customFormat="false" ht="15" hidden="false" customHeight="false" outlineLevel="0" collapsed="false">
      <c r="A188" s="10" t="str">
        <f aca="false">01_評価入力!A188</f>
        <v>AIMF-RS-RPT-003</v>
      </c>
      <c r="B188" s="10" t="str">
        <f aca="false">01_評価入力!S188</f>
        <v/>
      </c>
      <c r="C188" s="10" t="str">
        <f aca="false">01_評価入力!R188</f>
        <v/>
      </c>
      <c r="D188" s="10" t="str">
        <f aca="false">01_評価入力!K188</f>
        <v/>
      </c>
      <c r="E188" s="10" t="str">
        <f aca="false">01_評価入力!T188</f>
        <v>AIMF-RS-RPT-003</v>
      </c>
      <c r="F188" s="10" t="str">
        <f aca="false">01_評価入力!U188</f>
        <v>顧客・利用者への通知計画</v>
      </c>
      <c r="G188" s="10" t="str">
        <f aca="false">IF($E188="","",IFERROR(VLOOKUP($E188,02_施策マスター!$A:$C,3,0),""))</f>
        <v>RS</v>
      </c>
    </row>
    <row r="189" customFormat="false" ht="15" hidden="false" customHeight="false" outlineLevel="0" collapsed="false">
      <c r="A189" s="10" t="str">
        <f aca="false">01_評価入力!A189</f>
        <v>AIMF-RS-RPT-004</v>
      </c>
      <c r="B189" s="10" t="str">
        <f aca="false">01_評価入力!S189</f>
        <v/>
      </c>
      <c r="C189" s="10" t="str">
        <f aca="false">01_評価入力!R189</f>
        <v/>
      </c>
      <c r="D189" s="10" t="str">
        <f aca="false">01_評価入力!K189</f>
        <v/>
      </c>
      <c r="E189" s="10" t="str">
        <f aca="false">01_評価入力!T189</f>
        <v>AIMF-RS-RPT-004</v>
      </c>
      <c r="F189" s="10" t="str">
        <f aca="false">01_評価入力!U189</f>
        <v>開示・広報対応の判断基準</v>
      </c>
      <c r="G189" s="10" t="str">
        <f aca="false">IF($E189="","",IFERROR(VLOOKUP($E189,02_施策マスター!$A:$C,3,0),""))</f>
        <v>RS</v>
      </c>
    </row>
    <row r="190" customFormat="false" ht="22.35" hidden="false" customHeight="false" outlineLevel="0" collapsed="false">
      <c r="A190" s="10" t="str">
        <f aca="false">01_評価入力!A190</f>
        <v>AIMF-RS-ANL-001</v>
      </c>
      <c r="B190" s="10" t="str">
        <f aca="false">01_評価入力!S190</f>
        <v/>
      </c>
      <c r="C190" s="10" t="str">
        <f aca="false">01_評価入力!R190</f>
        <v/>
      </c>
      <c r="D190" s="10" t="str">
        <f aca="false">01_評価入力!K190</f>
        <v/>
      </c>
      <c r="E190" s="10" t="str">
        <f aca="false">01_評価入力!T190</f>
        <v>AIMF-RS-ANL-001</v>
      </c>
      <c r="F190" s="10" t="str">
        <f aca="false">01_評価入力!U190</f>
        <v>AI固有の根本原因分析</v>
      </c>
      <c r="G190" s="10" t="str">
        <f aca="false">IF($E190="","",IFERROR(VLOOKUP($E190,02_施策マスター!$A:$C,3,0),""))</f>
        <v>RS</v>
      </c>
    </row>
    <row r="191" customFormat="false" ht="22.35" hidden="false" customHeight="false" outlineLevel="0" collapsed="false">
      <c r="A191" s="10" t="str">
        <f aca="false">01_評価入力!A191</f>
        <v>AIMF-RS-ANL-002</v>
      </c>
      <c r="B191" s="10" t="str">
        <f aca="false">01_評価入力!S191</f>
        <v/>
      </c>
      <c r="C191" s="10" t="str">
        <f aca="false">01_評価入力!R191</f>
        <v/>
      </c>
      <c r="D191" s="10" t="str">
        <f aca="false">01_評価入力!K191</f>
        <v/>
      </c>
      <c r="E191" s="10" t="str">
        <f aca="false">01_評価入力!T191</f>
        <v>AIMF-RS-ANL-002</v>
      </c>
      <c r="F191" s="10" t="str">
        <f aca="false">01_評価入力!U191</f>
        <v>インシデントのATLASマッピング</v>
      </c>
      <c r="G191" s="10" t="str">
        <f aca="false">IF($E191="","",IFERROR(VLOOKUP($E191,02_施策マスター!$A:$C,3,0),""))</f>
        <v>RS</v>
      </c>
    </row>
    <row r="192" customFormat="false" ht="22.35" hidden="false" customHeight="false" outlineLevel="0" collapsed="false">
      <c r="A192" s="10" t="str">
        <f aca="false">01_評価入力!A192</f>
        <v>AIMF-RS-ANL-003</v>
      </c>
      <c r="B192" s="10" t="str">
        <f aca="false">01_評価入力!S192</f>
        <v/>
      </c>
      <c r="C192" s="10" t="str">
        <f aca="false">01_評価入力!R192</f>
        <v/>
      </c>
      <c r="D192" s="10" t="str">
        <f aca="false">01_評価入力!K192</f>
        <v/>
      </c>
      <c r="E192" s="10" t="str">
        <f aca="false">01_評価入力!T192</f>
        <v>AIMF-RS-ANL-003</v>
      </c>
      <c r="F192" s="10" t="str">
        <f aca="false">01_評価入力!U192</f>
        <v>分析結果の防御・検知への反映</v>
      </c>
      <c r="G192" s="10" t="str">
        <f aca="false">IF($E192="","",IFERROR(VLOOKUP($E192,02_施策マスター!$A:$C,3,0),""))</f>
        <v>RS</v>
      </c>
    </row>
    <row r="193" customFormat="false" ht="26.85" hidden="false" customHeight="false" outlineLevel="0" collapsed="false">
      <c r="A193" s="10" t="str">
        <f aca="false">01_評価入力!A193</f>
        <v>AIMF-RC-RES-001</v>
      </c>
      <c r="B193" s="10" t="str">
        <f aca="false">01_評価入力!S193</f>
        <v/>
      </c>
      <c r="C193" s="10" t="str">
        <f aca="false">01_評価入力!R193</f>
        <v/>
      </c>
      <c r="D193" s="10" t="str">
        <f aca="false">01_評価入力!K193</f>
        <v/>
      </c>
      <c r="E193" s="10" t="str">
        <f aca="false">01_評価入力!T193</f>
        <v>AIMF-RC-RES-001</v>
      </c>
      <c r="F193" s="10" t="str">
        <f aca="false">01_評価入力!U193</f>
        <v>CI/CD連動のゼロタッチ・パッチ適用</v>
      </c>
      <c r="G193" s="10" t="str">
        <f aca="false">IF($E193="","",IFERROR(VLOOKUP($E193,02_施策マスター!$A:$C,3,0),""))</f>
        <v>RC</v>
      </c>
    </row>
    <row r="194" customFormat="false" ht="26.85" hidden="false" customHeight="false" outlineLevel="0" collapsed="false">
      <c r="A194" s="10" t="str">
        <f aca="false">01_評価入力!A194</f>
        <v>AIMF-RC-RES-002</v>
      </c>
      <c r="B194" s="10" t="str">
        <f aca="false">01_評価入力!S194</f>
        <v/>
      </c>
      <c r="C194" s="10" t="str">
        <f aca="false">01_評価入力!R194</f>
        <v/>
      </c>
      <c r="D194" s="10" t="str">
        <f aca="false">01_評価入力!K194</f>
        <v/>
      </c>
      <c r="E194" s="10" t="str">
        <f aca="false">01_評価入力!T194</f>
        <v>AIMF-RC-RES-002</v>
      </c>
      <c r="F194" s="10" t="str">
        <f aca="false">01_評価入力!U194</f>
        <v>RAG知識ベース・インフラ構成の高速復元</v>
      </c>
      <c r="G194" s="10" t="str">
        <f aca="false">IF($E194="","",IFERROR(VLOOKUP($E194,02_施策マスター!$A:$C,3,0),""))</f>
        <v>RC</v>
      </c>
    </row>
    <row r="195" customFormat="false" ht="26.85" hidden="false" customHeight="false" outlineLevel="0" collapsed="false">
      <c r="A195" s="10" t="str">
        <f aca="false">01_評価入力!A195</f>
        <v>AIMF-RC-RES-003</v>
      </c>
      <c r="B195" s="10" t="str">
        <f aca="false">01_評価入力!S195</f>
        <v/>
      </c>
      <c r="C195" s="10" t="str">
        <f aca="false">01_評価入力!R195</f>
        <v/>
      </c>
      <c r="D195" s="10" t="str">
        <f aca="false">01_評価入力!K195</f>
        <v/>
      </c>
      <c r="E195" s="10" t="str">
        <f aca="false">01_評価入力!T195</f>
        <v>AIMF-RC-RES-003</v>
      </c>
      <c r="F195" s="10" t="str">
        <f aca="false">01_評価入力!U195</f>
        <v>AI説明責任のためのフォレンジック体制</v>
      </c>
      <c r="G195" s="10" t="str">
        <f aca="false">IF($E195="","",IFERROR(VLOOKUP($E195,02_施策マスター!$A:$C,3,0),""))</f>
        <v>RC</v>
      </c>
    </row>
    <row r="196" customFormat="false" ht="26.85" hidden="false" customHeight="false" outlineLevel="0" collapsed="false">
      <c r="A196" s="10" t="str">
        <f aca="false">01_評価入力!A196</f>
        <v>AIMF-RC-RES-004</v>
      </c>
      <c r="B196" s="10" t="str">
        <f aca="false">01_評価入力!S196</f>
        <v/>
      </c>
      <c r="C196" s="10" t="str">
        <f aca="false">01_評価入力!R196</f>
        <v/>
      </c>
      <c r="D196" s="10" t="str">
        <f aca="false">01_評価入力!K196</f>
        <v/>
      </c>
      <c r="E196" s="10" t="str">
        <f aca="false">01_評価入力!T196</f>
        <v>AIMF-RC-RES-004</v>
      </c>
      <c r="F196" s="10" t="str">
        <f aca="false">01_評価入力!U196</f>
        <v>クリーンデータからのモデル再構築手順</v>
      </c>
      <c r="G196" s="10" t="str">
        <f aca="false">IF($E196="","",IFERROR(VLOOKUP($E196,02_施策マスター!$A:$C,3,0),""))</f>
        <v>RC</v>
      </c>
    </row>
    <row r="197" customFormat="false" ht="26.85" hidden="false" customHeight="false" outlineLevel="0" collapsed="false">
      <c r="A197" s="10" t="str">
        <f aca="false">01_評価入力!A197</f>
        <v>AIMF-RC-RES-005</v>
      </c>
      <c r="B197" s="10" t="str">
        <f aca="false">01_評価入力!S197</f>
        <v/>
      </c>
      <c r="C197" s="10" t="str">
        <f aca="false">01_評価入力!R197</f>
        <v/>
      </c>
      <c r="D197" s="10" t="str">
        <f aca="false">01_評価入力!K197</f>
        <v/>
      </c>
      <c r="E197" s="10" t="str">
        <f aca="false">01_評価入力!T197</f>
        <v>AIMF-RC-RES-005</v>
      </c>
      <c r="F197" s="10" t="str">
        <f aca="false">01_評価入力!U197</f>
        <v>代替モデル・プロバイダーへのフェイルオーバー</v>
      </c>
      <c r="G197" s="10" t="str">
        <f aca="false">IF($E197="","",IFERROR(VLOOKUP($E197,02_施策マスター!$A:$C,3,0),""))</f>
        <v>RC</v>
      </c>
    </row>
    <row r="198" customFormat="false" ht="22.35" hidden="false" customHeight="false" outlineLevel="0" collapsed="false">
      <c r="A198" s="10" t="str">
        <f aca="false">01_評価入力!A198</f>
        <v>AIMF-RC-RES-006</v>
      </c>
      <c r="B198" s="10" t="str">
        <f aca="false">01_評価入力!S198</f>
        <v/>
      </c>
      <c r="C198" s="10" t="str">
        <f aca="false">01_評価入力!R198</f>
        <v/>
      </c>
      <c r="D198" s="10" t="str">
        <f aca="false">01_評価入力!K198</f>
        <v/>
      </c>
      <c r="E198" s="10" t="str">
        <f aca="false">01_評価入力!T198</f>
        <v>AIMF-RC-RES-006</v>
      </c>
      <c r="F198" s="10" t="str">
        <f aca="false">01_評価入力!U198</f>
        <v>AI停止時の縮退運転手順</v>
      </c>
      <c r="G198" s="10" t="str">
        <f aca="false">IF($E198="","",IFERROR(VLOOKUP($E198,02_施策マスター!$A:$C,3,0),""))</f>
        <v>RC</v>
      </c>
    </row>
    <row r="199" customFormat="false" ht="22.35" hidden="false" customHeight="false" outlineLevel="0" collapsed="false">
      <c r="A199" s="10" t="str">
        <f aca="false">01_評価入力!A199</f>
        <v>AIMF-RC-RES-007</v>
      </c>
      <c r="B199" s="10" t="str">
        <f aca="false">01_評価入力!S199</f>
        <v/>
      </c>
      <c r="C199" s="10" t="str">
        <f aca="false">01_評価入力!R199</f>
        <v/>
      </c>
      <c r="D199" s="10" t="str">
        <f aca="false">01_評価入力!K199</f>
        <v/>
      </c>
      <c r="E199" s="10" t="str">
        <f aca="false">01_評価入力!T199</f>
        <v>AIMF-RC-RES-007</v>
      </c>
      <c r="F199" s="10" t="str">
        <f aca="false">01_評価入力!U199</f>
        <v>AIシステムのBCP・DR統合</v>
      </c>
      <c r="G199" s="10" t="str">
        <f aca="false">IF($E199="","",IFERROR(VLOOKUP($E199,02_施策マスター!$A:$C,3,0),""))</f>
        <v>RC</v>
      </c>
    </row>
    <row r="200" customFormat="false" ht="15" hidden="false" customHeight="false" outlineLevel="0" collapsed="false">
      <c r="A200" s="10" t="str">
        <f aca="false">01_評価入力!A200</f>
        <v>AIMF-RC-CIM-001</v>
      </c>
      <c r="B200" s="10" t="str">
        <f aca="false">01_評価入力!S200</f>
        <v/>
      </c>
      <c r="C200" s="10" t="str">
        <f aca="false">01_評価入力!R200</f>
        <v/>
      </c>
      <c r="D200" s="10" t="str">
        <f aca="false">01_評価入力!K200</f>
        <v/>
      </c>
      <c r="E200" s="10" t="str">
        <f aca="false">01_評価入力!T200</f>
        <v>AIMF-RC-CIM-001</v>
      </c>
      <c r="F200" s="10" t="str">
        <f aca="false">01_評価入力!U200</f>
        <v>AIセキュリティKPIの設定と評価</v>
      </c>
      <c r="G200" s="10" t="str">
        <f aca="false">IF($E200="","",IFERROR(VLOOKUP($E200,02_施策マスター!$A:$C,3,0),""))</f>
        <v>RC</v>
      </c>
    </row>
    <row r="201" customFormat="false" ht="26.85" hidden="false" customHeight="false" outlineLevel="0" collapsed="false">
      <c r="A201" s="10" t="str">
        <f aca="false">01_評価入力!A201</f>
        <v>AIMF-RC-CIM-002</v>
      </c>
      <c r="B201" s="10" t="str">
        <f aca="false">01_評価入力!S201</f>
        <v/>
      </c>
      <c r="C201" s="10" t="str">
        <f aca="false">01_評価入力!R201</f>
        <v/>
      </c>
      <c r="D201" s="10" t="str">
        <f aca="false">01_評価入力!K201</f>
        <v/>
      </c>
      <c r="E201" s="10" t="str">
        <f aca="false">01_評価入力!T201</f>
        <v>AIMF-RC-CIM-002</v>
      </c>
      <c r="F201" s="10" t="str">
        <f aca="false">01_評価入力!U201</f>
        <v>ベストプラクティス・教訓のドキュメント化</v>
      </c>
      <c r="G201" s="10" t="str">
        <f aca="false">IF($E201="","",IFERROR(VLOOKUP($E201,02_施策マスター!$A:$C,3,0),""))</f>
        <v>RC</v>
      </c>
    </row>
    <row r="202" customFormat="false" ht="26.85" hidden="false" customHeight="false" outlineLevel="0" collapsed="false">
      <c r="A202" s="10" t="str">
        <f aca="false">01_評価入力!A202</f>
        <v>AIMF-RC-CIM-003</v>
      </c>
      <c r="B202" s="10" t="str">
        <f aca="false">01_評価入力!S202</f>
        <v/>
      </c>
      <c r="C202" s="10" t="str">
        <f aca="false">01_評価入力!R202</f>
        <v/>
      </c>
      <c r="D202" s="10" t="str">
        <f aca="false">01_評価入力!K202</f>
        <v/>
      </c>
      <c r="E202" s="10" t="str">
        <f aca="false">01_評価入力!T202</f>
        <v>AIMF-RC-CIM-003</v>
      </c>
      <c r="F202" s="10" t="str">
        <f aca="false">01_評価入力!U202</f>
        <v>AIセキュリティのトレンド分析と将来予測</v>
      </c>
      <c r="G202" s="10" t="str">
        <f aca="false">IF($E202="","",IFERROR(VLOOKUP($E202,02_施策マスター!$A:$C,3,0),""))</f>
        <v>RC</v>
      </c>
    </row>
    <row r="203" customFormat="false" ht="26.85" hidden="false" customHeight="false" outlineLevel="0" collapsed="false">
      <c r="A203" s="10" t="str">
        <f aca="false">01_評価入力!A203</f>
        <v>AIMF-RC-CIM-004</v>
      </c>
      <c r="B203" s="10" t="str">
        <f aca="false">01_評価入力!S203</f>
        <v/>
      </c>
      <c r="C203" s="10" t="str">
        <f aca="false">01_評価入力!R203</f>
        <v/>
      </c>
      <c r="D203" s="10" t="str">
        <f aca="false">01_評価入力!K203</f>
        <v/>
      </c>
      <c r="E203" s="10" t="str">
        <f aca="false">01_評価入力!T203</f>
        <v>AIMF-RC-CIM-004</v>
      </c>
      <c r="F203" s="10" t="str">
        <f aca="false">01_評価入力!U203</f>
        <v>セキュリティメトリクスによる定期ガバナンスレビュー</v>
      </c>
      <c r="G203" s="10" t="str">
        <f aca="false">IF($E203="","",IFERROR(VLOOKUP($E203,02_施策マスター!$A:$C,3,0),""))</f>
        <v>RC</v>
      </c>
    </row>
    <row r="204" customFormat="false" ht="15" hidden="false" customHeight="false" outlineLevel="0" collapsed="false">
      <c r="A204" s="10" t="str">
        <f aca="false">01_評価入力!A204</f>
        <v>AIMF-RC-CIM-005</v>
      </c>
      <c r="B204" s="10" t="str">
        <f aca="false">01_評価入力!S204</f>
        <v/>
      </c>
      <c r="C204" s="10" t="str">
        <f aca="false">01_評価入力!R204</f>
        <v/>
      </c>
      <c r="D204" s="10" t="str">
        <f aca="false">01_評価入力!K204</f>
        <v/>
      </c>
      <c r="E204" s="10" t="str">
        <f aca="false">01_評価入力!T204</f>
        <v>AIMF-RC-CIM-005</v>
      </c>
      <c r="F204" s="10" t="str">
        <f aca="false">01_評価入力!U204</f>
        <v>教訓の防御機構への自動反映</v>
      </c>
      <c r="G204" s="10" t="str">
        <f aca="false">IF($E204="","",IFERROR(VLOOKUP($E204,02_施策マスター!$A:$C,3,0),""))</f>
        <v>RC</v>
      </c>
    </row>
    <row r="205" customFormat="false" ht="15" hidden="false" customHeight="false" outlineLevel="0" collapsed="false">
      <c r="A205" s="10" t="str">
        <f aca="false">01_評価入力!A205</f>
        <v>AIMF-RC-CIM-006</v>
      </c>
      <c r="B205" s="10" t="str">
        <f aca="false">01_評価入力!S205</f>
        <v/>
      </c>
      <c r="C205" s="10" t="str">
        <f aca="false">01_評価入力!R205</f>
        <v/>
      </c>
      <c r="D205" s="10" t="str">
        <f aca="false">01_評価入力!K205</f>
        <v/>
      </c>
      <c r="E205" s="10" t="str">
        <f aca="false">01_評価入力!T205</f>
        <v>AIMF-RC-CIM-006</v>
      </c>
      <c r="F205" s="10" t="str">
        <f aca="false">01_評価入力!U205</f>
        <v>参照基準・脅威情報の改訂追随</v>
      </c>
      <c r="G205" s="10" t="str">
        <f aca="false">IF($E205="","",IFERROR(VLOOKUP($E205,02_施策マスター!$A:$C,3,0),""))</f>
        <v>RC</v>
      </c>
    </row>
    <row r="206" customFormat="false" ht="26.85" hidden="false" customHeight="false" outlineLevel="0" collapsed="false">
      <c r="A206" s="10" t="str">
        <f aca="false">01_評価入力!A206</f>
        <v>AIMF-RC-DCM-001</v>
      </c>
      <c r="B206" s="10" t="str">
        <f aca="false">01_評価入力!S206</f>
        <v/>
      </c>
      <c r="C206" s="10" t="str">
        <f aca="false">01_評価入力!R206</f>
        <v/>
      </c>
      <c r="D206" s="10" t="str">
        <f aca="false">01_評価入力!K206</f>
        <v/>
      </c>
      <c r="E206" s="10" t="str">
        <f aca="false">01_評価入力!T206</f>
        <v>AIMF-RC-DCM-001</v>
      </c>
      <c r="F206" s="10" t="str">
        <f aca="false">01_評価入力!U206</f>
        <v>モデル・データの安全な廃棄（デコミッション）</v>
      </c>
      <c r="G206" s="10" t="str">
        <f aca="false">IF($E206="","",IFERROR(VLOOKUP($E206,02_施策マスター!$A:$C,3,0),""))</f>
        <v>RC</v>
      </c>
    </row>
    <row r="207" customFormat="false" ht="26.85" hidden="false" customHeight="false" outlineLevel="0" collapsed="false">
      <c r="A207" s="10" t="str">
        <f aca="false">01_評価入力!A207</f>
        <v>AIMF-RC-DCM-002</v>
      </c>
      <c r="B207" s="10" t="str">
        <f aca="false">01_評価入力!S207</f>
        <v/>
      </c>
      <c r="C207" s="10" t="str">
        <f aca="false">01_評価入力!R207</f>
        <v/>
      </c>
      <c r="D207" s="10" t="str">
        <f aca="false">01_評価入力!K207</f>
        <v/>
      </c>
      <c r="E207" s="10" t="str">
        <f aca="false">01_評価入力!T207</f>
        <v>AIMF-RC-DCM-002</v>
      </c>
      <c r="F207" s="10" t="str">
        <f aca="false">01_評価入力!U207</f>
        <v>データ削除・機械的忘却（Unlearning）の実施と検証</v>
      </c>
      <c r="G207" s="10" t="str">
        <f aca="false">IF($E207="","",IFERROR(VLOOKUP($E207,02_施策マスター!$A:$C,3,0),""))</f>
        <v>RC</v>
      </c>
    </row>
    <row r="208" customFormat="false" ht="26.85" hidden="false" customHeight="false" outlineLevel="0" collapsed="false">
      <c r="A208" s="10" t="str">
        <f aca="false">01_評価入力!A208</f>
        <v>AIMF-RC-PMM-001</v>
      </c>
      <c r="B208" s="10" t="str">
        <f aca="false">01_評価入力!S208</f>
        <v/>
      </c>
      <c r="C208" s="10" t="str">
        <f aca="false">01_評価入力!R208</f>
        <v/>
      </c>
      <c r="D208" s="10" t="str">
        <f aca="false">01_評価入力!K208</f>
        <v/>
      </c>
      <c r="E208" s="10" t="str">
        <f aca="false">01_評価入力!T208</f>
        <v>AIMF-RC-PMM-001</v>
      </c>
      <c r="F208" s="10" t="str">
        <f aca="false">01_評価入力!U208</f>
        <v>市販後モニタリング計画（Post-market Monitoring）</v>
      </c>
      <c r="G208" s="10" t="str">
        <f aca="false">IF($E208="","",IFERROR(VLOOKUP($E208,02_施策マスター!$A:$C,3,0),""))</f>
        <v>RC</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6"/>
    <col collapsed="false" customWidth="true" hidden="false" outlineLevel="0" max="3" min="3" style="0" width="5"/>
    <col collapsed="false" customWidth="true" hidden="false" outlineLevel="0" max="4" min="4" style="0" width="10"/>
    <col collapsed="false" customWidth="true" hidden="false" outlineLevel="0" max="5" min="5" style="0" width="9"/>
    <col collapsed="false" customWidth="true" hidden="false" outlineLevel="0" max="6" min="6" style="0" width="8"/>
    <col collapsed="false" customWidth="true" hidden="false" outlineLevel="0" max="7" min="7" style="0" width="7"/>
    <col collapsed="false" customWidth="true" hidden="false" outlineLevel="0" max="8" min="8" style="0" width="6"/>
    <col collapsed="false" customWidth="true" hidden="false" outlineLevel="0" max="9" min="9" style="0" width="9"/>
    <col collapsed="false" customWidth="true" hidden="false" outlineLevel="0" max="12" min="10" style="0" width="11"/>
  </cols>
  <sheetData>
    <row r="1" customFormat="false" ht="29.85" hidden="false" customHeight="false" outlineLevel="0" collapsed="false">
      <c r="A1" s="8" t="s">
        <v>768</v>
      </c>
      <c r="B1" s="8" t="s">
        <v>769</v>
      </c>
      <c r="C1" s="8" t="s">
        <v>70</v>
      </c>
      <c r="D1" s="8" t="s">
        <v>779</v>
      </c>
      <c r="E1" s="8" t="s">
        <v>774</v>
      </c>
      <c r="F1" s="8" t="s">
        <v>1466</v>
      </c>
      <c r="G1" s="8" t="s">
        <v>1467</v>
      </c>
      <c r="H1" s="8" t="s">
        <v>1468</v>
      </c>
      <c r="I1" s="8" t="s">
        <v>1469</v>
      </c>
      <c r="J1" s="8" t="s">
        <v>1470</v>
      </c>
      <c r="K1" s="8" t="s">
        <v>1471</v>
      </c>
      <c r="L1" s="8" t="s">
        <v>1472</v>
      </c>
    </row>
    <row r="2" customFormat="false" ht="22.35" hidden="false" customHeight="false" outlineLevel="0" collapsed="false">
      <c r="A2" s="10" t="str">
        <f aca="false">02_施策マスター!A2</f>
        <v>AIMF-GV-ORG-001</v>
      </c>
      <c r="B2" s="10" t="str">
        <f aca="false">02_施策マスター!B2</f>
        <v>AIガバナンス委員会の設置</v>
      </c>
      <c r="C2" s="10" t="str">
        <f aca="false">02_施策マスター!C2</f>
        <v>GV</v>
      </c>
      <c r="D2" s="10" t="str">
        <f aca="false">02_施策マスター!O2</f>
        <v>短期</v>
      </c>
      <c r="E2" s="10" t="n">
        <f aca="false">02_施策マスター!I2</f>
        <v>3</v>
      </c>
      <c r="F2" s="10" t="n">
        <f aca="false">02_施策マスター!H2</f>
        <v>2</v>
      </c>
      <c r="G2" s="10" t="n">
        <f aca="false">COUNTIFS(05_施策抽出!$E:$E,$A2,05_施策抽出!$B:$B,"○")</f>
        <v>0</v>
      </c>
      <c r="H2" s="10" t="str">
        <f aca="false">IF($G2&gt;0,"○","")</f>
        <v/>
      </c>
      <c r="I2" s="10" t="str">
        <f aca="false">IF($H2="","",ROUND(SUMIFS(05_施策抽出!$C:$C,05_施策抽出!$E:$E,$A2,05_施策抽出!$B:$B,"○")*02_施策マスター!$P2*02_施策マスター!$K2,1))</f>
        <v/>
      </c>
      <c r="J2" s="10" t="str">
        <f aca="false">IF($I2="","",$I2+(1000-ROW())/1000000)</f>
        <v/>
      </c>
      <c r="K2" s="10" t="str">
        <f aca="false">IF($H2="","",COUNTIFS($D$2:$D$208,$D2,$J$2:$J$208,"&gt;"&amp;$J2)+1)</f>
        <v/>
      </c>
      <c r="L2" s="10" t="str">
        <f aca="false">IF($K2="","",$D2&amp;"-"&amp;$K2)</f>
        <v/>
      </c>
    </row>
    <row r="3" customFormat="false" ht="26.85" hidden="false" customHeight="false" outlineLevel="0" collapsed="false">
      <c r="A3" s="10" t="str">
        <f aca="false">02_施策マスター!A3</f>
        <v>AIMF-GV-ORG-002</v>
      </c>
      <c r="B3" s="10" t="str">
        <f aca="false">02_施策マスター!B3</f>
        <v>AI活用基本方針・ガイドラインの策定</v>
      </c>
      <c r="C3" s="10" t="str">
        <f aca="false">02_施策マスター!C3</f>
        <v>GV</v>
      </c>
      <c r="D3" s="10" t="str">
        <f aca="false">02_施策マスター!O3</f>
        <v>短期</v>
      </c>
      <c r="E3" s="10" t="n">
        <f aca="false">02_施策マスター!I3</f>
        <v>3</v>
      </c>
      <c r="F3" s="10" t="n">
        <f aca="false">02_施策マスター!H3</f>
        <v>2</v>
      </c>
      <c r="G3" s="10" t="n">
        <f aca="false">COUNTIFS(05_施策抽出!$E:$E,$A3,05_施策抽出!$B:$B,"○")</f>
        <v>0</v>
      </c>
      <c r="H3" s="10" t="str">
        <f aca="false">IF($G3&gt;0,"○","")</f>
        <v/>
      </c>
      <c r="I3" s="10" t="str">
        <f aca="false">IF($H3="","",ROUND(SUMIFS(05_施策抽出!$C:$C,05_施策抽出!$E:$E,$A3,05_施策抽出!$B:$B,"○")*02_施策マスター!$P3*02_施策マスター!$K3,1))</f>
        <v/>
      </c>
      <c r="J3" s="10" t="str">
        <f aca="false">IF($I3="","",$I3+(1000-ROW())/1000000)</f>
        <v/>
      </c>
      <c r="K3" s="10" t="str">
        <f aca="false">IF($H3="","",COUNTIFS($D$2:$D$208,$D3,$J$2:$J$208,"&gt;"&amp;$J3)+1)</f>
        <v/>
      </c>
      <c r="L3" s="10" t="str">
        <f aca="false">IF($K3="","",$D3&amp;"-"&amp;$K3)</f>
        <v/>
      </c>
    </row>
    <row r="4" customFormat="false" ht="26.85" hidden="false" customHeight="false" outlineLevel="0" collapsed="false">
      <c r="A4" s="10" t="str">
        <f aca="false">02_施策マスター!A4</f>
        <v>AIMF-GV-ORG-003</v>
      </c>
      <c r="B4" s="10" t="str">
        <f aca="false">02_施策マスター!B4</f>
        <v>AIリスクアセスメント・プロジェクト承認プロセスの構築</v>
      </c>
      <c r="C4" s="10" t="str">
        <f aca="false">02_施策マスター!C4</f>
        <v>GV</v>
      </c>
      <c r="D4" s="10" t="str">
        <f aca="false">02_施策マスター!O4</f>
        <v>短期</v>
      </c>
      <c r="E4" s="10" t="n">
        <f aca="false">02_施策マスター!I4</f>
        <v>3</v>
      </c>
      <c r="F4" s="10" t="n">
        <f aca="false">02_施策マスター!H4</f>
        <v>2</v>
      </c>
      <c r="G4" s="10" t="n">
        <f aca="false">COUNTIFS(05_施策抽出!$E:$E,$A4,05_施策抽出!$B:$B,"○")</f>
        <v>0</v>
      </c>
      <c r="H4" s="10" t="str">
        <f aca="false">IF($G4&gt;0,"○","")</f>
        <v/>
      </c>
      <c r="I4" s="10" t="str">
        <f aca="false">IF($H4="","",ROUND(SUMIFS(05_施策抽出!$C:$C,05_施策抽出!$E:$E,$A4,05_施策抽出!$B:$B,"○")*02_施策マスター!$P4*02_施策マスター!$K4,1))</f>
        <v/>
      </c>
      <c r="J4" s="10" t="str">
        <f aca="false">IF($I4="","",$I4+(1000-ROW())/1000000)</f>
        <v/>
      </c>
      <c r="K4" s="10" t="str">
        <f aca="false">IF($H4="","",COUNTIFS($D$2:$D$208,$D4,$J$2:$J$208,"&gt;"&amp;$J4)+1)</f>
        <v/>
      </c>
      <c r="L4" s="10" t="str">
        <f aca="false">IF($K4="","",$D4&amp;"-"&amp;$K4)</f>
        <v/>
      </c>
    </row>
    <row r="5" customFormat="false" ht="22.35" hidden="false" customHeight="false" outlineLevel="0" collapsed="false">
      <c r="A5" s="10" t="str">
        <f aca="false">02_施策マスター!A5</f>
        <v>AIMF-GV-ORG-004</v>
      </c>
      <c r="B5" s="10" t="str">
        <f aca="false">02_施策マスター!B5</f>
        <v>AIセキュリティ文化の醸成</v>
      </c>
      <c r="C5" s="10" t="str">
        <f aca="false">02_施策マスター!C5</f>
        <v>GV</v>
      </c>
      <c r="D5" s="10" t="str">
        <f aca="false">02_施策マスター!O5</f>
        <v>短期</v>
      </c>
      <c r="E5" s="10" t="n">
        <f aca="false">02_施策マスター!I5</f>
        <v>3</v>
      </c>
      <c r="F5" s="10" t="n">
        <f aca="false">02_施策マスター!H5</f>
        <v>2</v>
      </c>
      <c r="G5" s="10" t="n">
        <f aca="false">COUNTIFS(05_施策抽出!$E:$E,$A5,05_施策抽出!$B:$B,"○")</f>
        <v>0</v>
      </c>
      <c r="H5" s="10" t="str">
        <f aca="false">IF($G5&gt;0,"○","")</f>
        <v/>
      </c>
      <c r="I5" s="10" t="str">
        <f aca="false">IF($H5="","",ROUND(SUMIFS(05_施策抽出!$C:$C,05_施策抽出!$E:$E,$A5,05_施策抽出!$B:$B,"○")*02_施策マスター!$P5*02_施策マスター!$K5,1))</f>
        <v/>
      </c>
      <c r="J5" s="10" t="str">
        <f aca="false">IF($I5="","",$I5+(1000-ROW())/1000000)</f>
        <v/>
      </c>
      <c r="K5" s="10" t="str">
        <f aca="false">IF($H5="","",COUNTIFS($D$2:$D$208,$D5,$J$2:$J$208,"&gt;"&amp;$J5)+1)</f>
        <v/>
      </c>
      <c r="L5" s="10" t="str">
        <f aca="false">IF($K5="","",$D5&amp;"-"&amp;$K5)</f>
        <v/>
      </c>
    </row>
    <row r="6" customFormat="false" ht="26.85" hidden="false" customHeight="false" outlineLevel="0" collapsed="false">
      <c r="A6" s="10" t="str">
        <f aca="false">02_施策マスター!A6</f>
        <v>AIMF-GV-ORG-005</v>
      </c>
      <c r="B6" s="10" t="str">
        <f aca="false">02_施策マスター!B6</f>
        <v>AIセキュリティの社内コミュニケーション強化</v>
      </c>
      <c r="C6" s="10" t="str">
        <f aca="false">02_施策マスター!C6</f>
        <v>GV</v>
      </c>
      <c r="D6" s="10" t="str">
        <f aca="false">02_施策マスター!O6</f>
        <v>短期</v>
      </c>
      <c r="E6" s="10" t="n">
        <f aca="false">02_施策マスター!I6</f>
        <v>3</v>
      </c>
      <c r="F6" s="10" t="n">
        <f aca="false">02_施策マスター!H6</f>
        <v>2</v>
      </c>
      <c r="G6" s="10" t="n">
        <f aca="false">COUNTIFS(05_施策抽出!$E:$E,$A6,05_施策抽出!$B:$B,"○")</f>
        <v>0</v>
      </c>
      <c r="H6" s="10" t="str">
        <f aca="false">IF($G6&gt;0,"○","")</f>
        <v/>
      </c>
      <c r="I6" s="10" t="str">
        <f aca="false">IF($H6="","",ROUND(SUMIFS(05_施策抽出!$C:$C,05_施策抽出!$E:$E,$A6,05_施策抽出!$B:$B,"○")*02_施策マスター!$P6*02_施策マスター!$K6,1))</f>
        <v/>
      </c>
      <c r="J6" s="10" t="str">
        <f aca="false">IF($I6="","",$I6+(1000-ROW())/1000000)</f>
        <v/>
      </c>
      <c r="K6" s="10" t="str">
        <f aca="false">IF($H6="","",COUNTIFS($D$2:$D$208,$D6,$J$2:$J$208,"&gt;"&amp;$J6)+1)</f>
        <v/>
      </c>
      <c r="L6" s="10" t="str">
        <f aca="false">IF($K6="","",$D6&amp;"-"&amp;$K6)</f>
        <v/>
      </c>
    </row>
    <row r="7" customFormat="false" ht="26.85" hidden="false" customHeight="false" outlineLevel="0" collapsed="false">
      <c r="A7" s="10" t="str">
        <f aca="false">02_施策マスター!A7</f>
        <v>AIMF-GV-ORG-006</v>
      </c>
      <c r="B7" s="10" t="str">
        <f aca="false">02_施策マスター!B7</f>
        <v>AI統括責任者（CAIO/AIセキュリティ責任者）の任命</v>
      </c>
      <c r="C7" s="10" t="str">
        <f aca="false">02_施策マスター!C7</f>
        <v>GV</v>
      </c>
      <c r="D7" s="10" t="str">
        <f aca="false">02_施策マスター!O7</f>
        <v>短期</v>
      </c>
      <c r="E7" s="10" t="n">
        <f aca="false">02_施策マスター!I7</f>
        <v>3</v>
      </c>
      <c r="F7" s="10" t="n">
        <f aca="false">02_施策マスター!H7</f>
        <v>2</v>
      </c>
      <c r="G7" s="10" t="n">
        <f aca="false">COUNTIFS(05_施策抽出!$E:$E,$A7,05_施策抽出!$B:$B,"○")</f>
        <v>0</v>
      </c>
      <c r="H7" s="10" t="str">
        <f aca="false">IF($G7&gt;0,"○","")</f>
        <v/>
      </c>
      <c r="I7" s="10" t="str">
        <f aca="false">IF($H7="","",ROUND(SUMIFS(05_施策抽出!$C:$C,05_施策抽出!$E:$E,$A7,05_施策抽出!$B:$B,"○")*02_施策マスター!$P7*02_施策マスター!$K7,1))</f>
        <v/>
      </c>
      <c r="J7" s="10" t="str">
        <f aca="false">IF($I7="","",$I7+(1000-ROW())/1000000)</f>
        <v/>
      </c>
      <c r="K7" s="10" t="str">
        <f aca="false">IF($H7="","",COUNTIFS($D$2:$D$208,$D7,$J$2:$J$208,"&gt;"&amp;$J7)+1)</f>
        <v/>
      </c>
      <c r="L7" s="10" t="str">
        <f aca="false">IF($K7="","",$D7&amp;"-"&amp;$K7)</f>
        <v/>
      </c>
    </row>
    <row r="8" customFormat="false" ht="26.85" hidden="false" customHeight="false" outlineLevel="0" collapsed="false">
      <c r="A8" s="10" t="str">
        <f aca="false">02_施策マスター!A8</f>
        <v>AIMF-GV-ORG-007</v>
      </c>
      <c r="B8" s="10" t="str">
        <f aca="false">02_施策マスター!B8</f>
        <v>AIセキュリティ予算・リソースの確保</v>
      </c>
      <c r="C8" s="10" t="str">
        <f aca="false">02_施策マスター!C8</f>
        <v>GV</v>
      </c>
      <c r="D8" s="10" t="str">
        <f aca="false">02_施策マスター!O8</f>
        <v>短期</v>
      </c>
      <c r="E8" s="10" t="n">
        <f aca="false">02_施策マスター!I8</f>
        <v>3</v>
      </c>
      <c r="F8" s="10" t="n">
        <f aca="false">02_施策マスター!H8</f>
        <v>2</v>
      </c>
      <c r="G8" s="10" t="n">
        <f aca="false">COUNTIFS(05_施策抽出!$E:$E,$A8,05_施策抽出!$B:$B,"○")</f>
        <v>0</v>
      </c>
      <c r="H8" s="10" t="str">
        <f aca="false">IF($G8&gt;0,"○","")</f>
        <v/>
      </c>
      <c r="I8" s="10" t="str">
        <f aca="false">IF($H8="","",ROUND(SUMIFS(05_施策抽出!$C:$C,05_施策抽出!$E:$E,$A8,05_施策抽出!$B:$B,"○")*02_施策マスター!$P8*02_施策マスター!$K8,1))</f>
        <v/>
      </c>
      <c r="J8" s="10" t="str">
        <f aca="false">IF($I8="","",$I8+(1000-ROW())/1000000)</f>
        <v/>
      </c>
      <c r="K8" s="10" t="str">
        <f aca="false">IF($H8="","",COUNTIFS($D$2:$D$208,$D8,$J$2:$J$208,"&gt;"&amp;$J8)+1)</f>
        <v/>
      </c>
      <c r="L8" s="10" t="str">
        <f aca="false">IF($K8="","",$D8&amp;"-"&amp;$K8)</f>
        <v/>
      </c>
    </row>
    <row r="9" customFormat="false" ht="26.85" hidden="false" customHeight="false" outlineLevel="0" collapsed="false">
      <c r="A9" s="10" t="str">
        <f aca="false">02_施策マスター!A9</f>
        <v>AIMF-GV-ORG-008</v>
      </c>
      <c r="B9" s="10" t="str">
        <f aca="false">02_施策マスター!B9</f>
        <v>AIライフサイクル全体のRACI定義</v>
      </c>
      <c r="C9" s="10" t="str">
        <f aca="false">02_施策マスター!C9</f>
        <v>GV</v>
      </c>
      <c r="D9" s="10" t="str">
        <f aca="false">02_施策マスター!O9</f>
        <v>短期</v>
      </c>
      <c r="E9" s="10" t="n">
        <f aca="false">02_施策マスター!I9</f>
        <v>3</v>
      </c>
      <c r="F9" s="10" t="n">
        <f aca="false">02_施策マスター!H9</f>
        <v>2</v>
      </c>
      <c r="G9" s="10" t="n">
        <f aca="false">COUNTIFS(05_施策抽出!$E:$E,$A9,05_施策抽出!$B:$B,"○")</f>
        <v>0</v>
      </c>
      <c r="H9" s="10" t="str">
        <f aca="false">IF($G9&gt;0,"○","")</f>
        <v/>
      </c>
      <c r="I9" s="10" t="str">
        <f aca="false">IF($H9="","",ROUND(SUMIFS(05_施策抽出!$C:$C,05_施策抽出!$E:$E,$A9,05_施策抽出!$B:$B,"○")*02_施策マスター!$P9*02_施策マスター!$K9,1))</f>
        <v/>
      </c>
      <c r="J9" s="10" t="str">
        <f aca="false">IF($I9="","",$I9+(1000-ROW())/1000000)</f>
        <v/>
      </c>
      <c r="K9" s="10" t="str">
        <f aca="false">IF($H9="","",COUNTIFS($D$2:$D$208,$D9,$J$2:$J$208,"&gt;"&amp;$J9)+1)</f>
        <v/>
      </c>
      <c r="L9" s="10" t="str">
        <f aca="false">IF($K9="","",$D9&amp;"-"&amp;$K9)</f>
        <v/>
      </c>
    </row>
    <row r="10" customFormat="false" ht="22.35" hidden="false" customHeight="false" outlineLevel="0" collapsed="false">
      <c r="A10" s="10" t="str">
        <f aca="false">02_施策マスター!A10</f>
        <v>AIMF-GV-ORG-009</v>
      </c>
      <c r="B10" s="10" t="str">
        <f aca="false">02_施策マスター!B10</f>
        <v>AI倫理審査との連携プロセス</v>
      </c>
      <c r="C10" s="10" t="str">
        <f aca="false">02_施策マスター!C10</f>
        <v>GV</v>
      </c>
      <c r="D10" s="10" t="str">
        <f aca="false">02_施策マスター!O10</f>
        <v>短期</v>
      </c>
      <c r="E10" s="10" t="n">
        <f aca="false">02_施策マスター!I10</f>
        <v>3</v>
      </c>
      <c r="F10" s="10" t="n">
        <f aca="false">02_施策マスター!H10</f>
        <v>2</v>
      </c>
      <c r="G10" s="10" t="n">
        <f aca="false">COUNTIFS(05_施策抽出!$E:$E,$A10,05_施策抽出!$B:$B,"○")</f>
        <v>0</v>
      </c>
      <c r="H10" s="10" t="str">
        <f aca="false">IF($G10&gt;0,"○","")</f>
        <v/>
      </c>
      <c r="I10" s="10" t="str">
        <f aca="false">IF($H10="","",ROUND(SUMIFS(05_施策抽出!$C:$C,05_施策抽出!$E:$E,$A10,05_施策抽出!$B:$B,"○")*02_施策マスター!$P10*02_施策マスター!$K10,1))</f>
        <v/>
      </c>
      <c r="J10" s="10" t="str">
        <f aca="false">IF($I10="","",$I10+(1000-ROW())/1000000)</f>
        <v/>
      </c>
      <c r="K10" s="10" t="str">
        <f aca="false">IF($H10="","",COUNTIFS($D$2:$D$208,$D10,$J$2:$J$208,"&gt;"&amp;$J10)+1)</f>
        <v/>
      </c>
      <c r="L10" s="10" t="str">
        <f aca="false">IF($K10="","",$D10&amp;"-"&amp;$K10)</f>
        <v/>
      </c>
    </row>
    <row r="11" customFormat="false" ht="22.35" hidden="false" customHeight="false" outlineLevel="0" collapsed="false">
      <c r="A11" s="10" t="str">
        <f aca="false">02_施策マスター!A11</f>
        <v>AIMF-GV-POL-001</v>
      </c>
      <c r="B11" s="10" t="str">
        <f aca="false">02_施策マスター!B11</f>
        <v>AIポリシースイートの体系化</v>
      </c>
      <c r="C11" s="10" t="str">
        <f aca="false">02_施策マスター!C11</f>
        <v>GV</v>
      </c>
      <c r="D11" s="10" t="str">
        <f aca="false">02_施策マスター!O11</f>
        <v>短期</v>
      </c>
      <c r="E11" s="10" t="n">
        <f aca="false">02_施策マスター!I11</f>
        <v>3</v>
      </c>
      <c r="F11" s="10" t="n">
        <f aca="false">02_施策マスター!H11</f>
        <v>2</v>
      </c>
      <c r="G11" s="10" t="n">
        <f aca="false">COUNTIFS(05_施策抽出!$E:$E,$A11,05_施策抽出!$B:$B,"○")</f>
        <v>0</v>
      </c>
      <c r="H11" s="10" t="str">
        <f aca="false">IF($G11&gt;0,"○","")</f>
        <v/>
      </c>
      <c r="I11" s="10" t="str">
        <f aca="false">IF($H11="","",ROUND(SUMIFS(05_施策抽出!$C:$C,05_施策抽出!$E:$E,$A11,05_施策抽出!$B:$B,"○")*02_施策マスター!$P11*02_施策マスター!$K11,1))</f>
        <v/>
      </c>
      <c r="J11" s="10" t="str">
        <f aca="false">IF($I11="","",$I11+(1000-ROW())/1000000)</f>
        <v/>
      </c>
      <c r="K11" s="10" t="str">
        <f aca="false">IF($H11="","",COUNTIFS($D$2:$D$208,$D11,$J$2:$J$208,"&gt;"&amp;$J11)+1)</f>
        <v/>
      </c>
      <c r="L11" s="10" t="str">
        <f aca="false">IF($K11="","",$D11&amp;"-"&amp;$K11)</f>
        <v/>
      </c>
    </row>
    <row r="12" customFormat="false" ht="26.85" hidden="false" customHeight="false" outlineLevel="0" collapsed="false">
      <c r="A12" s="10" t="str">
        <f aca="false">02_施策マスター!A12</f>
        <v>AIMF-GV-POL-002</v>
      </c>
      <c r="B12" s="10" t="str">
        <f aca="false">02_施策マスター!B12</f>
        <v>生成AI利用細則（入力禁止情報・プロンプト取扱規程）</v>
      </c>
      <c r="C12" s="10" t="str">
        <f aca="false">02_施策マスター!C12</f>
        <v>GV</v>
      </c>
      <c r="D12" s="10" t="str">
        <f aca="false">02_施策マスター!O12</f>
        <v>中期</v>
      </c>
      <c r="E12" s="10" t="n">
        <f aca="false">02_施策マスター!I12</f>
        <v>6</v>
      </c>
      <c r="F12" s="10" t="n">
        <f aca="false">02_施策マスター!H12</f>
        <v>3</v>
      </c>
      <c r="G12" s="10" t="n">
        <f aca="false">COUNTIFS(05_施策抽出!$E:$E,$A12,05_施策抽出!$B:$B,"○")</f>
        <v>0</v>
      </c>
      <c r="H12" s="10" t="str">
        <f aca="false">IF($G12&gt;0,"○","")</f>
        <v/>
      </c>
      <c r="I12" s="10" t="str">
        <f aca="false">IF($H12="","",ROUND(SUMIFS(05_施策抽出!$C:$C,05_施策抽出!$E:$E,$A12,05_施策抽出!$B:$B,"○")*02_施策マスター!$P12*02_施策マスター!$K12,1))</f>
        <v/>
      </c>
      <c r="J12" s="10" t="str">
        <f aca="false">IF($I12="","",$I12+(1000-ROW())/1000000)</f>
        <v/>
      </c>
      <c r="K12" s="10" t="str">
        <f aca="false">IF($H12="","",COUNTIFS($D$2:$D$208,$D12,$J$2:$J$208,"&gt;"&amp;$J12)+1)</f>
        <v/>
      </c>
      <c r="L12" s="10" t="str">
        <f aca="false">IF($K12="","",$D12&amp;"-"&amp;$K12)</f>
        <v/>
      </c>
    </row>
    <row r="13" customFormat="false" ht="26.85" hidden="false" customHeight="false" outlineLevel="0" collapsed="false">
      <c r="A13" s="10" t="str">
        <f aca="false">02_施策マスター!A13</f>
        <v>AIMF-GV-POL-003</v>
      </c>
      <c r="B13" s="10" t="str">
        <f aca="false">02_施策マスター!B13</f>
        <v>承認済みAIサービスカタログと例外管理</v>
      </c>
      <c r="C13" s="10" t="str">
        <f aca="false">02_施策マスター!C13</f>
        <v>GV</v>
      </c>
      <c r="D13" s="10" t="str">
        <f aca="false">02_施策マスター!O13</f>
        <v>短期</v>
      </c>
      <c r="E13" s="10" t="n">
        <f aca="false">02_施策マスター!I13</f>
        <v>3</v>
      </c>
      <c r="F13" s="10" t="n">
        <f aca="false">02_施策マスター!H13</f>
        <v>2</v>
      </c>
      <c r="G13" s="10" t="n">
        <f aca="false">COUNTIFS(05_施策抽出!$E:$E,$A13,05_施策抽出!$B:$B,"○")</f>
        <v>0</v>
      </c>
      <c r="H13" s="10" t="str">
        <f aca="false">IF($G13&gt;0,"○","")</f>
        <v/>
      </c>
      <c r="I13" s="10" t="str">
        <f aca="false">IF($H13="","",ROUND(SUMIFS(05_施策抽出!$C:$C,05_施策抽出!$E:$E,$A13,05_施策抽出!$B:$B,"○")*02_施策マスター!$P13*02_施策マスター!$K13,1))</f>
        <v/>
      </c>
      <c r="J13" s="10" t="str">
        <f aca="false">IF($I13="","",$I13+(1000-ROW())/1000000)</f>
        <v/>
      </c>
      <c r="K13" s="10" t="str">
        <f aca="false">IF($H13="","",COUNTIFS($D$2:$D$208,$D13,$J$2:$J$208,"&gt;"&amp;$J13)+1)</f>
        <v/>
      </c>
      <c r="L13" s="10" t="str">
        <f aca="false">IF($K13="","",$D13&amp;"-"&amp;$K13)</f>
        <v/>
      </c>
    </row>
    <row r="14" customFormat="false" ht="26.85" hidden="false" customHeight="false" outlineLevel="0" collapsed="false">
      <c r="A14" s="10" t="str">
        <f aca="false">02_施策マスター!A14</f>
        <v>AIMF-GV-POL-004</v>
      </c>
      <c r="B14" s="10" t="str">
        <f aca="false">02_施策マスター!B14</f>
        <v>AIサービス利用規約・提供条件の遵守管理</v>
      </c>
      <c r="C14" s="10" t="str">
        <f aca="false">02_施策マスター!C14</f>
        <v>GV</v>
      </c>
      <c r="D14" s="10" t="str">
        <f aca="false">02_施策マスター!O14</f>
        <v>短期</v>
      </c>
      <c r="E14" s="10" t="n">
        <f aca="false">02_施策マスター!I14</f>
        <v>3</v>
      </c>
      <c r="F14" s="10" t="n">
        <f aca="false">02_施策マスター!H14</f>
        <v>2</v>
      </c>
      <c r="G14" s="10" t="n">
        <f aca="false">COUNTIFS(05_施策抽出!$E:$E,$A14,05_施策抽出!$B:$B,"○")</f>
        <v>0</v>
      </c>
      <c r="H14" s="10" t="str">
        <f aca="false">IF($G14&gt;0,"○","")</f>
        <v/>
      </c>
      <c r="I14" s="10" t="str">
        <f aca="false">IF($H14="","",ROUND(SUMIFS(05_施策抽出!$C:$C,05_施策抽出!$E:$E,$A14,05_施策抽出!$B:$B,"○")*02_施策マスター!$P14*02_施策マスター!$K14,1))</f>
        <v/>
      </c>
      <c r="J14" s="10" t="str">
        <f aca="false">IF($I14="","",$I14+(1000-ROW())/1000000)</f>
        <v/>
      </c>
      <c r="K14" s="10" t="str">
        <f aca="false">IF($H14="","",COUNTIFS($D$2:$D$208,$D14,$J$2:$J$208,"&gt;"&amp;$J14)+1)</f>
        <v/>
      </c>
      <c r="L14" s="10" t="str">
        <f aca="false">IF($K14="","",$D14&amp;"-"&amp;$K14)</f>
        <v/>
      </c>
    </row>
    <row r="15" customFormat="false" ht="26.85" hidden="false" customHeight="false" outlineLevel="0" collapsed="false">
      <c r="A15" s="10" t="str">
        <f aca="false">02_施策マスター!A15</f>
        <v>AIMF-GV-POL-005</v>
      </c>
      <c r="B15" s="10" t="str">
        <f aca="false">02_施策マスター!B15</f>
        <v>ポリシーの技術進化への追随レビュー</v>
      </c>
      <c r="C15" s="10" t="str">
        <f aca="false">02_施策マスター!C15</f>
        <v>GV</v>
      </c>
      <c r="D15" s="10" t="str">
        <f aca="false">02_施策マスター!O15</f>
        <v>短期</v>
      </c>
      <c r="E15" s="10" t="n">
        <f aca="false">02_施策マスター!I15</f>
        <v>3</v>
      </c>
      <c r="F15" s="10" t="n">
        <f aca="false">02_施策マスター!H15</f>
        <v>2</v>
      </c>
      <c r="G15" s="10" t="n">
        <f aca="false">COUNTIFS(05_施策抽出!$E:$E,$A15,05_施策抽出!$B:$B,"○")</f>
        <v>0</v>
      </c>
      <c r="H15" s="10" t="str">
        <f aca="false">IF($G15&gt;0,"○","")</f>
        <v/>
      </c>
      <c r="I15" s="10" t="str">
        <f aca="false">IF($H15="","",ROUND(SUMIFS(05_施策抽出!$C:$C,05_施策抽出!$E:$E,$A15,05_施策抽出!$B:$B,"○")*02_施策マスター!$P15*02_施策マスター!$K15,1))</f>
        <v/>
      </c>
      <c r="J15" s="10" t="str">
        <f aca="false">IF($I15="","",$I15+(1000-ROW())/1000000)</f>
        <v/>
      </c>
      <c r="K15" s="10" t="str">
        <f aca="false">IF($H15="","",COUNTIFS($D$2:$D$208,$D15,$J$2:$J$208,"&gt;"&amp;$J15)+1)</f>
        <v/>
      </c>
      <c r="L15" s="10" t="str">
        <f aca="false">IF($K15="","",$D15&amp;"-"&amp;$K15)</f>
        <v/>
      </c>
    </row>
    <row r="16" customFormat="false" ht="26.85" hidden="false" customHeight="false" outlineLevel="0" collapsed="false">
      <c r="A16" s="10" t="str">
        <f aca="false">02_施策マスター!A16</f>
        <v>AIMF-GV-RSM-001</v>
      </c>
      <c r="B16" s="10" t="str">
        <f aca="false">02_施策マスター!B16</f>
        <v>AIリスクマネジメントプロセスの体系化</v>
      </c>
      <c r="C16" s="10" t="str">
        <f aca="false">02_施策マスター!C16</f>
        <v>GV</v>
      </c>
      <c r="D16" s="10" t="str">
        <f aca="false">02_施策マスター!O16</f>
        <v>短期</v>
      </c>
      <c r="E16" s="10" t="n">
        <f aca="false">02_施策マスター!I16</f>
        <v>3</v>
      </c>
      <c r="F16" s="10" t="n">
        <f aca="false">02_施策マスター!H16</f>
        <v>2</v>
      </c>
      <c r="G16" s="10" t="n">
        <f aca="false">COUNTIFS(05_施策抽出!$E:$E,$A16,05_施策抽出!$B:$B,"○")</f>
        <v>0</v>
      </c>
      <c r="H16" s="10" t="str">
        <f aca="false">IF($G16&gt;0,"○","")</f>
        <v/>
      </c>
      <c r="I16" s="10" t="str">
        <f aca="false">IF($H16="","",ROUND(SUMIFS(05_施策抽出!$C:$C,05_施策抽出!$E:$E,$A16,05_施策抽出!$B:$B,"○")*02_施策マスター!$P16*02_施策マスター!$K16,1))</f>
        <v/>
      </c>
      <c r="J16" s="10" t="str">
        <f aca="false">IF($I16="","",$I16+(1000-ROW())/1000000)</f>
        <v/>
      </c>
      <c r="K16" s="10" t="str">
        <f aca="false">IF($H16="","",COUNTIFS($D$2:$D$208,$D16,$J$2:$J$208,"&gt;"&amp;$J16)+1)</f>
        <v/>
      </c>
      <c r="L16" s="10" t="str">
        <f aca="false">IF($K16="","",$D16&amp;"-"&amp;$K16)</f>
        <v/>
      </c>
    </row>
    <row r="17" customFormat="false" ht="26.85" hidden="false" customHeight="false" outlineLevel="0" collapsed="false">
      <c r="A17" s="10" t="str">
        <f aca="false">02_施策マスター!A17</f>
        <v>AIMF-GV-RSM-002</v>
      </c>
      <c r="B17" s="10" t="str">
        <f aca="false">02_施策マスター!B17</f>
        <v>AIシステム影響評価（AIIA）の実施</v>
      </c>
      <c r="C17" s="10" t="str">
        <f aca="false">02_施策マスター!C17</f>
        <v>GV</v>
      </c>
      <c r="D17" s="10" t="str">
        <f aca="false">02_施策マスター!O17</f>
        <v>中期</v>
      </c>
      <c r="E17" s="10" t="n">
        <f aca="false">02_施策マスター!I17</f>
        <v>6</v>
      </c>
      <c r="F17" s="10" t="n">
        <f aca="false">02_施策マスター!H17</f>
        <v>3</v>
      </c>
      <c r="G17" s="10" t="n">
        <f aca="false">COUNTIFS(05_施策抽出!$E:$E,$A17,05_施策抽出!$B:$B,"○")</f>
        <v>0</v>
      </c>
      <c r="H17" s="10" t="str">
        <f aca="false">IF($G17&gt;0,"○","")</f>
        <v/>
      </c>
      <c r="I17" s="10" t="str">
        <f aca="false">IF($H17="","",ROUND(SUMIFS(05_施策抽出!$C:$C,05_施策抽出!$E:$E,$A17,05_施策抽出!$B:$B,"○")*02_施策マスター!$P17*02_施策マスター!$K17,1))</f>
        <v/>
      </c>
      <c r="J17" s="10" t="str">
        <f aca="false">IF($I17="","",$I17+(1000-ROW())/1000000)</f>
        <v/>
      </c>
      <c r="K17" s="10" t="str">
        <f aca="false">IF($H17="","",COUNTIFS($D$2:$D$208,$D17,$J$2:$J$208,"&gt;"&amp;$J17)+1)</f>
        <v/>
      </c>
      <c r="L17" s="10" t="str">
        <f aca="false">IF($K17="","",$D17&amp;"-"&amp;$K17)</f>
        <v/>
      </c>
    </row>
    <row r="18" customFormat="false" ht="22.35" hidden="false" customHeight="false" outlineLevel="0" collapsed="false">
      <c r="A18" s="10" t="str">
        <f aca="false">02_施策マスター!A18</f>
        <v>AIMF-GV-RSM-003</v>
      </c>
      <c r="B18" s="10" t="str">
        <f aca="false">02_施策マスター!B18</f>
        <v>AIシステムのリスク分類・階層化</v>
      </c>
      <c r="C18" s="10" t="str">
        <f aca="false">02_施策マスター!C18</f>
        <v>GV</v>
      </c>
      <c r="D18" s="10" t="str">
        <f aca="false">02_施策マスター!O18</f>
        <v>中期</v>
      </c>
      <c r="E18" s="10" t="n">
        <f aca="false">02_施策マスター!I18</f>
        <v>6</v>
      </c>
      <c r="F18" s="10" t="n">
        <f aca="false">02_施策マスター!H18</f>
        <v>3</v>
      </c>
      <c r="G18" s="10" t="n">
        <f aca="false">COUNTIFS(05_施策抽出!$E:$E,$A18,05_施策抽出!$B:$B,"○")</f>
        <v>0</v>
      </c>
      <c r="H18" s="10" t="str">
        <f aca="false">IF($G18&gt;0,"○","")</f>
        <v/>
      </c>
      <c r="I18" s="10" t="str">
        <f aca="false">IF($H18="","",ROUND(SUMIFS(05_施策抽出!$C:$C,05_施策抽出!$E:$E,$A18,05_施策抽出!$B:$B,"○")*02_施策マスター!$P18*02_施策マスター!$K18,1))</f>
        <v/>
      </c>
      <c r="J18" s="10" t="str">
        <f aca="false">IF($I18="","",$I18+(1000-ROW())/1000000)</f>
        <v/>
      </c>
      <c r="K18" s="10" t="str">
        <f aca="false">IF($H18="","",COUNTIFS($D$2:$D$208,$D18,$J$2:$J$208,"&gt;"&amp;$J18)+1)</f>
        <v/>
      </c>
      <c r="L18" s="10" t="str">
        <f aca="false">IF($K18="","",$D18&amp;"-"&amp;$K18)</f>
        <v/>
      </c>
    </row>
    <row r="19" customFormat="false" ht="22.35" hidden="false" customHeight="false" outlineLevel="0" collapsed="false">
      <c r="A19" s="10" t="str">
        <f aca="false">02_施策マスター!A19</f>
        <v>AIMF-GV-RSM-004</v>
      </c>
      <c r="B19" s="10" t="str">
        <f aca="false">02_施策マスター!B19</f>
        <v>AIリスク登録簿の整備・維持</v>
      </c>
      <c r="C19" s="10" t="str">
        <f aca="false">02_施策マスター!C19</f>
        <v>GV</v>
      </c>
      <c r="D19" s="10" t="str">
        <f aca="false">02_施策マスター!O19</f>
        <v>短期</v>
      </c>
      <c r="E19" s="10" t="n">
        <f aca="false">02_施策マスター!I19</f>
        <v>3</v>
      </c>
      <c r="F19" s="10" t="n">
        <f aca="false">02_施策マスター!H19</f>
        <v>2</v>
      </c>
      <c r="G19" s="10" t="n">
        <f aca="false">COUNTIFS(05_施策抽出!$E:$E,$A19,05_施策抽出!$B:$B,"○")</f>
        <v>0</v>
      </c>
      <c r="H19" s="10" t="str">
        <f aca="false">IF($G19&gt;0,"○","")</f>
        <v/>
      </c>
      <c r="I19" s="10" t="str">
        <f aca="false">IF($H19="","",ROUND(SUMIFS(05_施策抽出!$C:$C,05_施策抽出!$E:$E,$A19,05_施策抽出!$B:$B,"○")*02_施策マスター!$P19*02_施策マスター!$K19,1))</f>
        <v/>
      </c>
      <c r="J19" s="10" t="str">
        <f aca="false">IF($I19="","",$I19+(1000-ROW())/1000000)</f>
        <v/>
      </c>
      <c r="K19" s="10" t="str">
        <f aca="false">IF($H19="","",COUNTIFS($D$2:$D$208,$D19,$J$2:$J$208,"&gt;"&amp;$J19)+1)</f>
        <v/>
      </c>
      <c r="L19" s="10" t="str">
        <f aca="false">IF($K19="","",$D19&amp;"-"&amp;$K19)</f>
        <v/>
      </c>
    </row>
    <row r="20" customFormat="false" ht="26.85" hidden="false" customHeight="false" outlineLevel="0" collapsed="false">
      <c r="A20" s="10" t="str">
        <f aca="false">02_施策マスター!A20</f>
        <v>AIMF-GV-RSM-005</v>
      </c>
      <c r="B20" s="10" t="str">
        <f aca="false">02_施策マスター!B20</f>
        <v>リスク受容基準と残存リスクの承認</v>
      </c>
      <c r="C20" s="10" t="str">
        <f aca="false">02_施策マスター!C20</f>
        <v>GV</v>
      </c>
      <c r="D20" s="10" t="str">
        <f aca="false">02_施策マスター!O20</f>
        <v>短期</v>
      </c>
      <c r="E20" s="10" t="n">
        <f aca="false">02_施策マスター!I20</f>
        <v>3</v>
      </c>
      <c r="F20" s="10" t="n">
        <f aca="false">02_施策マスター!H20</f>
        <v>2</v>
      </c>
      <c r="G20" s="10" t="n">
        <f aca="false">COUNTIFS(05_施策抽出!$E:$E,$A20,05_施策抽出!$B:$B,"○")</f>
        <v>0</v>
      </c>
      <c r="H20" s="10" t="str">
        <f aca="false">IF($G20&gt;0,"○","")</f>
        <v/>
      </c>
      <c r="I20" s="10" t="str">
        <f aca="false">IF($H20="","",ROUND(SUMIFS(05_施策抽出!$C:$C,05_施策抽出!$E:$E,$A20,05_施策抽出!$B:$B,"○")*02_施策マスター!$P20*02_施策マスター!$K20,1))</f>
        <v/>
      </c>
      <c r="J20" s="10" t="str">
        <f aca="false">IF($I20="","",$I20+(1000-ROW())/1000000)</f>
        <v/>
      </c>
      <c r="K20" s="10" t="str">
        <f aca="false">IF($H20="","",COUNTIFS($D$2:$D$208,$D20,$J$2:$J$208,"&gt;"&amp;$J20)+1)</f>
        <v/>
      </c>
      <c r="L20" s="10" t="str">
        <f aca="false">IF($K20="","",$D20&amp;"-"&amp;$K20)</f>
        <v/>
      </c>
    </row>
    <row r="21" customFormat="false" ht="22.35" hidden="false" customHeight="false" outlineLevel="0" collapsed="false">
      <c r="A21" s="10" t="str">
        <f aca="false">02_施策マスター!A21</f>
        <v>AIMF-GV-RSM-006</v>
      </c>
      <c r="B21" s="10" t="str">
        <f aca="false">02_施策マスター!B21</f>
        <v>脅威情報に基づくAIリスク評価</v>
      </c>
      <c r="C21" s="10" t="str">
        <f aca="false">02_施策マスター!C21</f>
        <v>GV</v>
      </c>
      <c r="D21" s="10" t="str">
        <f aca="false">02_施策マスター!O21</f>
        <v>中期</v>
      </c>
      <c r="E21" s="10" t="n">
        <f aca="false">02_施策マスター!I21</f>
        <v>6</v>
      </c>
      <c r="F21" s="10" t="n">
        <f aca="false">02_施策マスター!H21</f>
        <v>3</v>
      </c>
      <c r="G21" s="10" t="n">
        <f aca="false">COUNTIFS(05_施策抽出!$E:$E,$A21,05_施策抽出!$B:$B,"○")</f>
        <v>0</v>
      </c>
      <c r="H21" s="10" t="str">
        <f aca="false">IF($G21&gt;0,"○","")</f>
        <v/>
      </c>
      <c r="I21" s="10" t="str">
        <f aca="false">IF($H21="","",ROUND(SUMIFS(05_施策抽出!$C:$C,05_施策抽出!$E:$E,$A21,05_施策抽出!$B:$B,"○")*02_施策マスター!$P21*02_施策マスター!$K21,1))</f>
        <v/>
      </c>
      <c r="J21" s="10" t="str">
        <f aca="false">IF($I21="","",$I21+(1000-ROW())/1000000)</f>
        <v/>
      </c>
      <c r="K21" s="10" t="str">
        <f aca="false">IF($H21="","",COUNTIFS($D$2:$D$208,$D21,$J$2:$J$208,"&gt;"&amp;$J21)+1)</f>
        <v/>
      </c>
      <c r="L21" s="10" t="str">
        <f aca="false">IF($K21="","",$D21&amp;"-"&amp;$K21)</f>
        <v/>
      </c>
    </row>
    <row r="22" customFormat="false" ht="26.85" hidden="false" customHeight="false" outlineLevel="0" collapsed="false">
      <c r="A22" s="10" t="str">
        <f aca="false">02_施策マスター!A22</f>
        <v>AIMF-GV-RSM-007</v>
      </c>
      <c r="B22" s="10" t="str">
        <f aca="false">02_施策マスター!B22</f>
        <v>エージェントAI導入前の限定リスク評価</v>
      </c>
      <c r="C22" s="10" t="str">
        <f aca="false">02_施策マスター!C22</f>
        <v>GV</v>
      </c>
      <c r="D22" s="10" t="str">
        <f aca="false">02_施策マスター!O22</f>
        <v>中期</v>
      </c>
      <c r="E22" s="10" t="n">
        <f aca="false">02_施策マスター!I22</f>
        <v>6</v>
      </c>
      <c r="F22" s="10" t="n">
        <f aca="false">02_施策マスター!H22</f>
        <v>3</v>
      </c>
      <c r="G22" s="10" t="n">
        <f aca="false">COUNTIFS(05_施策抽出!$E:$E,$A22,05_施策抽出!$B:$B,"○")</f>
        <v>0</v>
      </c>
      <c r="H22" s="10" t="str">
        <f aca="false">IF($G22&gt;0,"○","")</f>
        <v/>
      </c>
      <c r="I22" s="10" t="str">
        <f aca="false">IF($H22="","",ROUND(SUMIFS(05_施策抽出!$C:$C,05_施策抽出!$E:$E,$A22,05_施策抽出!$B:$B,"○")*02_施策マスター!$P22*02_施策マスター!$K22,1))</f>
        <v/>
      </c>
      <c r="J22" s="10" t="str">
        <f aca="false">IF($I22="","",$I22+(1000-ROW())/1000000)</f>
        <v/>
      </c>
      <c r="K22" s="10" t="str">
        <f aca="false">IF($H22="","",COUNTIFS($D$2:$D$208,$D22,$J$2:$J$208,"&gt;"&amp;$J22)+1)</f>
        <v/>
      </c>
      <c r="L22" s="10" t="str">
        <f aca="false">IF($K22="","",$D22&amp;"-"&amp;$K22)</f>
        <v/>
      </c>
    </row>
    <row r="23" customFormat="false" ht="26.85" hidden="false" customHeight="false" outlineLevel="0" collapsed="false">
      <c r="A23" s="10" t="str">
        <f aca="false">02_施策マスター!A23</f>
        <v>AIMF-GV-RSM-008</v>
      </c>
      <c r="B23" s="10" t="str">
        <f aca="false">02_施策マスター!B23</f>
        <v>AIリスクKRIとエスカレーション閾値</v>
      </c>
      <c r="C23" s="10" t="str">
        <f aca="false">02_施策マスター!C23</f>
        <v>GV</v>
      </c>
      <c r="D23" s="10" t="str">
        <f aca="false">02_施策マスター!O23</f>
        <v>短期</v>
      </c>
      <c r="E23" s="10" t="n">
        <f aca="false">02_施策マスター!I23</f>
        <v>3</v>
      </c>
      <c r="F23" s="10" t="n">
        <f aca="false">02_施策マスター!H23</f>
        <v>2</v>
      </c>
      <c r="G23" s="10" t="n">
        <f aca="false">COUNTIFS(05_施策抽出!$E:$E,$A23,05_施策抽出!$B:$B,"○")</f>
        <v>0</v>
      </c>
      <c r="H23" s="10" t="str">
        <f aca="false">IF($G23&gt;0,"○","")</f>
        <v/>
      </c>
      <c r="I23" s="10" t="str">
        <f aca="false">IF($H23="","",ROUND(SUMIFS(05_施策抽出!$C:$C,05_施策抽出!$E:$E,$A23,05_施策抽出!$B:$B,"○")*02_施策マスター!$P23*02_施策マスター!$K23,1))</f>
        <v/>
      </c>
      <c r="J23" s="10" t="str">
        <f aca="false">IF($I23="","",$I23+(1000-ROW())/1000000)</f>
        <v/>
      </c>
      <c r="K23" s="10" t="str">
        <f aca="false">IF($H23="","",COUNTIFS($D$2:$D$208,$D23,$J$2:$J$208,"&gt;"&amp;$J23)+1)</f>
        <v/>
      </c>
      <c r="L23" s="10" t="str">
        <f aca="false">IF($K23="","",$D23&amp;"-"&amp;$K23)</f>
        <v/>
      </c>
    </row>
    <row r="24" customFormat="false" ht="22.35" hidden="false" customHeight="false" outlineLevel="0" collapsed="false">
      <c r="A24" s="10" t="str">
        <f aca="false">02_施策マスター!A24</f>
        <v>AIMF-GV-LGL-001</v>
      </c>
      <c r="B24" s="10" t="str">
        <f aca="false">02_施策マスター!B24</f>
        <v>AI法規制遵守の継続的確認</v>
      </c>
      <c r="C24" s="10" t="str">
        <f aca="false">02_施策マスター!C24</f>
        <v>GV</v>
      </c>
      <c r="D24" s="10" t="str">
        <f aca="false">02_施策マスター!O24</f>
        <v>短期</v>
      </c>
      <c r="E24" s="10" t="n">
        <f aca="false">02_施策マスター!I24</f>
        <v>3</v>
      </c>
      <c r="F24" s="10" t="n">
        <f aca="false">02_施策マスター!H24</f>
        <v>2</v>
      </c>
      <c r="G24" s="10" t="n">
        <f aca="false">COUNTIFS(05_施策抽出!$E:$E,$A24,05_施策抽出!$B:$B,"○")</f>
        <v>0</v>
      </c>
      <c r="H24" s="10" t="str">
        <f aca="false">IF($G24&gt;0,"○","")</f>
        <v/>
      </c>
      <c r="I24" s="10" t="str">
        <f aca="false">IF($H24="","",ROUND(SUMIFS(05_施策抽出!$C:$C,05_施策抽出!$E:$E,$A24,05_施策抽出!$B:$B,"○")*02_施策マスター!$P24*02_施策マスター!$K24,1))</f>
        <v/>
      </c>
      <c r="J24" s="10" t="str">
        <f aca="false">IF($I24="","",$I24+(1000-ROW())/1000000)</f>
        <v/>
      </c>
      <c r="K24" s="10" t="str">
        <f aca="false">IF($H24="","",COUNTIFS($D$2:$D$208,$D24,$J$2:$J$208,"&gt;"&amp;$J24)+1)</f>
        <v/>
      </c>
      <c r="L24" s="10" t="str">
        <f aca="false">IF($K24="","",$D24&amp;"-"&amp;$K24)</f>
        <v/>
      </c>
    </row>
    <row r="25" customFormat="false" ht="26.85" hidden="false" customHeight="false" outlineLevel="0" collapsed="false">
      <c r="A25" s="10" t="str">
        <f aca="false">02_施策マスター!A25</f>
        <v>AIMF-GV-LGL-002</v>
      </c>
      <c r="B25" s="10" t="str">
        <f aca="false">02_施策マスター!B25</f>
        <v>知的財産（著作権・特許）リスク評価</v>
      </c>
      <c r="C25" s="10" t="str">
        <f aca="false">02_施策マスター!C25</f>
        <v>GV</v>
      </c>
      <c r="D25" s="10" t="str">
        <f aca="false">02_施策マスター!O25</f>
        <v>中期</v>
      </c>
      <c r="E25" s="10" t="n">
        <f aca="false">02_施策マスター!I25</f>
        <v>6</v>
      </c>
      <c r="F25" s="10" t="n">
        <f aca="false">02_施策マスター!H25</f>
        <v>3</v>
      </c>
      <c r="G25" s="10" t="n">
        <f aca="false">COUNTIFS(05_施策抽出!$E:$E,$A25,05_施策抽出!$B:$B,"○")</f>
        <v>0</v>
      </c>
      <c r="H25" s="10" t="str">
        <f aca="false">IF($G25&gt;0,"○","")</f>
        <v/>
      </c>
      <c r="I25" s="10" t="str">
        <f aca="false">IF($H25="","",ROUND(SUMIFS(05_施策抽出!$C:$C,05_施策抽出!$E:$E,$A25,05_施策抽出!$B:$B,"○")*02_施策マスター!$P25*02_施策マスター!$K25,1))</f>
        <v/>
      </c>
      <c r="J25" s="10" t="str">
        <f aca="false">IF($I25="","",$I25+(1000-ROW())/1000000)</f>
        <v/>
      </c>
      <c r="K25" s="10" t="str">
        <f aca="false">IF($H25="","",COUNTIFS($D$2:$D$208,$D25,$J$2:$J$208,"&gt;"&amp;$J25)+1)</f>
        <v/>
      </c>
      <c r="L25" s="10" t="str">
        <f aca="false">IF($K25="","",$D25&amp;"-"&amp;$K25)</f>
        <v/>
      </c>
    </row>
    <row r="26" customFormat="false" ht="26.85" hidden="false" customHeight="false" outlineLevel="0" collapsed="false">
      <c r="A26" s="10" t="str">
        <f aca="false">02_施策マスター!A26</f>
        <v>AIMF-GV-LGL-003</v>
      </c>
      <c r="B26" s="10" t="str">
        <f aca="false">02_施策マスター!B26</f>
        <v>シャドーデータの徹底的なクレンジング</v>
      </c>
      <c r="C26" s="10" t="str">
        <f aca="false">02_施策マスター!C26</f>
        <v>GV</v>
      </c>
      <c r="D26" s="10" t="str">
        <f aca="false">02_施策マスター!O26</f>
        <v>短期</v>
      </c>
      <c r="E26" s="10" t="n">
        <f aca="false">02_施策マスター!I26</f>
        <v>3</v>
      </c>
      <c r="F26" s="10" t="n">
        <f aca="false">02_施策マスター!H26</f>
        <v>2</v>
      </c>
      <c r="G26" s="10" t="n">
        <f aca="false">COUNTIFS(05_施策抽出!$E:$E,$A26,05_施策抽出!$B:$B,"○")</f>
        <v>0</v>
      </c>
      <c r="H26" s="10" t="str">
        <f aca="false">IF($G26&gt;0,"○","")</f>
        <v/>
      </c>
      <c r="I26" s="10" t="str">
        <f aca="false">IF($H26="","",ROUND(SUMIFS(05_施策抽出!$C:$C,05_施策抽出!$E:$E,$A26,05_施策抽出!$B:$B,"○")*02_施策マスター!$P26*02_施策マスター!$K26,1))</f>
        <v/>
      </c>
      <c r="J26" s="10" t="str">
        <f aca="false">IF($I26="","",$I26+(1000-ROW())/1000000)</f>
        <v/>
      </c>
      <c r="K26" s="10" t="str">
        <f aca="false">IF($H26="","",COUNTIFS($D$2:$D$208,$D26,$J$2:$J$208,"&gt;"&amp;$J26)+1)</f>
        <v/>
      </c>
      <c r="L26" s="10" t="str">
        <f aca="false">IF($K26="","",$D26&amp;"-"&amp;$K26)</f>
        <v/>
      </c>
    </row>
    <row r="27" customFormat="false" ht="22.35" hidden="false" customHeight="false" outlineLevel="0" collapsed="false">
      <c r="A27" s="10" t="str">
        <f aca="false">02_施策マスター!A27</f>
        <v>AIMF-GV-LGL-004</v>
      </c>
      <c r="B27" s="10" t="str">
        <f aca="false">02_施策マスター!B27</f>
        <v>EU AI Act遵守プログラム</v>
      </c>
      <c r="C27" s="10" t="str">
        <f aca="false">02_施策マスター!C27</f>
        <v>GV</v>
      </c>
      <c r="D27" s="10" t="str">
        <f aca="false">02_施策マスター!O27</f>
        <v>中期</v>
      </c>
      <c r="E27" s="10" t="n">
        <f aca="false">02_施策マスター!I27</f>
        <v>6</v>
      </c>
      <c r="F27" s="10" t="n">
        <f aca="false">02_施策マスター!H27</f>
        <v>3</v>
      </c>
      <c r="G27" s="10" t="n">
        <f aca="false">COUNTIFS(05_施策抽出!$E:$E,$A27,05_施策抽出!$B:$B,"○")</f>
        <v>0</v>
      </c>
      <c r="H27" s="10" t="str">
        <f aca="false">IF($G27&gt;0,"○","")</f>
        <v/>
      </c>
      <c r="I27" s="10" t="str">
        <f aca="false">IF($H27="","",ROUND(SUMIFS(05_施策抽出!$C:$C,05_施策抽出!$E:$E,$A27,05_施策抽出!$B:$B,"○")*02_施策マスター!$P27*02_施策マスター!$K27,1))</f>
        <v/>
      </c>
      <c r="J27" s="10" t="str">
        <f aca="false">IF($I27="","",$I27+(1000-ROW())/1000000)</f>
        <v/>
      </c>
      <c r="K27" s="10" t="str">
        <f aca="false">IF($H27="","",COUNTIFS($D$2:$D$208,$D27,$J$2:$J$208,"&gt;"&amp;$J27)+1)</f>
        <v/>
      </c>
      <c r="L27" s="10" t="str">
        <f aca="false">IF($K27="","",$D27&amp;"-"&amp;$K27)</f>
        <v/>
      </c>
    </row>
    <row r="28" customFormat="false" ht="22.35" hidden="false" customHeight="false" outlineLevel="0" collapsed="false">
      <c r="A28" s="10" t="str">
        <f aca="false">02_施策マスター!A28</f>
        <v>AIMF-GV-LGL-005</v>
      </c>
      <c r="B28" s="10" t="str">
        <f aca="false">02_施策マスター!B28</f>
        <v>越境データ移転・域外適用の評価</v>
      </c>
      <c r="C28" s="10" t="str">
        <f aca="false">02_施策マスター!C28</f>
        <v>GV</v>
      </c>
      <c r="D28" s="10" t="str">
        <f aca="false">02_施策マスター!O28</f>
        <v>短期</v>
      </c>
      <c r="E28" s="10" t="n">
        <f aca="false">02_施策マスター!I28</f>
        <v>3</v>
      </c>
      <c r="F28" s="10" t="n">
        <f aca="false">02_施策マスター!H28</f>
        <v>2</v>
      </c>
      <c r="G28" s="10" t="n">
        <f aca="false">COUNTIFS(05_施策抽出!$E:$E,$A28,05_施策抽出!$B:$B,"○")</f>
        <v>0</v>
      </c>
      <c r="H28" s="10" t="str">
        <f aca="false">IF($G28&gt;0,"○","")</f>
        <v/>
      </c>
      <c r="I28" s="10" t="str">
        <f aca="false">IF($H28="","",ROUND(SUMIFS(05_施策抽出!$C:$C,05_施策抽出!$E:$E,$A28,05_施策抽出!$B:$B,"○")*02_施策マスター!$P28*02_施策マスター!$K28,1))</f>
        <v/>
      </c>
      <c r="J28" s="10" t="str">
        <f aca="false">IF($I28="","",$I28+(1000-ROW())/1000000)</f>
        <v/>
      </c>
      <c r="K28" s="10" t="str">
        <f aca="false">IF($H28="","",COUNTIFS($D$2:$D$208,$D28,$J$2:$J$208,"&gt;"&amp;$J28)+1)</f>
        <v/>
      </c>
      <c r="L28" s="10" t="str">
        <f aca="false">IF($K28="","",$D28&amp;"-"&amp;$K28)</f>
        <v/>
      </c>
    </row>
    <row r="29" customFormat="false" ht="22.35" hidden="false" customHeight="false" outlineLevel="0" collapsed="false">
      <c r="A29" s="10" t="str">
        <f aca="false">02_施策マスター!A29</f>
        <v>AIMF-GV-AUD-001</v>
      </c>
      <c r="B29" s="10" t="str">
        <f aca="false">02_施策マスター!B29</f>
        <v>内部監査・マネジメントレビュー</v>
      </c>
      <c r="C29" s="10" t="str">
        <f aca="false">02_施策マスター!C29</f>
        <v>GV</v>
      </c>
      <c r="D29" s="10" t="str">
        <f aca="false">02_施策マスター!O29</f>
        <v>短期</v>
      </c>
      <c r="E29" s="10" t="n">
        <f aca="false">02_施策マスター!I29</f>
        <v>3</v>
      </c>
      <c r="F29" s="10" t="n">
        <f aca="false">02_施策マスター!H29</f>
        <v>2</v>
      </c>
      <c r="G29" s="10" t="n">
        <f aca="false">COUNTIFS(05_施策抽出!$E:$E,$A29,05_施策抽出!$B:$B,"○")</f>
        <v>0</v>
      </c>
      <c r="H29" s="10" t="str">
        <f aca="false">IF($G29&gt;0,"○","")</f>
        <v/>
      </c>
      <c r="I29" s="10" t="str">
        <f aca="false">IF($H29="","",ROUND(SUMIFS(05_施策抽出!$C:$C,05_施策抽出!$E:$E,$A29,05_施策抽出!$B:$B,"○")*02_施策マスター!$P29*02_施策マスター!$K29,1))</f>
        <v/>
      </c>
      <c r="J29" s="10" t="str">
        <f aca="false">IF($I29="","",$I29+(1000-ROW())/1000000)</f>
        <v/>
      </c>
      <c r="K29" s="10" t="str">
        <f aca="false">IF($H29="","",COUNTIFS($D$2:$D$208,$D29,$J$2:$J$208,"&gt;"&amp;$J29)+1)</f>
        <v/>
      </c>
      <c r="L29" s="10" t="str">
        <f aca="false">IF($K29="","",$D29&amp;"-"&amp;$K29)</f>
        <v/>
      </c>
    </row>
    <row r="30" customFormat="false" ht="22.35" hidden="false" customHeight="false" outlineLevel="0" collapsed="false">
      <c r="A30" s="10" t="str">
        <f aca="false">02_施策マスター!A30</f>
        <v>AIMF-GV-AUD-002</v>
      </c>
      <c r="B30" s="10" t="str">
        <f aca="false">02_施策マスター!B30</f>
        <v>AI固有の内部監査手続の整備</v>
      </c>
      <c r="C30" s="10" t="str">
        <f aca="false">02_施策マスター!C30</f>
        <v>GV</v>
      </c>
      <c r="D30" s="10" t="str">
        <f aca="false">02_施策マスター!O30</f>
        <v>短期</v>
      </c>
      <c r="E30" s="10" t="n">
        <f aca="false">02_施策マスター!I30</f>
        <v>3</v>
      </c>
      <c r="F30" s="10" t="n">
        <f aca="false">02_施策マスター!H30</f>
        <v>2</v>
      </c>
      <c r="G30" s="10" t="n">
        <f aca="false">COUNTIFS(05_施策抽出!$E:$E,$A30,05_施策抽出!$B:$B,"○")</f>
        <v>0</v>
      </c>
      <c r="H30" s="10" t="str">
        <f aca="false">IF($G30&gt;0,"○","")</f>
        <v/>
      </c>
      <c r="I30" s="10" t="str">
        <f aca="false">IF($H30="","",ROUND(SUMIFS(05_施策抽出!$C:$C,05_施策抽出!$E:$E,$A30,05_施策抽出!$B:$B,"○")*02_施策マスター!$P30*02_施策マスター!$K30,1))</f>
        <v/>
      </c>
      <c r="J30" s="10" t="str">
        <f aca="false">IF($I30="","",$I30+(1000-ROW())/1000000)</f>
        <v/>
      </c>
      <c r="K30" s="10" t="str">
        <f aca="false">IF($H30="","",COUNTIFS($D$2:$D$208,$D30,$J$2:$J$208,"&gt;"&amp;$J30)+1)</f>
        <v/>
      </c>
      <c r="L30" s="10" t="str">
        <f aca="false">IF($K30="","",$D30&amp;"-"&amp;$K30)</f>
        <v/>
      </c>
    </row>
    <row r="31" customFormat="false" ht="22.35" hidden="false" customHeight="false" outlineLevel="0" collapsed="false">
      <c r="A31" s="10" t="str">
        <f aca="false">02_施策マスター!A31</f>
        <v>AIMF-GV-AUD-003</v>
      </c>
      <c r="B31" s="10" t="str">
        <f aca="false">02_施策マスター!B31</f>
        <v>第三者認証・外部評価の取得</v>
      </c>
      <c r="C31" s="10" t="str">
        <f aca="false">02_施策マスター!C31</f>
        <v>GV</v>
      </c>
      <c r="D31" s="10" t="str">
        <f aca="false">02_施策マスター!O31</f>
        <v>短期</v>
      </c>
      <c r="E31" s="10" t="n">
        <f aca="false">02_施策マスター!I31</f>
        <v>3</v>
      </c>
      <c r="F31" s="10" t="n">
        <f aca="false">02_施策マスター!H31</f>
        <v>2</v>
      </c>
      <c r="G31" s="10" t="n">
        <f aca="false">COUNTIFS(05_施策抽出!$E:$E,$A31,05_施策抽出!$B:$B,"○")</f>
        <v>0</v>
      </c>
      <c r="H31" s="10" t="str">
        <f aca="false">IF($G31&gt;0,"○","")</f>
        <v/>
      </c>
      <c r="I31" s="10" t="str">
        <f aca="false">IF($H31="","",ROUND(SUMIFS(05_施策抽出!$C:$C,05_施策抽出!$E:$E,$A31,05_施策抽出!$B:$B,"○")*02_施策マスター!$P31*02_施策マスター!$K31,1))</f>
        <v/>
      </c>
      <c r="J31" s="10" t="str">
        <f aca="false">IF($I31="","",$I31+(1000-ROW())/1000000)</f>
        <v/>
      </c>
      <c r="K31" s="10" t="str">
        <f aca="false">IF($H31="","",COUNTIFS($D$2:$D$208,$D31,$J$2:$J$208,"&gt;"&amp;$J31)+1)</f>
        <v/>
      </c>
      <c r="L31" s="10" t="str">
        <f aca="false">IF($K31="","",$D31&amp;"-"&amp;$K31)</f>
        <v/>
      </c>
    </row>
    <row r="32" customFormat="false" ht="22.35" hidden="false" customHeight="false" outlineLevel="0" collapsed="false">
      <c r="A32" s="10" t="str">
        <f aca="false">02_施策マスター!A32</f>
        <v>AIMF-GV-AUD-004</v>
      </c>
      <c r="B32" s="10" t="str">
        <f aca="false">02_施策マスター!B32</f>
        <v>AIセキュリティ成熟度の定期評価</v>
      </c>
      <c r="C32" s="10" t="str">
        <f aca="false">02_施策マスター!C32</f>
        <v>GV</v>
      </c>
      <c r="D32" s="10" t="str">
        <f aca="false">02_施策マスター!O32</f>
        <v>中期</v>
      </c>
      <c r="E32" s="10" t="n">
        <f aca="false">02_施策マスター!I32</f>
        <v>6</v>
      </c>
      <c r="F32" s="10" t="n">
        <f aca="false">02_施策マスター!H32</f>
        <v>3</v>
      </c>
      <c r="G32" s="10" t="n">
        <f aca="false">COUNTIFS(05_施策抽出!$E:$E,$A32,05_施策抽出!$B:$B,"○")</f>
        <v>0</v>
      </c>
      <c r="H32" s="10" t="str">
        <f aca="false">IF($G32&gt;0,"○","")</f>
        <v/>
      </c>
      <c r="I32" s="10" t="str">
        <f aca="false">IF($H32="","",ROUND(SUMIFS(05_施策抽出!$C:$C,05_施策抽出!$E:$E,$A32,05_施策抽出!$B:$B,"○")*02_施策マスター!$P32*02_施策マスター!$K32,1))</f>
        <v/>
      </c>
      <c r="J32" s="10" t="str">
        <f aca="false">IF($I32="","",$I32+(1000-ROW())/1000000)</f>
        <v/>
      </c>
      <c r="K32" s="10" t="str">
        <f aca="false">IF($H32="","",COUNTIFS($D$2:$D$208,$D32,$J$2:$J$208,"&gt;"&amp;$J32)+1)</f>
        <v/>
      </c>
      <c r="L32" s="10" t="str">
        <f aca="false">IF($K32="","",$D32&amp;"-"&amp;$K32)</f>
        <v/>
      </c>
    </row>
    <row r="33" customFormat="false" ht="22.35" hidden="false" customHeight="false" outlineLevel="0" collapsed="false">
      <c r="A33" s="10" t="str">
        <f aca="false">02_施策マスター!A33</f>
        <v>AIMF-GV-TRA-001</v>
      </c>
      <c r="B33" s="10" t="str">
        <f aca="false">02_施策マスター!B33</f>
        <v>透明性・利用者への情報提供</v>
      </c>
      <c r="C33" s="10" t="str">
        <f aca="false">02_施策マスター!C33</f>
        <v>GV</v>
      </c>
      <c r="D33" s="10" t="str">
        <f aca="false">02_施策マスター!O33</f>
        <v>中期</v>
      </c>
      <c r="E33" s="10" t="n">
        <f aca="false">02_施策マスター!I33</f>
        <v>6</v>
      </c>
      <c r="F33" s="10" t="n">
        <f aca="false">02_施策マスター!H33</f>
        <v>3</v>
      </c>
      <c r="G33" s="10" t="n">
        <f aca="false">COUNTIFS(05_施策抽出!$E:$E,$A33,05_施策抽出!$B:$B,"○")</f>
        <v>0</v>
      </c>
      <c r="H33" s="10" t="str">
        <f aca="false">IF($G33&gt;0,"○","")</f>
        <v/>
      </c>
      <c r="I33" s="10" t="str">
        <f aca="false">IF($H33="","",ROUND(SUMIFS(05_施策抽出!$C:$C,05_施策抽出!$E:$E,$A33,05_施策抽出!$B:$B,"○")*02_施策マスター!$P33*02_施策マスター!$K33,1))</f>
        <v/>
      </c>
      <c r="J33" s="10" t="str">
        <f aca="false">IF($I33="","",$I33+(1000-ROW())/1000000)</f>
        <v/>
      </c>
      <c r="K33" s="10" t="str">
        <f aca="false">IF($H33="","",COUNTIFS($D$2:$D$208,$D33,$J$2:$J$208,"&gt;"&amp;$J33)+1)</f>
        <v/>
      </c>
      <c r="L33" s="10" t="str">
        <f aca="false">IF($K33="","",$D33&amp;"-"&amp;$K33)</f>
        <v/>
      </c>
    </row>
    <row r="34" customFormat="false" ht="22.35" hidden="false" customHeight="false" outlineLevel="0" collapsed="false">
      <c r="A34" s="10" t="str">
        <f aca="false">02_施策マスター!A34</f>
        <v>AIMF-GV-TRA-002</v>
      </c>
      <c r="B34" s="10" t="str">
        <f aca="false">02_施策マスター!B34</f>
        <v>技術文書・モデルカードの整備</v>
      </c>
      <c r="C34" s="10" t="str">
        <f aca="false">02_施策マスター!C34</f>
        <v>GV</v>
      </c>
      <c r="D34" s="10" t="str">
        <f aca="false">02_施策マスター!O34</f>
        <v>中期</v>
      </c>
      <c r="E34" s="10" t="n">
        <f aca="false">02_施策マスター!I34</f>
        <v>6</v>
      </c>
      <c r="F34" s="10" t="n">
        <f aca="false">02_施策マスター!H34</f>
        <v>3</v>
      </c>
      <c r="G34" s="10" t="n">
        <f aca="false">COUNTIFS(05_施策抽出!$E:$E,$A34,05_施策抽出!$B:$B,"○")</f>
        <v>0</v>
      </c>
      <c r="H34" s="10" t="str">
        <f aca="false">IF($G34&gt;0,"○","")</f>
        <v/>
      </c>
      <c r="I34" s="10" t="str">
        <f aca="false">IF($H34="","",ROUND(SUMIFS(05_施策抽出!$C:$C,05_施策抽出!$E:$E,$A34,05_施策抽出!$B:$B,"○")*02_施策マスター!$P34*02_施策マスター!$K34,1))</f>
        <v/>
      </c>
      <c r="J34" s="10" t="str">
        <f aca="false">IF($I34="","",$I34+(1000-ROW())/1000000)</f>
        <v/>
      </c>
      <c r="K34" s="10" t="str">
        <f aca="false">IF($H34="","",COUNTIFS($D$2:$D$208,$D34,$J$2:$J$208,"&gt;"&amp;$J34)+1)</f>
        <v/>
      </c>
      <c r="L34" s="10" t="str">
        <f aca="false">IF($K34="","",$D34&amp;"-"&amp;$K34)</f>
        <v/>
      </c>
    </row>
    <row r="35" customFormat="false" ht="26.85" hidden="false" customHeight="false" outlineLevel="0" collapsed="false">
      <c r="A35" s="10" t="str">
        <f aca="false">02_施策マスター!A35</f>
        <v>AIMF-GV-TRA-003</v>
      </c>
      <c r="B35" s="10" t="str">
        <f aca="false">02_施策マスター!B35</f>
        <v>AI生成コンテンツの来歴表示（C2PA等）</v>
      </c>
      <c r="C35" s="10" t="str">
        <f aca="false">02_施策マスター!C35</f>
        <v>GV</v>
      </c>
      <c r="D35" s="10" t="str">
        <f aca="false">02_施策マスター!O35</f>
        <v>中期</v>
      </c>
      <c r="E35" s="10" t="n">
        <f aca="false">02_施策マスター!I35</f>
        <v>6</v>
      </c>
      <c r="F35" s="10" t="n">
        <f aca="false">02_施策マスター!H35</f>
        <v>3</v>
      </c>
      <c r="G35" s="10" t="n">
        <f aca="false">COUNTIFS(05_施策抽出!$E:$E,$A35,05_施策抽出!$B:$B,"○")</f>
        <v>0</v>
      </c>
      <c r="H35" s="10" t="str">
        <f aca="false">IF($G35&gt;0,"○","")</f>
        <v/>
      </c>
      <c r="I35" s="10" t="str">
        <f aca="false">IF($H35="","",ROUND(SUMIFS(05_施策抽出!$C:$C,05_施策抽出!$E:$E,$A35,05_施策抽出!$B:$B,"○")*02_施策マスター!$P35*02_施策マスター!$K35,1))</f>
        <v/>
      </c>
      <c r="J35" s="10" t="str">
        <f aca="false">IF($I35="","",$I35+(1000-ROW())/1000000)</f>
        <v/>
      </c>
      <c r="K35" s="10" t="str">
        <f aca="false">IF($H35="","",COUNTIFS($D$2:$D$208,$D35,$J$2:$J$208,"&gt;"&amp;$J35)+1)</f>
        <v/>
      </c>
      <c r="L35" s="10" t="str">
        <f aca="false">IF($K35="","",$D35&amp;"-"&amp;$K35)</f>
        <v/>
      </c>
    </row>
    <row r="36" customFormat="false" ht="26.85" hidden="false" customHeight="false" outlineLevel="0" collapsed="false">
      <c r="A36" s="10" t="str">
        <f aca="false">02_施策マスター!A36</f>
        <v>AIMF-GV-TRA-004</v>
      </c>
      <c r="B36" s="10" t="str">
        <f aca="false">02_施策マスター!B36</f>
        <v>利用者からの苦情・異議申立て窓口</v>
      </c>
      <c r="C36" s="10" t="str">
        <f aca="false">02_施策マスター!C36</f>
        <v>GV</v>
      </c>
      <c r="D36" s="10" t="str">
        <f aca="false">02_施策マスター!O36</f>
        <v>短期</v>
      </c>
      <c r="E36" s="10" t="n">
        <f aca="false">02_施策マスター!I36</f>
        <v>3</v>
      </c>
      <c r="F36" s="10" t="n">
        <f aca="false">02_施策マスター!H36</f>
        <v>2</v>
      </c>
      <c r="G36" s="10" t="n">
        <f aca="false">COUNTIFS(05_施策抽出!$E:$E,$A36,05_施策抽出!$B:$B,"○")</f>
        <v>0</v>
      </c>
      <c r="H36" s="10" t="str">
        <f aca="false">IF($G36&gt;0,"○","")</f>
        <v/>
      </c>
      <c r="I36" s="10" t="str">
        <f aca="false">IF($H36="","",ROUND(SUMIFS(05_施策抽出!$C:$C,05_施策抽出!$E:$E,$A36,05_施策抽出!$B:$B,"○")*02_施策マスター!$P36*02_施策マスター!$K36,1))</f>
        <v/>
      </c>
      <c r="J36" s="10" t="str">
        <f aca="false">IF($I36="","",$I36+(1000-ROW())/1000000)</f>
        <v/>
      </c>
      <c r="K36" s="10" t="str">
        <f aca="false">IF($H36="","",COUNTIFS($D$2:$D$208,$D36,$J$2:$J$208,"&gt;"&amp;$J36)+1)</f>
        <v/>
      </c>
      <c r="L36" s="10" t="str">
        <f aca="false">IF($K36="","",$D36&amp;"-"&amp;$K36)</f>
        <v/>
      </c>
    </row>
    <row r="37" customFormat="false" ht="22.35" hidden="false" customHeight="false" outlineLevel="0" collapsed="false">
      <c r="A37" s="10" t="str">
        <f aca="false">02_施策マスター!A37</f>
        <v>AIMF-GV-TRA-005</v>
      </c>
      <c r="B37" s="10" t="str">
        <f aca="false">02_施策マスター!B37</f>
        <v>対外的なAIガバナンス開示</v>
      </c>
      <c r="C37" s="10" t="str">
        <f aca="false">02_施策マスター!C37</f>
        <v>GV</v>
      </c>
      <c r="D37" s="10" t="str">
        <f aca="false">02_施策マスター!O37</f>
        <v>短期</v>
      </c>
      <c r="E37" s="10" t="n">
        <f aca="false">02_施策マスター!I37</f>
        <v>3</v>
      </c>
      <c r="F37" s="10" t="n">
        <f aca="false">02_施策マスター!H37</f>
        <v>2</v>
      </c>
      <c r="G37" s="10" t="n">
        <f aca="false">COUNTIFS(05_施策抽出!$E:$E,$A37,05_施策抽出!$B:$B,"○")</f>
        <v>0</v>
      </c>
      <c r="H37" s="10" t="str">
        <f aca="false">IF($G37&gt;0,"○","")</f>
        <v/>
      </c>
      <c r="I37" s="10" t="str">
        <f aca="false">IF($H37="","",ROUND(SUMIFS(05_施策抽出!$C:$C,05_施策抽出!$E:$E,$A37,05_施策抽出!$B:$B,"○")*02_施策マスター!$P37*02_施策マスター!$K37,1))</f>
        <v/>
      </c>
      <c r="J37" s="10" t="str">
        <f aca="false">IF($I37="","",$I37+(1000-ROW())/1000000)</f>
        <v/>
      </c>
      <c r="K37" s="10" t="str">
        <f aca="false">IF($H37="","",COUNTIFS($D$2:$D$208,$D37,$J$2:$J$208,"&gt;"&amp;$J37)+1)</f>
        <v/>
      </c>
      <c r="L37" s="10" t="str">
        <f aca="false">IF($K37="","",$D37&amp;"-"&amp;$K37)</f>
        <v/>
      </c>
    </row>
    <row r="38" customFormat="false" ht="26.85" hidden="false" customHeight="false" outlineLevel="0" collapsed="false">
      <c r="A38" s="10" t="str">
        <f aca="false">02_施策マスター!A38</f>
        <v>AIMF-ID-AST-001</v>
      </c>
      <c r="B38" s="10" t="str">
        <f aca="false">02_施策マスター!B38</f>
        <v>AIモデル・サービス管理台帳の整備</v>
      </c>
      <c r="C38" s="10" t="str">
        <f aca="false">02_施策マスター!C38</f>
        <v>ID</v>
      </c>
      <c r="D38" s="10" t="str">
        <f aca="false">02_施策マスター!O38</f>
        <v>中期</v>
      </c>
      <c r="E38" s="10" t="n">
        <f aca="false">02_施策マスター!I38</f>
        <v>6</v>
      </c>
      <c r="F38" s="10" t="n">
        <f aca="false">02_施策マスター!H38</f>
        <v>3</v>
      </c>
      <c r="G38" s="10" t="n">
        <f aca="false">COUNTIFS(05_施策抽出!$E:$E,$A38,05_施策抽出!$B:$B,"○")</f>
        <v>0</v>
      </c>
      <c r="H38" s="10" t="str">
        <f aca="false">IF($G38&gt;0,"○","")</f>
        <v/>
      </c>
      <c r="I38" s="10" t="str">
        <f aca="false">IF($H38="","",ROUND(SUMIFS(05_施策抽出!$C:$C,05_施策抽出!$E:$E,$A38,05_施策抽出!$B:$B,"○")*02_施策マスター!$P38*02_施策マスター!$K38,1))</f>
        <v/>
      </c>
      <c r="J38" s="10" t="str">
        <f aca="false">IF($I38="","",$I38+(1000-ROW())/1000000)</f>
        <v/>
      </c>
      <c r="K38" s="10" t="str">
        <f aca="false">IF($H38="","",COUNTIFS($D$2:$D$208,$D38,$J$2:$J$208,"&gt;"&amp;$J38)+1)</f>
        <v/>
      </c>
      <c r="L38" s="10" t="str">
        <f aca="false">IF($K38="","",$D38&amp;"-"&amp;$K38)</f>
        <v/>
      </c>
    </row>
    <row r="39" customFormat="false" ht="26.85" hidden="false" customHeight="false" outlineLevel="0" collapsed="false">
      <c r="A39" s="10" t="str">
        <f aca="false">02_施策マスター!A39</f>
        <v>AIMF-ID-AST-002</v>
      </c>
      <c r="B39" s="10" t="str">
        <f aca="false">02_施策マスター!B39</f>
        <v>RAG知識ベース・データソースの棚卸し</v>
      </c>
      <c r="C39" s="10" t="str">
        <f aca="false">02_施策マスター!C39</f>
        <v>ID</v>
      </c>
      <c r="D39" s="10" t="str">
        <f aca="false">02_施策マスター!O39</f>
        <v>中期</v>
      </c>
      <c r="E39" s="10" t="n">
        <f aca="false">02_施策マスター!I39</f>
        <v>6</v>
      </c>
      <c r="F39" s="10" t="n">
        <f aca="false">02_施策マスター!H39</f>
        <v>3</v>
      </c>
      <c r="G39" s="10" t="n">
        <f aca="false">COUNTIFS(05_施策抽出!$E:$E,$A39,05_施策抽出!$B:$B,"○")</f>
        <v>0</v>
      </c>
      <c r="H39" s="10" t="str">
        <f aca="false">IF($G39&gt;0,"○","")</f>
        <v/>
      </c>
      <c r="I39" s="10" t="str">
        <f aca="false">IF($H39="","",ROUND(SUMIFS(05_施策抽出!$C:$C,05_施策抽出!$E:$E,$A39,05_施策抽出!$B:$B,"○")*02_施策マスター!$P39*02_施策マスター!$K39,1))</f>
        <v/>
      </c>
      <c r="J39" s="10" t="str">
        <f aca="false">IF($I39="","",$I39+(1000-ROW())/1000000)</f>
        <v/>
      </c>
      <c r="K39" s="10" t="str">
        <f aca="false">IF($H39="","",COUNTIFS($D$2:$D$208,$D39,$J$2:$J$208,"&gt;"&amp;$J39)+1)</f>
        <v/>
      </c>
      <c r="L39" s="10" t="str">
        <f aca="false">IF($K39="","",$D39&amp;"-"&amp;$K39)</f>
        <v/>
      </c>
    </row>
    <row r="40" customFormat="false" ht="26.85" hidden="false" customHeight="false" outlineLevel="0" collapsed="false">
      <c r="A40" s="10" t="str">
        <f aca="false">02_施策マスター!A40</f>
        <v>AIMF-ID-AST-003</v>
      </c>
      <c r="B40" s="10" t="str">
        <f aca="false">02_施策マスター!B40</f>
        <v>AIエージェントの権限・ツールトポロジー管理</v>
      </c>
      <c r="C40" s="10" t="str">
        <f aca="false">02_施策マスター!C40</f>
        <v>ID</v>
      </c>
      <c r="D40" s="10" t="str">
        <f aca="false">02_施策マスター!O40</f>
        <v>長期</v>
      </c>
      <c r="E40" s="10" t="n">
        <f aca="false">02_施策マスター!I40</f>
        <v>9</v>
      </c>
      <c r="F40" s="10" t="n">
        <f aca="false">02_施策マスター!H40</f>
        <v>4</v>
      </c>
      <c r="G40" s="10" t="n">
        <f aca="false">COUNTIFS(05_施策抽出!$E:$E,$A40,05_施策抽出!$B:$B,"○")</f>
        <v>0</v>
      </c>
      <c r="H40" s="10" t="str">
        <f aca="false">IF($G40&gt;0,"○","")</f>
        <v/>
      </c>
      <c r="I40" s="10" t="str">
        <f aca="false">IF($H40="","",ROUND(SUMIFS(05_施策抽出!$C:$C,05_施策抽出!$E:$E,$A40,05_施策抽出!$B:$B,"○")*02_施策マスター!$P40*02_施策マスター!$K40,1))</f>
        <v/>
      </c>
      <c r="J40" s="10" t="str">
        <f aca="false">IF($I40="","",$I40+(1000-ROW())/1000000)</f>
        <v/>
      </c>
      <c r="K40" s="10" t="str">
        <f aca="false">IF($H40="","",COUNTIFS($D$2:$D$208,$D40,$J$2:$J$208,"&gt;"&amp;$J40)+1)</f>
        <v/>
      </c>
      <c r="L40" s="10" t="str">
        <f aca="false">IF($K40="","",$D40&amp;"-"&amp;$K40)</f>
        <v/>
      </c>
    </row>
    <row r="41" customFormat="false" ht="26.85" hidden="false" customHeight="false" outlineLevel="0" collapsed="false">
      <c r="A41" s="10" t="str">
        <f aca="false">02_施策マスター!A41</f>
        <v>AIMF-ID-AST-004</v>
      </c>
      <c r="B41" s="10" t="str">
        <f aca="false">02_施策マスター!B41</f>
        <v>AIインフラ資産（GPU・計算リソース・ストレージ）の棚卸し</v>
      </c>
      <c r="C41" s="10" t="str">
        <f aca="false">02_施策マスター!C41</f>
        <v>ID</v>
      </c>
      <c r="D41" s="10" t="str">
        <f aca="false">02_施策マスター!O41</f>
        <v>中期</v>
      </c>
      <c r="E41" s="10" t="n">
        <f aca="false">02_施策マスター!I41</f>
        <v>6</v>
      </c>
      <c r="F41" s="10" t="n">
        <f aca="false">02_施策マスター!H41</f>
        <v>3</v>
      </c>
      <c r="G41" s="10" t="n">
        <f aca="false">COUNTIFS(05_施策抽出!$E:$E,$A41,05_施策抽出!$B:$B,"○")</f>
        <v>0</v>
      </c>
      <c r="H41" s="10" t="str">
        <f aca="false">IF($G41&gt;0,"○","")</f>
        <v/>
      </c>
      <c r="I41" s="10" t="str">
        <f aca="false">IF($H41="","",ROUND(SUMIFS(05_施策抽出!$C:$C,05_施策抽出!$E:$E,$A41,05_施策抽出!$B:$B,"○")*02_施策マスター!$P41*02_施策マスター!$K41,1))</f>
        <v/>
      </c>
      <c r="J41" s="10" t="str">
        <f aca="false">IF($I41="","",$I41+(1000-ROW())/1000000)</f>
        <v/>
      </c>
      <c r="K41" s="10" t="str">
        <f aca="false">IF($H41="","",COUNTIFS($D$2:$D$208,$D41,$J$2:$J$208,"&gt;"&amp;$J41)+1)</f>
        <v/>
      </c>
      <c r="L41" s="10" t="str">
        <f aca="false">IF($K41="","",$D41&amp;"-"&amp;$K41)</f>
        <v/>
      </c>
    </row>
    <row r="42" customFormat="false" ht="26.85" hidden="false" customHeight="false" outlineLevel="0" collapsed="false">
      <c r="A42" s="10" t="str">
        <f aca="false">02_施策マスター!A42</f>
        <v>AIMF-ID-AST-005</v>
      </c>
      <c r="B42" s="10" t="str">
        <f aca="false">02_施策マスター!B42</f>
        <v>プロンプト・システムプロンプト資産の台帳管理</v>
      </c>
      <c r="C42" s="10" t="str">
        <f aca="false">02_施策マスター!C42</f>
        <v>ID</v>
      </c>
      <c r="D42" s="10" t="str">
        <f aca="false">02_施策マスター!O42</f>
        <v>長期</v>
      </c>
      <c r="E42" s="10" t="n">
        <f aca="false">02_施策マスター!I42</f>
        <v>9</v>
      </c>
      <c r="F42" s="10" t="n">
        <f aca="false">02_施策マスター!H42</f>
        <v>4</v>
      </c>
      <c r="G42" s="10" t="n">
        <f aca="false">COUNTIFS(05_施策抽出!$E:$E,$A42,05_施策抽出!$B:$B,"○")</f>
        <v>0</v>
      </c>
      <c r="H42" s="10" t="str">
        <f aca="false">IF($G42&gt;0,"○","")</f>
        <v/>
      </c>
      <c r="I42" s="10" t="str">
        <f aca="false">IF($H42="","",ROUND(SUMIFS(05_施策抽出!$C:$C,05_施策抽出!$E:$E,$A42,05_施策抽出!$B:$B,"○")*02_施策マスター!$P42*02_施策マスター!$K42,1))</f>
        <v/>
      </c>
      <c r="J42" s="10" t="str">
        <f aca="false">IF($I42="","",$I42+(1000-ROW())/1000000)</f>
        <v/>
      </c>
      <c r="K42" s="10" t="str">
        <f aca="false">IF($H42="","",COUNTIFS($D$2:$D$208,$D42,$J$2:$J$208,"&gt;"&amp;$J42)+1)</f>
        <v/>
      </c>
      <c r="L42" s="10" t="str">
        <f aca="false">IF($K42="","",$D42&amp;"-"&amp;$K42)</f>
        <v/>
      </c>
    </row>
    <row r="43" customFormat="false" ht="15" hidden="false" customHeight="false" outlineLevel="0" collapsed="false">
      <c r="A43" s="10" t="str">
        <f aca="false">02_施策マスター!A43</f>
        <v>AIMF-ID-AST-006</v>
      </c>
      <c r="B43" s="10" t="str">
        <f aca="false">02_施策マスター!B43</f>
        <v>AIデータフローマッピング</v>
      </c>
      <c r="C43" s="10" t="str">
        <f aca="false">02_施策マスター!C43</f>
        <v>ID</v>
      </c>
      <c r="D43" s="10" t="str">
        <f aca="false">02_施策マスター!O43</f>
        <v>中期</v>
      </c>
      <c r="E43" s="10" t="n">
        <f aca="false">02_施策マスター!I43</f>
        <v>6</v>
      </c>
      <c r="F43" s="10" t="n">
        <f aca="false">02_施策マスター!H43</f>
        <v>3</v>
      </c>
      <c r="G43" s="10" t="n">
        <f aca="false">COUNTIFS(05_施策抽出!$E:$E,$A43,05_施策抽出!$B:$B,"○")</f>
        <v>0</v>
      </c>
      <c r="H43" s="10" t="str">
        <f aca="false">IF($G43&gt;0,"○","")</f>
        <v/>
      </c>
      <c r="I43" s="10" t="str">
        <f aca="false">IF($H43="","",ROUND(SUMIFS(05_施策抽出!$C:$C,05_施策抽出!$E:$E,$A43,05_施策抽出!$B:$B,"○")*02_施策マスター!$P43*02_施策マスター!$K43,1))</f>
        <v/>
      </c>
      <c r="J43" s="10" t="str">
        <f aca="false">IF($I43="","",$I43+(1000-ROW())/1000000)</f>
        <v/>
      </c>
      <c r="K43" s="10" t="str">
        <f aca="false">IF($H43="","",COUNTIFS($D$2:$D$208,$D43,$J$2:$J$208,"&gt;"&amp;$J43)+1)</f>
        <v/>
      </c>
      <c r="L43" s="10" t="str">
        <f aca="false">IF($K43="","",$D43&amp;"-"&amp;$K43)</f>
        <v/>
      </c>
    </row>
    <row r="44" customFormat="false" ht="26.85" hidden="false" customHeight="false" outlineLevel="0" collapsed="false">
      <c r="A44" s="10" t="str">
        <f aca="false">02_施策マスター!A44</f>
        <v>AIMF-ID-AST-007</v>
      </c>
      <c r="B44" s="10" t="str">
        <f aca="false">02_施策マスター!B44</f>
        <v>シャドーAI・未承認利用の継続的検出</v>
      </c>
      <c r="C44" s="10" t="str">
        <f aca="false">02_施策マスター!C44</f>
        <v>ID</v>
      </c>
      <c r="D44" s="10" t="str">
        <f aca="false">02_施策マスター!O44</f>
        <v>中期</v>
      </c>
      <c r="E44" s="10" t="n">
        <f aca="false">02_施策マスター!I44</f>
        <v>6</v>
      </c>
      <c r="F44" s="10" t="n">
        <f aca="false">02_施策マスター!H44</f>
        <v>3</v>
      </c>
      <c r="G44" s="10" t="n">
        <f aca="false">COUNTIFS(05_施策抽出!$E:$E,$A44,05_施策抽出!$B:$B,"○")</f>
        <v>0</v>
      </c>
      <c r="H44" s="10" t="str">
        <f aca="false">IF($G44&gt;0,"○","")</f>
        <v/>
      </c>
      <c r="I44" s="10" t="str">
        <f aca="false">IF($H44="","",ROUND(SUMIFS(05_施策抽出!$C:$C,05_施策抽出!$E:$E,$A44,05_施策抽出!$B:$B,"○")*02_施策マスター!$P44*02_施策マスター!$K44,1))</f>
        <v/>
      </c>
      <c r="J44" s="10" t="str">
        <f aca="false">IF($I44="","",$I44+(1000-ROW())/1000000)</f>
        <v/>
      </c>
      <c r="K44" s="10" t="str">
        <f aca="false">IF($H44="","",COUNTIFS($D$2:$D$208,$D44,$J$2:$J$208,"&gt;"&amp;$J44)+1)</f>
        <v/>
      </c>
      <c r="L44" s="10" t="str">
        <f aca="false">IF($K44="","",$D44&amp;"-"&amp;$K44)</f>
        <v/>
      </c>
    </row>
    <row r="45" customFormat="false" ht="26.85" hidden="false" customHeight="false" outlineLevel="0" collapsed="false">
      <c r="A45" s="10" t="str">
        <f aca="false">02_施策マスター!A45</f>
        <v>AIMF-ID-AST-008</v>
      </c>
      <c r="B45" s="10" t="str">
        <f aca="false">02_施策マスター!B45</f>
        <v>エンドポイントAI機能・ブラウザ拡張の把握</v>
      </c>
      <c r="C45" s="10" t="str">
        <f aca="false">02_施策マスター!C45</f>
        <v>ID</v>
      </c>
      <c r="D45" s="10" t="str">
        <f aca="false">02_施策マスター!O45</f>
        <v>中期</v>
      </c>
      <c r="E45" s="10" t="n">
        <f aca="false">02_施策マスター!I45</f>
        <v>6</v>
      </c>
      <c r="F45" s="10" t="n">
        <f aca="false">02_施策マスター!H45</f>
        <v>3</v>
      </c>
      <c r="G45" s="10" t="n">
        <f aca="false">COUNTIFS(05_施策抽出!$E:$E,$A45,05_施策抽出!$B:$B,"○")</f>
        <v>0</v>
      </c>
      <c r="H45" s="10" t="str">
        <f aca="false">IF($G45&gt;0,"○","")</f>
        <v/>
      </c>
      <c r="I45" s="10" t="str">
        <f aca="false">IF($H45="","",ROUND(SUMIFS(05_施策抽出!$C:$C,05_施策抽出!$E:$E,$A45,05_施策抽出!$B:$B,"○")*02_施策マスター!$P45*02_施策マスター!$K45,1))</f>
        <v/>
      </c>
      <c r="J45" s="10" t="str">
        <f aca="false">IF($I45="","",$I45+(1000-ROW())/1000000)</f>
        <v/>
      </c>
      <c r="K45" s="10" t="str">
        <f aca="false">IF($H45="","",COUNTIFS($D$2:$D$208,$D45,$J$2:$J$208,"&gt;"&amp;$J45)+1)</f>
        <v/>
      </c>
      <c r="L45" s="10" t="str">
        <f aca="false">IF($K45="","",$D45&amp;"-"&amp;$K45)</f>
        <v/>
      </c>
    </row>
    <row r="46" customFormat="false" ht="26.85" hidden="false" customHeight="false" outlineLevel="0" collapsed="false">
      <c r="A46" s="10" t="str">
        <f aca="false">02_施策マスター!A46</f>
        <v>AIMF-ID-CTX-001</v>
      </c>
      <c r="B46" s="10" t="str">
        <f aca="false">02_施策マスター!B46</f>
        <v>AIユースケース登録と事業オーナーの明確化</v>
      </c>
      <c r="C46" s="10" t="str">
        <f aca="false">02_施策マスター!C46</f>
        <v>ID</v>
      </c>
      <c r="D46" s="10" t="str">
        <f aca="false">02_施策マスター!O46</f>
        <v>短期</v>
      </c>
      <c r="E46" s="10" t="n">
        <f aca="false">02_施策マスター!I46</f>
        <v>3</v>
      </c>
      <c r="F46" s="10" t="n">
        <f aca="false">02_施策マスター!H46</f>
        <v>2</v>
      </c>
      <c r="G46" s="10" t="n">
        <f aca="false">COUNTIFS(05_施策抽出!$E:$E,$A46,05_施策抽出!$B:$B,"○")</f>
        <v>0</v>
      </c>
      <c r="H46" s="10" t="str">
        <f aca="false">IF($G46&gt;0,"○","")</f>
        <v/>
      </c>
      <c r="I46" s="10" t="str">
        <f aca="false">IF($H46="","",ROUND(SUMIFS(05_施策抽出!$C:$C,05_施策抽出!$E:$E,$A46,05_施策抽出!$B:$B,"○")*02_施策マスター!$P46*02_施策マスター!$K46,1))</f>
        <v/>
      </c>
      <c r="J46" s="10" t="str">
        <f aca="false">IF($I46="","",$I46+(1000-ROW())/1000000)</f>
        <v/>
      </c>
      <c r="K46" s="10" t="str">
        <f aca="false">IF($H46="","",COUNTIFS($D$2:$D$208,$D46,$J$2:$J$208,"&gt;"&amp;$J46)+1)</f>
        <v/>
      </c>
      <c r="L46" s="10" t="str">
        <f aca="false">IF($K46="","",$D46&amp;"-"&amp;$K46)</f>
        <v/>
      </c>
    </row>
    <row r="47" customFormat="false" ht="26.85" hidden="false" customHeight="false" outlineLevel="0" collapsed="false">
      <c r="A47" s="10" t="str">
        <f aca="false">02_施策マスター!A47</f>
        <v>AIMF-ID-CTX-002</v>
      </c>
      <c r="B47" s="10" t="str">
        <f aca="false">02_施策マスター!B47</f>
        <v>ユースケースのクリティカリティ判定</v>
      </c>
      <c r="C47" s="10" t="str">
        <f aca="false">02_施策マスター!C47</f>
        <v>ID</v>
      </c>
      <c r="D47" s="10" t="str">
        <f aca="false">02_施策マスター!O47</f>
        <v>短期</v>
      </c>
      <c r="E47" s="10" t="n">
        <f aca="false">02_施策マスター!I47</f>
        <v>3</v>
      </c>
      <c r="F47" s="10" t="n">
        <f aca="false">02_施策マスター!H47</f>
        <v>2</v>
      </c>
      <c r="G47" s="10" t="n">
        <f aca="false">COUNTIFS(05_施策抽出!$E:$E,$A47,05_施策抽出!$B:$B,"○")</f>
        <v>0</v>
      </c>
      <c r="H47" s="10" t="str">
        <f aca="false">IF($G47&gt;0,"○","")</f>
        <v/>
      </c>
      <c r="I47" s="10" t="str">
        <f aca="false">IF($H47="","",ROUND(SUMIFS(05_施策抽出!$C:$C,05_施策抽出!$E:$E,$A47,05_施策抽出!$B:$B,"○")*02_施策マスター!$P47*02_施策マスター!$K47,1))</f>
        <v/>
      </c>
      <c r="J47" s="10" t="str">
        <f aca="false">IF($I47="","",$I47+(1000-ROW())/1000000)</f>
        <v/>
      </c>
      <c r="K47" s="10" t="str">
        <f aca="false">IF($H47="","",COUNTIFS($D$2:$D$208,$D47,$J$2:$J$208,"&gt;"&amp;$J47)+1)</f>
        <v/>
      </c>
      <c r="L47" s="10" t="str">
        <f aca="false">IF($K47="","",$D47&amp;"-"&amp;$K47)</f>
        <v/>
      </c>
    </row>
    <row r="48" customFormat="false" ht="15" hidden="false" customHeight="false" outlineLevel="0" collapsed="false">
      <c r="A48" s="10" t="str">
        <f aca="false">02_施策マスター!A48</f>
        <v>AIMF-ID-CTX-003</v>
      </c>
      <c r="B48" s="10" t="str">
        <f aca="false">02_施策マスター!B48</f>
        <v>AI障害時の業務影響分析（BIA）</v>
      </c>
      <c r="C48" s="10" t="str">
        <f aca="false">02_施策マスター!C48</f>
        <v>ID</v>
      </c>
      <c r="D48" s="10" t="str">
        <f aca="false">02_施策マスター!O48</f>
        <v>短期</v>
      </c>
      <c r="E48" s="10" t="n">
        <f aca="false">02_施策マスター!I48</f>
        <v>3</v>
      </c>
      <c r="F48" s="10" t="n">
        <f aca="false">02_施策マスター!H48</f>
        <v>2</v>
      </c>
      <c r="G48" s="10" t="n">
        <f aca="false">COUNTIFS(05_施策抽出!$E:$E,$A48,05_施策抽出!$B:$B,"○")</f>
        <v>0</v>
      </c>
      <c r="H48" s="10" t="str">
        <f aca="false">IF($G48&gt;0,"○","")</f>
        <v/>
      </c>
      <c r="I48" s="10" t="str">
        <f aca="false">IF($H48="","",ROUND(SUMIFS(05_施策抽出!$C:$C,05_施策抽出!$E:$E,$A48,05_施策抽出!$B:$B,"○")*02_施策マスター!$P48*02_施策マスター!$K48,1))</f>
        <v/>
      </c>
      <c r="J48" s="10" t="str">
        <f aca="false">IF($I48="","",$I48+(1000-ROW())/1000000)</f>
        <v/>
      </c>
      <c r="K48" s="10" t="str">
        <f aca="false">IF($H48="","",COUNTIFS($D$2:$D$208,$D48,$J$2:$J$208,"&gt;"&amp;$J48)+1)</f>
        <v/>
      </c>
      <c r="L48" s="10" t="str">
        <f aca="false">IF($K48="","",$D48&amp;"-"&amp;$K48)</f>
        <v/>
      </c>
    </row>
    <row r="49" customFormat="false" ht="15" hidden="false" customHeight="false" outlineLevel="0" collapsed="false">
      <c r="A49" s="10" t="str">
        <f aca="false">02_施策マスター!A49</f>
        <v>AIMF-ID-CTX-004</v>
      </c>
      <c r="B49" s="10" t="str">
        <f aca="false">02_施策マスター!B49</f>
        <v>非AI代替手段の維持判断</v>
      </c>
      <c r="C49" s="10" t="str">
        <f aca="false">02_施策マスター!C49</f>
        <v>ID</v>
      </c>
      <c r="D49" s="10" t="str">
        <f aca="false">02_施策マスター!O49</f>
        <v>中期</v>
      </c>
      <c r="E49" s="10" t="n">
        <f aca="false">02_施策マスター!I49</f>
        <v>6</v>
      </c>
      <c r="F49" s="10" t="n">
        <f aca="false">02_施策マスター!H49</f>
        <v>3</v>
      </c>
      <c r="G49" s="10" t="n">
        <f aca="false">COUNTIFS(05_施策抽出!$E:$E,$A49,05_施策抽出!$B:$B,"○")</f>
        <v>0</v>
      </c>
      <c r="H49" s="10" t="str">
        <f aca="false">IF($G49&gt;0,"○","")</f>
        <v/>
      </c>
      <c r="I49" s="10" t="str">
        <f aca="false">IF($H49="","",ROUND(SUMIFS(05_施策抽出!$C:$C,05_施策抽出!$E:$E,$A49,05_施策抽出!$B:$B,"○")*02_施策マスター!$P49*02_施策マスター!$K49,1))</f>
        <v/>
      </c>
      <c r="J49" s="10" t="str">
        <f aca="false">IF($I49="","",$I49+(1000-ROW())/1000000)</f>
        <v/>
      </c>
      <c r="K49" s="10" t="str">
        <f aca="false">IF($H49="","",COUNTIFS($D$2:$D$208,$D49,$J$2:$J$208,"&gt;"&amp;$J49)+1)</f>
        <v/>
      </c>
      <c r="L49" s="10" t="str">
        <f aca="false">IF($K49="","",$D49&amp;"-"&amp;$K49)</f>
        <v/>
      </c>
    </row>
    <row r="50" customFormat="false" ht="26.85" hidden="false" customHeight="false" outlineLevel="0" collapsed="false">
      <c r="A50" s="10" t="str">
        <f aca="false">02_施策マスター!A50</f>
        <v>AIMF-ID-SCM-001</v>
      </c>
      <c r="B50" s="10" t="str">
        <f aca="false">02_施策マスター!B50</f>
        <v>AIセキュリティのベンダー評価と管理</v>
      </c>
      <c r="C50" s="10" t="str">
        <f aca="false">02_施策マスター!C50</f>
        <v>ID</v>
      </c>
      <c r="D50" s="10" t="str">
        <f aca="false">02_施策マスター!O50</f>
        <v>中期</v>
      </c>
      <c r="E50" s="10" t="n">
        <f aca="false">02_施策マスター!I50</f>
        <v>6</v>
      </c>
      <c r="F50" s="10" t="n">
        <f aca="false">02_施策マスター!H50</f>
        <v>3</v>
      </c>
      <c r="G50" s="10" t="n">
        <f aca="false">COUNTIFS(05_施策抽出!$E:$E,$A50,05_施策抽出!$B:$B,"○")</f>
        <v>0</v>
      </c>
      <c r="H50" s="10" t="str">
        <f aca="false">IF($G50&gt;0,"○","")</f>
        <v/>
      </c>
      <c r="I50" s="10" t="str">
        <f aca="false">IF($H50="","",ROUND(SUMIFS(05_施策抽出!$C:$C,05_施策抽出!$E:$E,$A50,05_施策抽出!$B:$B,"○")*02_施策マスター!$P50*02_施策マスター!$K50,1))</f>
        <v/>
      </c>
      <c r="J50" s="10" t="str">
        <f aca="false">IF($I50="","",$I50+(1000-ROW())/1000000)</f>
        <v/>
      </c>
      <c r="K50" s="10" t="str">
        <f aca="false">IF($H50="","",COUNTIFS($D$2:$D$208,$D50,$J$2:$J$208,"&gt;"&amp;$J50)+1)</f>
        <v/>
      </c>
      <c r="L50" s="10" t="str">
        <f aca="false">IF($K50="","",$D50&amp;"-"&amp;$K50)</f>
        <v/>
      </c>
    </row>
    <row r="51" customFormat="false" ht="22.35" hidden="false" customHeight="false" outlineLevel="0" collapsed="false">
      <c r="A51" s="10" t="str">
        <f aca="false">02_施策マスター!A51</f>
        <v>AIMF-ID-SCM-002</v>
      </c>
      <c r="B51" s="10" t="str">
        <f aca="false">02_施策マスター!B51</f>
        <v>SBOMの自動生成・継続的管理</v>
      </c>
      <c r="C51" s="10" t="str">
        <f aca="false">02_施策マスター!C51</f>
        <v>ID</v>
      </c>
      <c r="D51" s="10" t="str">
        <f aca="false">02_施策マスター!O51</f>
        <v>中期</v>
      </c>
      <c r="E51" s="10" t="n">
        <f aca="false">02_施策マスター!I51</f>
        <v>6</v>
      </c>
      <c r="F51" s="10" t="n">
        <f aca="false">02_施策マスター!H51</f>
        <v>3</v>
      </c>
      <c r="G51" s="10" t="n">
        <f aca="false">COUNTIFS(05_施策抽出!$E:$E,$A51,05_施策抽出!$B:$B,"○")</f>
        <v>0</v>
      </c>
      <c r="H51" s="10" t="str">
        <f aca="false">IF($G51&gt;0,"○","")</f>
        <v/>
      </c>
      <c r="I51" s="10" t="str">
        <f aca="false">IF($H51="","",ROUND(SUMIFS(05_施策抽出!$C:$C,05_施策抽出!$E:$E,$A51,05_施策抽出!$B:$B,"○")*02_施策マスター!$P51*02_施策マスター!$K51,1))</f>
        <v/>
      </c>
      <c r="J51" s="10" t="str">
        <f aca="false">IF($I51="","",$I51+(1000-ROW())/1000000)</f>
        <v/>
      </c>
      <c r="K51" s="10" t="str">
        <f aca="false">IF($H51="","",COUNTIFS($D$2:$D$208,$D51,$J$2:$J$208,"&gt;"&amp;$J51)+1)</f>
        <v/>
      </c>
      <c r="L51" s="10" t="str">
        <f aca="false">IF($K51="","",$D51&amp;"-"&amp;$K51)</f>
        <v/>
      </c>
    </row>
    <row r="52" customFormat="false" ht="22.35" hidden="false" customHeight="false" outlineLevel="0" collapsed="false">
      <c r="A52" s="10" t="str">
        <f aca="false">02_施策マスター!A52</f>
        <v>AIMF-ID-SCM-003</v>
      </c>
      <c r="B52" s="10" t="str">
        <f aca="false">02_施策マスター!B52</f>
        <v>AI-BOMによるAI特有資産の管理</v>
      </c>
      <c r="C52" s="10" t="str">
        <f aca="false">02_施策マスター!C52</f>
        <v>ID</v>
      </c>
      <c r="D52" s="10" t="str">
        <f aca="false">02_施策マスター!O52</f>
        <v>長期</v>
      </c>
      <c r="E52" s="10" t="n">
        <f aca="false">02_施策マスター!I52</f>
        <v>9</v>
      </c>
      <c r="F52" s="10" t="n">
        <f aca="false">02_施策マスター!H52</f>
        <v>4</v>
      </c>
      <c r="G52" s="10" t="n">
        <f aca="false">COUNTIFS(05_施策抽出!$E:$E,$A52,05_施策抽出!$B:$B,"○")</f>
        <v>0</v>
      </c>
      <c r="H52" s="10" t="str">
        <f aca="false">IF($G52&gt;0,"○","")</f>
        <v/>
      </c>
      <c r="I52" s="10" t="str">
        <f aca="false">IF($H52="","",ROUND(SUMIFS(05_施策抽出!$C:$C,05_施策抽出!$E:$E,$A52,05_施策抽出!$B:$B,"○")*02_施策マスター!$P52*02_施策マスター!$K52,1))</f>
        <v/>
      </c>
      <c r="J52" s="10" t="str">
        <f aca="false">IF($I52="","",$I52+(1000-ROW())/1000000)</f>
        <v/>
      </c>
      <c r="K52" s="10" t="str">
        <f aca="false">IF($H52="","",COUNTIFS($D$2:$D$208,$D52,$J$2:$J$208,"&gt;"&amp;$J52)+1)</f>
        <v/>
      </c>
      <c r="L52" s="10" t="str">
        <f aca="false">IF($K52="","",$D52&amp;"-"&amp;$K52)</f>
        <v/>
      </c>
    </row>
    <row r="53" customFormat="false" ht="26.85" hidden="false" customHeight="false" outlineLevel="0" collapsed="false">
      <c r="A53" s="10" t="str">
        <f aca="false">02_施策マスター!A53</f>
        <v>AIMF-ID-SCM-004</v>
      </c>
      <c r="B53" s="10" t="str">
        <f aca="false">02_施策マスター!B53</f>
        <v>モデル・データセット供給元の来歴検証</v>
      </c>
      <c r="C53" s="10" t="str">
        <f aca="false">02_施策マスター!C53</f>
        <v>ID</v>
      </c>
      <c r="D53" s="10" t="str">
        <f aca="false">02_施策マスター!O53</f>
        <v>長期</v>
      </c>
      <c r="E53" s="10" t="n">
        <f aca="false">02_施策マスター!I53</f>
        <v>9</v>
      </c>
      <c r="F53" s="10" t="n">
        <f aca="false">02_施策マスター!H53</f>
        <v>4</v>
      </c>
      <c r="G53" s="10" t="n">
        <f aca="false">COUNTIFS(05_施策抽出!$E:$E,$A53,05_施策抽出!$B:$B,"○")</f>
        <v>0</v>
      </c>
      <c r="H53" s="10" t="str">
        <f aca="false">IF($G53&gt;0,"○","")</f>
        <v/>
      </c>
      <c r="I53" s="10" t="str">
        <f aca="false">IF($H53="","",ROUND(SUMIFS(05_施策抽出!$C:$C,05_施策抽出!$E:$E,$A53,05_施策抽出!$B:$B,"○")*02_施策マスター!$P53*02_施策マスター!$K53,1))</f>
        <v/>
      </c>
      <c r="J53" s="10" t="str">
        <f aca="false">IF($I53="","",$I53+(1000-ROW())/1000000)</f>
        <v/>
      </c>
      <c r="K53" s="10" t="str">
        <f aca="false">IF($H53="","",COUNTIFS($D$2:$D$208,$D53,$J$2:$J$208,"&gt;"&amp;$J53)+1)</f>
        <v/>
      </c>
      <c r="L53" s="10" t="str">
        <f aca="false">IF($K53="","",$D53&amp;"-"&amp;$K53)</f>
        <v/>
      </c>
    </row>
    <row r="54" customFormat="false" ht="26.85" hidden="false" customHeight="false" outlineLevel="0" collapsed="false">
      <c r="A54" s="10" t="str">
        <f aca="false">02_施策マスター!A54</f>
        <v>AIMF-ID-SCM-005</v>
      </c>
      <c r="B54" s="10" t="str">
        <f aca="false">02_施策マスター!B54</f>
        <v>MCPサーバー・プラグイン・エージェントツールの事前審査</v>
      </c>
      <c r="C54" s="10" t="str">
        <f aca="false">02_施策マスター!C54</f>
        <v>ID</v>
      </c>
      <c r="D54" s="10" t="str">
        <f aca="false">02_施策マスター!O54</f>
        <v>長期</v>
      </c>
      <c r="E54" s="10" t="n">
        <f aca="false">02_施策マスター!I54</f>
        <v>9</v>
      </c>
      <c r="F54" s="10" t="n">
        <f aca="false">02_施策マスター!H54</f>
        <v>4</v>
      </c>
      <c r="G54" s="10" t="n">
        <f aca="false">COUNTIFS(05_施策抽出!$E:$E,$A54,05_施策抽出!$B:$B,"○")</f>
        <v>0</v>
      </c>
      <c r="H54" s="10" t="str">
        <f aca="false">IF($G54&gt;0,"○","")</f>
        <v/>
      </c>
      <c r="I54" s="10" t="str">
        <f aca="false">IF($H54="","",ROUND(SUMIFS(05_施策抽出!$C:$C,05_施策抽出!$E:$E,$A54,05_施策抽出!$B:$B,"○")*02_施策マスター!$P54*02_施策マスター!$K54,1))</f>
        <v/>
      </c>
      <c r="J54" s="10" t="str">
        <f aca="false">IF($I54="","",$I54+(1000-ROW())/1000000)</f>
        <v/>
      </c>
      <c r="K54" s="10" t="str">
        <f aca="false">IF($H54="","",COUNTIFS($D$2:$D$208,$D54,$J$2:$J$208,"&gt;"&amp;$J54)+1)</f>
        <v/>
      </c>
      <c r="L54" s="10" t="str">
        <f aca="false">IF($K54="","",$D54&amp;"-"&amp;$K54)</f>
        <v/>
      </c>
    </row>
    <row r="55" customFormat="false" ht="22.35" hidden="false" customHeight="false" outlineLevel="0" collapsed="false">
      <c r="A55" s="10" t="str">
        <f aca="false">02_施策マスター!A55</f>
        <v>AIMF-ID-SCM-006</v>
      </c>
      <c r="B55" s="10" t="str">
        <f aca="false">02_施策マスター!B55</f>
        <v>AIサービスの集中リスク評価</v>
      </c>
      <c r="C55" s="10" t="str">
        <f aca="false">02_施策マスター!C55</f>
        <v>ID</v>
      </c>
      <c r="D55" s="10" t="str">
        <f aca="false">02_施策マスター!O55</f>
        <v>中期</v>
      </c>
      <c r="E55" s="10" t="n">
        <f aca="false">02_施策マスター!I55</f>
        <v>6</v>
      </c>
      <c r="F55" s="10" t="n">
        <f aca="false">02_施策マスター!H55</f>
        <v>3</v>
      </c>
      <c r="G55" s="10" t="n">
        <f aca="false">COUNTIFS(05_施策抽出!$E:$E,$A55,05_施策抽出!$B:$B,"○")</f>
        <v>0</v>
      </c>
      <c r="H55" s="10" t="str">
        <f aca="false">IF($G55&gt;0,"○","")</f>
        <v/>
      </c>
      <c r="I55" s="10" t="str">
        <f aca="false">IF($H55="","",ROUND(SUMIFS(05_施策抽出!$C:$C,05_施策抽出!$E:$E,$A55,05_施策抽出!$B:$B,"○")*02_施策マスター!$P55*02_施策マスター!$K55,1))</f>
        <v/>
      </c>
      <c r="J55" s="10" t="str">
        <f aca="false">IF($I55="","",$I55+(1000-ROW())/1000000)</f>
        <v/>
      </c>
      <c r="K55" s="10" t="str">
        <f aca="false">IF($H55="","",COUNTIFS($D$2:$D$208,$D55,$J$2:$J$208,"&gt;"&amp;$J55)+1)</f>
        <v/>
      </c>
      <c r="L55" s="10" t="str">
        <f aca="false">IF($K55="","",$D55&amp;"-"&amp;$K55)</f>
        <v/>
      </c>
    </row>
    <row r="56" customFormat="false" ht="26.85" hidden="false" customHeight="false" outlineLevel="0" collapsed="false">
      <c r="A56" s="10" t="str">
        <f aca="false">02_施策マスター!A56</f>
        <v>AIMF-ID-SCM-007</v>
      </c>
      <c r="B56" s="10" t="str">
        <f aca="false">02_施策マスター!B56</f>
        <v>AI調達契約のセキュリティ・責任分界条項</v>
      </c>
      <c r="C56" s="10" t="str">
        <f aca="false">02_施策マスター!C56</f>
        <v>ID</v>
      </c>
      <c r="D56" s="10" t="str">
        <f aca="false">02_施策マスター!O56</f>
        <v>中期</v>
      </c>
      <c r="E56" s="10" t="n">
        <f aca="false">02_施策マスター!I56</f>
        <v>6</v>
      </c>
      <c r="F56" s="10" t="n">
        <f aca="false">02_施策マスター!H56</f>
        <v>3</v>
      </c>
      <c r="G56" s="10" t="n">
        <f aca="false">COUNTIFS(05_施策抽出!$E:$E,$A56,05_施策抽出!$B:$B,"○")</f>
        <v>0</v>
      </c>
      <c r="H56" s="10" t="str">
        <f aca="false">IF($G56&gt;0,"○","")</f>
        <v/>
      </c>
      <c r="I56" s="10" t="str">
        <f aca="false">IF($H56="","",ROUND(SUMIFS(05_施策抽出!$C:$C,05_施策抽出!$E:$E,$A56,05_施策抽出!$B:$B,"○")*02_施策マスター!$P56*02_施策マスター!$K56,1))</f>
        <v/>
      </c>
      <c r="J56" s="10" t="str">
        <f aca="false">IF($I56="","",$I56+(1000-ROW())/1000000)</f>
        <v/>
      </c>
      <c r="K56" s="10" t="str">
        <f aca="false">IF($H56="","",COUNTIFS($D$2:$D$208,$D56,$J$2:$J$208,"&gt;"&amp;$J56)+1)</f>
        <v/>
      </c>
      <c r="L56" s="10" t="str">
        <f aca="false">IF($K56="","",$D56&amp;"-"&amp;$K56)</f>
        <v/>
      </c>
    </row>
    <row r="57" customFormat="false" ht="26.85" hidden="false" customHeight="false" outlineLevel="0" collapsed="false">
      <c r="A57" s="10" t="str">
        <f aca="false">02_施策マスター!A57</f>
        <v>AIMF-ID-SCM-008</v>
      </c>
      <c r="B57" s="10" t="str">
        <f aca="false">02_施策マスター!B57</f>
        <v>オープンウェイトモデル利用時の評価基準</v>
      </c>
      <c r="C57" s="10" t="str">
        <f aca="false">02_施策マスター!C57</f>
        <v>ID</v>
      </c>
      <c r="D57" s="10" t="str">
        <f aca="false">02_施策マスター!O57</f>
        <v>長期</v>
      </c>
      <c r="E57" s="10" t="n">
        <f aca="false">02_施策マスター!I57</f>
        <v>9</v>
      </c>
      <c r="F57" s="10" t="n">
        <f aca="false">02_施策マスター!H57</f>
        <v>4</v>
      </c>
      <c r="G57" s="10" t="n">
        <f aca="false">COUNTIFS(05_施策抽出!$E:$E,$A57,05_施策抽出!$B:$B,"○")</f>
        <v>0</v>
      </c>
      <c r="H57" s="10" t="str">
        <f aca="false">IF($G57&gt;0,"○","")</f>
        <v/>
      </c>
      <c r="I57" s="10" t="str">
        <f aca="false">IF($H57="","",ROUND(SUMIFS(05_施策抽出!$C:$C,05_施策抽出!$E:$E,$A57,05_施策抽出!$B:$B,"○")*02_施策マスター!$P57*02_施策マスター!$K57,1))</f>
        <v/>
      </c>
      <c r="J57" s="10" t="str">
        <f aca="false">IF($I57="","",$I57+(1000-ROW())/1000000)</f>
        <v/>
      </c>
      <c r="K57" s="10" t="str">
        <f aca="false">IF($H57="","",COUNTIFS($D$2:$D$208,$D57,$J$2:$J$208,"&gt;"&amp;$J57)+1)</f>
        <v/>
      </c>
      <c r="L57" s="10" t="str">
        <f aca="false">IF($K57="","",$D57&amp;"-"&amp;$K57)</f>
        <v/>
      </c>
    </row>
    <row r="58" customFormat="false" ht="26.85" hidden="false" customHeight="false" outlineLevel="0" collapsed="false">
      <c r="A58" s="10" t="str">
        <f aca="false">02_施策マスター!A58</f>
        <v>AIMF-ID-DGV-001</v>
      </c>
      <c r="B58" s="10" t="str">
        <f aca="false">02_施策マスター!B58</f>
        <v>学習・チューニングデータのガバナンス</v>
      </c>
      <c r="C58" s="10" t="str">
        <f aca="false">02_施策マスター!C58</f>
        <v>ID</v>
      </c>
      <c r="D58" s="10" t="str">
        <f aca="false">02_施策マスター!O58</f>
        <v>中期</v>
      </c>
      <c r="E58" s="10" t="n">
        <f aca="false">02_施策マスター!I58</f>
        <v>6</v>
      </c>
      <c r="F58" s="10" t="n">
        <f aca="false">02_施策マスター!H58</f>
        <v>3</v>
      </c>
      <c r="G58" s="10" t="n">
        <f aca="false">COUNTIFS(05_施策抽出!$E:$E,$A58,05_施策抽出!$B:$B,"○")</f>
        <v>0</v>
      </c>
      <c r="H58" s="10" t="str">
        <f aca="false">IF($G58&gt;0,"○","")</f>
        <v/>
      </c>
      <c r="I58" s="10" t="str">
        <f aca="false">IF($H58="","",ROUND(SUMIFS(05_施策抽出!$C:$C,05_施策抽出!$E:$E,$A58,05_施策抽出!$B:$B,"○")*02_施策マスター!$P58*02_施策マスター!$K58,1))</f>
        <v/>
      </c>
      <c r="J58" s="10" t="str">
        <f aca="false">IF($I58="","",$I58+(1000-ROW())/1000000)</f>
        <v/>
      </c>
      <c r="K58" s="10" t="str">
        <f aca="false">IF($H58="","",COUNTIFS($D$2:$D$208,$D58,$J$2:$J$208,"&gt;"&amp;$J58)+1)</f>
        <v/>
      </c>
      <c r="L58" s="10" t="str">
        <f aca="false">IF($K58="","",$D58&amp;"-"&amp;$K58)</f>
        <v/>
      </c>
    </row>
    <row r="59" customFormat="false" ht="22.35" hidden="false" customHeight="false" outlineLevel="0" collapsed="false">
      <c r="A59" s="10" t="str">
        <f aca="false">02_施策マスター!A59</f>
        <v>AIMF-ID-DGV-002</v>
      </c>
      <c r="B59" s="10" t="str">
        <f aca="false">02_施策マスター!B59</f>
        <v>データ分類とAI利用可否ラベル</v>
      </c>
      <c r="C59" s="10" t="str">
        <f aca="false">02_施策マスター!C59</f>
        <v>ID</v>
      </c>
      <c r="D59" s="10" t="str">
        <f aca="false">02_施策マスター!O59</f>
        <v>短期</v>
      </c>
      <c r="E59" s="10" t="n">
        <f aca="false">02_施策マスター!I59</f>
        <v>3</v>
      </c>
      <c r="F59" s="10" t="n">
        <f aca="false">02_施策マスター!H59</f>
        <v>2</v>
      </c>
      <c r="G59" s="10" t="n">
        <f aca="false">COUNTIFS(05_施策抽出!$E:$E,$A59,05_施策抽出!$B:$B,"○")</f>
        <v>0</v>
      </c>
      <c r="H59" s="10" t="str">
        <f aca="false">IF($G59&gt;0,"○","")</f>
        <v/>
      </c>
      <c r="I59" s="10" t="str">
        <f aca="false">IF($H59="","",ROUND(SUMIFS(05_施策抽出!$C:$C,05_施策抽出!$E:$E,$A59,05_施策抽出!$B:$B,"○")*02_施策マスター!$P59*02_施策マスター!$K59,1))</f>
        <v/>
      </c>
      <c r="J59" s="10" t="str">
        <f aca="false">IF($I59="","",$I59+(1000-ROW())/1000000)</f>
        <v/>
      </c>
      <c r="K59" s="10" t="str">
        <f aca="false">IF($H59="","",COUNTIFS($D$2:$D$208,$D59,$J$2:$J$208,"&gt;"&amp;$J59)+1)</f>
        <v/>
      </c>
      <c r="L59" s="10" t="str">
        <f aca="false">IF($K59="","",$D59&amp;"-"&amp;$K59)</f>
        <v/>
      </c>
    </row>
    <row r="60" customFormat="false" ht="26.85" hidden="false" customHeight="false" outlineLevel="0" collapsed="false">
      <c r="A60" s="10" t="str">
        <f aca="false">02_施策マスター!A60</f>
        <v>AIMF-ID-DGV-003</v>
      </c>
      <c r="B60" s="10" t="str">
        <f aca="false">02_施策マスター!B60</f>
        <v>学習・RAGデータの来歴（プロビナンス）記録</v>
      </c>
      <c r="C60" s="10" t="str">
        <f aca="false">02_施策マスター!C60</f>
        <v>ID</v>
      </c>
      <c r="D60" s="10" t="str">
        <f aca="false">02_施策マスター!O60</f>
        <v>中期</v>
      </c>
      <c r="E60" s="10" t="n">
        <f aca="false">02_施策マスター!I60</f>
        <v>6</v>
      </c>
      <c r="F60" s="10" t="n">
        <f aca="false">02_施策マスター!H60</f>
        <v>3</v>
      </c>
      <c r="G60" s="10" t="n">
        <f aca="false">COUNTIFS(05_施策抽出!$E:$E,$A60,05_施策抽出!$B:$B,"○")</f>
        <v>0</v>
      </c>
      <c r="H60" s="10" t="str">
        <f aca="false">IF($G60&gt;0,"○","")</f>
        <v/>
      </c>
      <c r="I60" s="10" t="str">
        <f aca="false">IF($H60="","",ROUND(SUMIFS(05_施策抽出!$C:$C,05_施策抽出!$E:$E,$A60,05_施策抽出!$B:$B,"○")*02_施策マスター!$P60*02_施策マスター!$K60,1))</f>
        <v/>
      </c>
      <c r="J60" s="10" t="str">
        <f aca="false">IF($I60="","",$I60+(1000-ROW())/1000000)</f>
        <v/>
      </c>
      <c r="K60" s="10" t="str">
        <f aca="false">IF($H60="","",COUNTIFS($D$2:$D$208,$D60,$J$2:$J$208,"&gt;"&amp;$J60)+1)</f>
        <v/>
      </c>
      <c r="L60" s="10" t="str">
        <f aca="false">IF($K60="","",$D60&amp;"-"&amp;$K60)</f>
        <v/>
      </c>
    </row>
    <row r="61" customFormat="false" ht="22.35" hidden="false" customHeight="false" outlineLevel="0" collapsed="false">
      <c r="A61" s="10" t="str">
        <f aca="false">02_施策マスター!A61</f>
        <v>AIMF-ID-DGV-004</v>
      </c>
      <c r="B61" s="10" t="str">
        <f aca="false">02_施策マスター!B61</f>
        <v>合成データの生成・利用統制</v>
      </c>
      <c r="C61" s="10" t="str">
        <f aca="false">02_施策マスター!C61</f>
        <v>ID</v>
      </c>
      <c r="D61" s="10" t="str">
        <f aca="false">02_施策マスター!O61</f>
        <v>中期</v>
      </c>
      <c r="E61" s="10" t="n">
        <f aca="false">02_施策マスター!I61</f>
        <v>6</v>
      </c>
      <c r="F61" s="10" t="n">
        <f aca="false">02_施策マスター!H61</f>
        <v>3</v>
      </c>
      <c r="G61" s="10" t="n">
        <f aca="false">COUNTIFS(05_施策抽出!$E:$E,$A61,05_施策抽出!$B:$B,"○")</f>
        <v>0</v>
      </c>
      <c r="H61" s="10" t="str">
        <f aca="false">IF($G61&gt;0,"○","")</f>
        <v/>
      </c>
      <c r="I61" s="10" t="str">
        <f aca="false">IF($H61="","",ROUND(SUMIFS(05_施策抽出!$C:$C,05_施策抽出!$E:$E,$A61,05_施策抽出!$B:$B,"○")*02_施策マスター!$P61*02_施策マスター!$K61,1))</f>
        <v/>
      </c>
      <c r="J61" s="10" t="str">
        <f aca="false">IF($I61="","",$I61+(1000-ROW())/1000000)</f>
        <v/>
      </c>
      <c r="K61" s="10" t="str">
        <f aca="false">IF($H61="","",COUNTIFS($D$2:$D$208,$D61,$J$2:$J$208,"&gt;"&amp;$J61)+1)</f>
        <v/>
      </c>
      <c r="L61" s="10" t="str">
        <f aca="false">IF($K61="","",$D61&amp;"-"&amp;$K61)</f>
        <v/>
      </c>
    </row>
    <row r="62" customFormat="false" ht="26.85" hidden="false" customHeight="false" outlineLevel="0" collapsed="false">
      <c r="A62" s="10" t="str">
        <f aca="false">02_施策マスター!A62</f>
        <v>AIMF-ID-DGV-005</v>
      </c>
      <c r="B62" s="10" t="str">
        <f aca="false">02_施策マスター!B62</f>
        <v>データ保持・削除ポリシーのAIパイプライン適用</v>
      </c>
      <c r="C62" s="10" t="str">
        <f aca="false">02_施策マスター!C62</f>
        <v>ID</v>
      </c>
      <c r="D62" s="10" t="str">
        <f aca="false">02_施策マスター!O62</f>
        <v>短期</v>
      </c>
      <c r="E62" s="10" t="n">
        <f aca="false">02_施策マスター!I62</f>
        <v>3</v>
      </c>
      <c r="F62" s="10" t="n">
        <f aca="false">02_施策マスター!H62</f>
        <v>2</v>
      </c>
      <c r="G62" s="10" t="n">
        <f aca="false">COUNTIFS(05_施策抽出!$E:$E,$A62,05_施策抽出!$B:$B,"○")</f>
        <v>0</v>
      </c>
      <c r="H62" s="10" t="str">
        <f aca="false">IF($G62&gt;0,"○","")</f>
        <v/>
      </c>
      <c r="I62" s="10" t="str">
        <f aca="false">IF($H62="","",ROUND(SUMIFS(05_施策抽出!$C:$C,05_施策抽出!$E:$E,$A62,05_施策抽出!$B:$B,"○")*02_施策マスター!$P62*02_施策マスター!$K62,1))</f>
        <v/>
      </c>
      <c r="J62" s="10" t="str">
        <f aca="false">IF($I62="","",$I62+(1000-ROW())/1000000)</f>
        <v/>
      </c>
      <c r="K62" s="10" t="str">
        <f aca="false">IF($H62="","",COUNTIFS($D$2:$D$208,$D62,$J$2:$J$208,"&gt;"&amp;$J62)+1)</f>
        <v/>
      </c>
      <c r="L62" s="10" t="str">
        <f aca="false">IF($K62="","",$D62&amp;"-"&amp;$K62)</f>
        <v/>
      </c>
    </row>
    <row r="63" customFormat="false" ht="26.85" hidden="false" customHeight="false" outlineLevel="0" collapsed="false">
      <c r="A63" s="10" t="str">
        <f aca="false">02_施策マスター!A63</f>
        <v>AIMF-ID-THR-001</v>
      </c>
      <c r="B63" s="10" t="str">
        <f aca="false">02_施策マスター!B63</f>
        <v>MITRE ATLASに基づくAI脅威モデリング</v>
      </c>
      <c r="C63" s="10" t="str">
        <f aca="false">02_施策マスター!C63</f>
        <v>ID</v>
      </c>
      <c r="D63" s="10" t="str">
        <f aca="false">02_施策マスター!O63</f>
        <v>中期</v>
      </c>
      <c r="E63" s="10" t="n">
        <f aca="false">02_施策マスター!I63</f>
        <v>6</v>
      </c>
      <c r="F63" s="10" t="n">
        <f aca="false">02_施策マスター!H63</f>
        <v>3</v>
      </c>
      <c r="G63" s="10" t="n">
        <f aca="false">COUNTIFS(05_施策抽出!$E:$E,$A63,05_施策抽出!$B:$B,"○")</f>
        <v>0</v>
      </c>
      <c r="H63" s="10" t="str">
        <f aca="false">IF($G63&gt;0,"○","")</f>
        <v/>
      </c>
      <c r="I63" s="10" t="str">
        <f aca="false">IF($H63="","",ROUND(SUMIFS(05_施策抽出!$C:$C,05_施策抽出!$E:$E,$A63,05_施策抽出!$B:$B,"○")*02_施策マスター!$P63*02_施策マスター!$K63,1))</f>
        <v/>
      </c>
      <c r="J63" s="10" t="str">
        <f aca="false">IF($I63="","",$I63+(1000-ROW())/1000000)</f>
        <v/>
      </c>
      <c r="K63" s="10" t="str">
        <f aca="false">IF($H63="","",COUNTIFS($D$2:$D$208,$D63,$J$2:$J$208,"&gt;"&amp;$J63)+1)</f>
        <v/>
      </c>
      <c r="L63" s="10" t="str">
        <f aca="false">IF($K63="","",$D63&amp;"-"&amp;$K63)</f>
        <v/>
      </c>
    </row>
    <row r="64" customFormat="false" ht="26.85" hidden="false" customHeight="false" outlineLevel="0" collapsed="false">
      <c r="A64" s="10" t="str">
        <f aca="false">02_施策マスター!A64</f>
        <v>AIMF-ID-THR-002</v>
      </c>
      <c r="B64" s="10" t="str">
        <f aca="false">02_施策マスター!B64</f>
        <v>エージェントシステムのアタックサーフェス分析</v>
      </c>
      <c r="C64" s="10" t="str">
        <f aca="false">02_施策マスター!C64</f>
        <v>ID</v>
      </c>
      <c r="D64" s="10" t="str">
        <f aca="false">02_施策マスター!O64</f>
        <v>中期</v>
      </c>
      <c r="E64" s="10" t="n">
        <f aca="false">02_施策マスター!I64</f>
        <v>6</v>
      </c>
      <c r="F64" s="10" t="n">
        <f aca="false">02_施策マスター!H64</f>
        <v>3</v>
      </c>
      <c r="G64" s="10" t="n">
        <f aca="false">COUNTIFS(05_施策抽出!$E:$E,$A64,05_施策抽出!$B:$B,"○")</f>
        <v>0</v>
      </c>
      <c r="H64" s="10" t="str">
        <f aca="false">IF($G64&gt;0,"○","")</f>
        <v/>
      </c>
      <c r="I64" s="10" t="str">
        <f aca="false">IF($H64="","",ROUND(SUMIFS(05_施策抽出!$C:$C,05_施策抽出!$E:$E,$A64,05_施策抽出!$B:$B,"○")*02_施策マスター!$P64*02_施策マスター!$K64,1))</f>
        <v/>
      </c>
      <c r="J64" s="10" t="str">
        <f aca="false">IF($I64="","",$I64+(1000-ROW())/1000000)</f>
        <v/>
      </c>
      <c r="K64" s="10" t="str">
        <f aca="false">IF($H64="","",COUNTIFS($D$2:$D$208,$D64,$J$2:$J$208,"&gt;"&amp;$J64)+1)</f>
        <v/>
      </c>
      <c r="L64" s="10" t="str">
        <f aca="false">IF($K64="","",$D64&amp;"-"&amp;$K64)</f>
        <v/>
      </c>
    </row>
    <row r="65" customFormat="false" ht="26.85" hidden="false" customHeight="false" outlineLevel="0" collapsed="false">
      <c r="A65" s="10" t="str">
        <f aca="false">02_施策マスター!A65</f>
        <v>AIMF-ID-THR-003</v>
      </c>
      <c r="B65" s="10" t="str">
        <f aca="false">02_施策マスター!B65</f>
        <v>AI脅威インテリジェンスの収集・共有</v>
      </c>
      <c r="C65" s="10" t="str">
        <f aca="false">02_施策マスター!C65</f>
        <v>ID</v>
      </c>
      <c r="D65" s="10" t="str">
        <f aca="false">02_施策マスター!O65</f>
        <v>短期</v>
      </c>
      <c r="E65" s="10" t="n">
        <f aca="false">02_施策マスター!I65</f>
        <v>3</v>
      </c>
      <c r="F65" s="10" t="n">
        <f aca="false">02_施策マスター!H65</f>
        <v>2</v>
      </c>
      <c r="G65" s="10" t="n">
        <f aca="false">COUNTIFS(05_施策抽出!$E:$E,$A65,05_施策抽出!$B:$B,"○")</f>
        <v>0</v>
      </c>
      <c r="H65" s="10" t="str">
        <f aca="false">IF($G65&gt;0,"○","")</f>
        <v/>
      </c>
      <c r="I65" s="10" t="str">
        <f aca="false">IF($H65="","",ROUND(SUMIFS(05_施策抽出!$C:$C,05_施策抽出!$E:$E,$A65,05_施策抽出!$B:$B,"○")*02_施策マスター!$P65*02_施策マスター!$K65,1))</f>
        <v/>
      </c>
      <c r="J65" s="10" t="str">
        <f aca="false">IF($I65="","",$I65+(1000-ROW())/1000000)</f>
        <v/>
      </c>
      <c r="K65" s="10" t="str">
        <f aca="false">IF($H65="","",COUNTIFS($D$2:$D$208,$D65,$J$2:$J$208,"&gt;"&amp;$J65)+1)</f>
        <v/>
      </c>
      <c r="L65" s="10" t="str">
        <f aca="false">IF($K65="","",$D65&amp;"-"&amp;$K65)</f>
        <v/>
      </c>
    </row>
    <row r="66" customFormat="false" ht="15" hidden="false" customHeight="false" outlineLevel="0" collapsed="false">
      <c r="A66" s="10" t="str">
        <f aca="false">02_施策マスター!A66</f>
        <v>AIMF-ID-THR-004</v>
      </c>
      <c r="B66" s="10" t="str">
        <f aca="false">02_施策マスター!B66</f>
        <v>AI脅威シナリオライブラリの整備</v>
      </c>
      <c r="C66" s="10" t="str">
        <f aca="false">02_施策マスター!C66</f>
        <v>ID</v>
      </c>
      <c r="D66" s="10" t="str">
        <f aca="false">02_施策マスター!O66</f>
        <v>中期</v>
      </c>
      <c r="E66" s="10" t="n">
        <f aca="false">02_施策マスター!I66</f>
        <v>6</v>
      </c>
      <c r="F66" s="10" t="n">
        <f aca="false">02_施策マスター!H66</f>
        <v>3</v>
      </c>
      <c r="G66" s="10" t="n">
        <f aca="false">COUNTIFS(05_施策抽出!$E:$E,$A66,05_施策抽出!$B:$B,"○")</f>
        <v>0</v>
      </c>
      <c r="H66" s="10" t="str">
        <f aca="false">IF($G66&gt;0,"○","")</f>
        <v/>
      </c>
      <c r="I66" s="10" t="str">
        <f aca="false">IF($H66="","",ROUND(SUMIFS(05_施策抽出!$C:$C,05_施策抽出!$E:$E,$A66,05_施策抽出!$B:$B,"○")*02_施策マスター!$P66*02_施策マスター!$K66,1))</f>
        <v/>
      </c>
      <c r="J66" s="10" t="str">
        <f aca="false">IF($I66="","",$I66+(1000-ROW())/1000000)</f>
        <v/>
      </c>
      <c r="K66" s="10" t="str">
        <f aca="false">IF($H66="","",COUNTIFS($D$2:$D$208,$D66,$J$2:$J$208,"&gt;"&amp;$J66)+1)</f>
        <v/>
      </c>
      <c r="L66" s="10" t="str">
        <f aca="false">IF($K66="","",$D66&amp;"-"&amp;$K66)</f>
        <v/>
      </c>
    </row>
    <row r="67" customFormat="false" ht="22.35" hidden="false" customHeight="false" outlineLevel="0" collapsed="false">
      <c r="A67" s="10" t="str">
        <f aca="false">02_施策マスター!A67</f>
        <v>AIMF-PR-VUL-001</v>
      </c>
      <c r="B67" s="10" t="str">
        <f aca="false">02_施策マスター!B67</f>
        <v>脆弱性トリアージ自動化プロセス</v>
      </c>
      <c r="C67" s="10" t="str">
        <f aca="false">02_施策マスター!C67</f>
        <v>PR</v>
      </c>
      <c r="D67" s="10" t="str">
        <f aca="false">02_施策マスター!O67</f>
        <v>中期</v>
      </c>
      <c r="E67" s="10" t="n">
        <f aca="false">02_施策マスター!I67</f>
        <v>6</v>
      </c>
      <c r="F67" s="10" t="n">
        <f aca="false">02_施策マスター!H67</f>
        <v>3</v>
      </c>
      <c r="G67" s="10" t="n">
        <f aca="false">COUNTIFS(05_施策抽出!$E:$E,$A67,05_施策抽出!$B:$B,"○")</f>
        <v>0</v>
      </c>
      <c r="H67" s="10" t="str">
        <f aca="false">IF($G67&gt;0,"○","")</f>
        <v/>
      </c>
      <c r="I67" s="10" t="str">
        <f aca="false">IF($H67="","",ROUND(SUMIFS(05_施策抽出!$C:$C,05_施策抽出!$E:$E,$A67,05_施策抽出!$B:$B,"○")*02_施策マスター!$P67*02_施策マスター!$K67,1))</f>
        <v/>
      </c>
      <c r="J67" s="10" t="str">
        <f aca="false">IF($I67="","",$I67+(1000-ROW())/1000000)</f>
        <v/>
      </c>
      <c r="K67" s="10" t="str">
        <f aca="false">IF($H67="","",COUNTIFS($D$2:$D$208,$D67,$J$2:$J$208,"&gt;"&amp;$J67)+1)</f>
        <v/>
      </c>
      <c r="L67" s="10" t="str">
        <f aca="false">IF($K67="","",$D67&amp;"-"&amp;$K67)</f>
        <v/>
      </c>
    </row>
    <row r="68" customFormat="false" ht="22.35" hidden="false" customHeight="false" outlineLevel="0" collapsed="false">
      <c r="A68" s="10" t="str">
        <f aca="false">02_施策マスター!A68</f>
        <v>AIMF-PR-VUL-002</v>
      </c>
      <c r="B68" s="10" t="str">
        <f aca="false">02_施策マスター!B68</f>
        <v>IaCによる迅速な脆弱性適用基盤</v>
      </c>
      <c r="C68" s="10" t="str">
        <f aca="false">02_施策マスター!C68</f>
        <v>PR</v>
      </c>
      <c r="D68" s="10" t="str">
        <f aca="false">02_施策マスター!O68</f>
        <v>中期</v>
      </c>
      <c r="E68" s="10" t="n">
        <f aca="false">02_施策マスター!I68</f>
        <v>6</v>
      </c>
      <c r="F68" s="10" t="n">
        <f aca="false">02_施策マスター!H68</f>
        <v>3</v>
      </c>
      <c r="G68" s="10" t="n">
        <f aca="false">COUNTIFS(05_施策抽出!$E:$E,$A68,05_施策抽出!$B:$B,"○")</f>
        <v>0</v>
      </c>
      <c r="H68" s="10" t="str">
        <f aca="false">IF($G68&gt;0,"○","")</f>
        <v/>
      </c>
      <c r="I68" s="10" t="str">
        <f aca="false">IF($H68="","",ROUND(SUMIFS(05_施策抽出!$C:$C,05_施策抽出!$E:$E,$A68,05_施策抽出!$B:$B,"○")*02_施策マスター!$P68*02_施策マスター!$K68,1))</f>
        <v/>
      </c>
      <c r="J68" s="10" t="str">
        <f aca="false">IF($I68="","",$I68+(1000-ROW())/1000000)</f>
        <v/>
      </c>
      <c r="K68" s="10" t="str">
        <f aca="false">IF($H68="","",COUNTIFS($D$2:$D$208,$D68,$J$2:$J$208,"&gt;"&amp;$J68)+1)</f>
        <v/>
      </c>
      <c r="L68" s="10" t="str">
        <f aca="false">IF($K68="","",$D68&amp;"-"&amp;$K68)</f>
        <v/>
      </c>
    </row>
    <row r="69" customFormat="false" ht="26.85" hidden="false" customHeight="false" outlineLevel="0" collapsed="false">
      <c r="A69" s="10" t="str">
        <f aca="false">02_施策マスター!A69</f>
        <v>AIMF-PR-VUL-003</v>
      </c>
      <c r="B69" s="10" t="str">
        <f aca="false">02_施策マスター!B69</f>
        <v>コンテナイメージの自動パッチ適用パイプライン</v>
      </c>
      <c r="C69" s="10" t="str">
        <f aca="false">02_施策マスター!C69</f>
        <v>PR</v>
      </c>
      <c r="D69" s="10" t="str">
        <f aca="false">02_施策マスター!O69</f>
        <v>中期</v>
      </c>
      <c r="E69" s="10" t="n">
        <f aca="false">02_施策マスター!I69</f>
        <v>6</v>
      </c>
      <c r="F69" s="10" t="n">
        <f aca="false">02_施策マスター!H69</f>
        <v>3</v>
      </c>
      <c r="G69" s="10" t="n">
        <f aca="false">COUNTIFS(05_施策抽出!$E:$E,$A69,05_施策抽出!$B:$B,"○")</f>
        <v>0</v>
      </c>
      <c r="H69" s="10" t="str">
        <f aca="false">IF($G69&gt;0,"○","")</f>
        <v/>
      </c>
      <c r="I69" s="10" t="str">
        <f aca="false">IF($H69="","",ROUND(SUMIFS(05_施策抽出!$C:$C,05_施策抽出!$E:$E,$A69,05_施策抽出!$B:$B,"○")*02_施策マスター!$P69*02_施策マスター!$K69,1))</f>
        <v/>
      </c>
      <c r="J69" s="10" t="str">
        <f aca="false">IF($I69="","",$I69+(1000-ROW())/1000000)</f>
        <v/>
      </c>
      <c r="K69" s="10" t="str">
        <f aca="false">IF($H69="","",COUNTIFS($D$2:$D$208,$D69,$J$2:$J$208,"&gt;"&amp;$J69)+1)</f>
        <v/>
      </c>
      <c r="L69" s="10" t="str">
        <f aca="false">IF($K69="","",$D69&amp;"-"&amp;$K69)</f>
        <v/>
      </c>
    </row>
    <row r="70" customFormat="false" ht="22.35" hidden="false" customHeight="false" outlineLevel="0" collapsed="false">
      <c r="A70" s="10" t="str">
        <f aca="false">02_施策マスター!A70</f>
        <v>AIMF-PR-VUL-004</v>
      </c>
      <c r="B70" s="10" t="str">
        <f aca="false">02_施策マスター!B70</f>
        <v>仮想パッチ・緩和策の適用</v>
      </c>
      <c r="C70" s="10" t="str">
        <f aca="false">02_施策マスター!C70</f>
        <v>PR</v>
      </c>
      <c r="D70" s="10" t="str">
        <f aca="false">02_施策マスター!O70</f>
        <v>中期</v>
      </c>
      <c r="E70" s="10" t="n">
        <f aca="false">02_施策マスター!I70</f>
        <v>6</v>
      </c>
      <c r="F70" s="10" t="n">
        <f aca="false">02_施策マスター!H70</f>
        <v>3</v>
      </c>
      <c r="G70" s="10" t="n">
        <f aca="false">COUNTIFS(05_施策抽出!$E:$E,$A70,05_施策抽出!$B:$B,"○")</f>
        <v>0</v>
      </c>
      <c r="H70" s="10" t="str">
        <f aca="false">IF($G70&gt;0,"○","")</f>
        <v/>
      </c>
      <c r="I70" s="10" t="str">
        <f aca="false">IF($H70="","",ROUND(SUMIFS(05_施策抽出!$C:$C,05_施策抽出!$E:$E,$A70,05_施策抽出!$B:$B,"○")*02_施策マスター!$P70*02_施策マスター!$K70,1))</f>
        <v/>
      </c>
      <c r="J70" s="10" t="str">
        <f aca="false">IF($I70="","",$I70+(1000-ROW())/1000000)</f>
        <v/>
      </c>
      <c r="K70" s="10" t="str">
        <f aca="false">IF($H70="","",COUNTIFS($D$2:$D$208,$D70,$J$2:$J$208,"&gt;"&amp;$J70)+1)</f>
        <v/>
      </c>
      <c r="L70" s="10" t="str">
        <f aca="false">IF($K70="","",$D70&amp;"-"&amp;$K70)</f>
        <v/>
      </c>
    </row>
    <row r="71" customFormat="false" ht="26.85" hidden="false" customHeight="false" outlineLevel="0" collapsed="false">
      <c r="A71" s="10" t="str">
        <f aca="false">02_施策マスター!A71</f>
        <v>AIMF-PR-VUL-005</v>
      </c>
      <c r="B71" s="10" t="str">
        <f aca="false">02_施策マスター!B71</f>
        <v>EOL・レガシーAIコンポーネントの管理</v>
      </c>
      <c r="C71" s="10" t="str">
        <f aca="false">02_施策マスター!C71</f>
        <v>PR</v>
      </c>
      <c r="D71" s="10" t="str">
        <f aca="false">02_施策マスター!O71</f>
        <v>中期</v>
      </c>
      <c r="E71" s="10" t="n">
        <f aca="false">02_施策マスター!I71</f>
        <v>6</v>
      </c>
      <c r="F71" s="10" t="n">
        <f aca="false">02_施策マスター!H71</f>
        <v>3</v>
      </c>
      <c r="G71" s="10" t="n">
        <f aca="false">COUNTIFS(05_施策抽出!$E:$E,$A71,05_施策抽出!$B:$B,"○")</f>
        <v>0</v>
      </c>
      <c r="H71" s="10" t="str">
        <f aca="false">IF($G71&gt;0,"○","")</f>
        <v/>
      </c>
      <c r="I71" s="10" t="str">
        <f aca="false">IF($H71="","",ROUND(SUMIFS(05_施策抽出!$C:$C,05_施策抽出!$E:$E,$A71,05_施策抽出!$B:$B,"○")*02_施策マスター!$P71*02_施策マスター!$K71,1))</f>
        <v/>
      </c>
      <c r="J71" s="10" t="str">
        <f aca="false">IF($I71="","",$I71+(1000-ROW())/1000000)</f>
        <v/>
      </c>
      <c r="K71" s="10" t="str">
        <f aca="false">IF($H71="","",COUNTIFS($D$2:$D$208,$D71,$J$2:$J$208,"&gt;"&amp;$J71)+1)</f>
        <v/>
      </c>
      <c r="L71" s="10" t="str">
        <f aca="false">IF($K71="","",$D71&amp;"-"&amp;$K71)</f>
        <v/>
      </c>
    </row>
    <row r="72" customFormat="false" ht="15" hidden="false" customHeight="false" outlineLevel="0" collapsed="false">
      <c r="A72" s="10" t="str">
        <f aca="false">02_施策マスター!A72</f>
        <v>AIMF-PR-INF-001</v>
      </c>
      <c r="B72" s="10" t="str">
        <f aca="false">02_施策マスター!B72</f>
        <v>AIネットワーク環境の閉域化</v>
      </c>
      <c r="C72" s="10" t="str">
        <f aca="false">02_施策マスター!C72</f>
        <v>PR</v>
      </c>
      <c r="D72" s="10" t="str">
        <f aca="false">02_施策マスター!O72</f>
        <v>中期</v>
      </c>
      <c r="E72" s="10" t="n">
        <f aca="false">02_施策マスター!I72</f>
        <v>6</v>
      </c>
      <c r="F72" s="10" t="n">
        <f aca="false">02_施策マスター!H72</f>
        <v>3</v>
      </c>
      <c r="G72" s="10" t="n">
        <f aca="false">COUNTIFS(05_施策抽出!$E:$E,$A72,05_施策抽出!$B:$B,"○")</f>
        <v>0</v>
      </c>
      <c r="H72" s="10" t="str">
        <f aca="false">IF($G72&gt;0,"○","")</f>
        <v/>
      </c>
      <c r="I72" s="10" t="str">
        <f aca="false">IF($H72="","",ROUND(SUMIFS(05_施策抽出!$C:$C,05_施策抽出!$E:$E,$A72,05_施策抽出!$B:$B,"○")*02_施策マスター!$P72*02_施策マスター!$K72,1))</f>
        <v/>
      </c>
      <c r="J72" s="10" t="str">
        <f aca="false">IF($I72="","",$I72+(1000-ROW())/1000000)</f>
        <v/>
      </c>
      <c r="K72" s="10" t="str">
        <f aca="false">IF($H72="","",COUNTIFS($D$2:$D$208,$D72,$J$2:$J$208,"&gt;"&amp;$J72)+1)</f>
        <v/>
      </c>
      <c r="L72" s="10" t="str">
        <f aca="false">IF($K72="","",$D72&amp;"-"&amp;$K72)</f>
        <v/>
      </c>
    </row>
    <row r="73" customFormat="false" ht="26.85" hidden="false" customHeight="false" outlineLevel="0" collapsed="false">
      <c r="A73" s="10" t="str">
        <f aca="false">02_施策マスター!A73</f>
        <v>AIMF-PR-INF-002</v>
      </c>
      <c r="B73" s="10" t="str">
        <f aca="false">02_施策マスター!B73</f>
        <v>コンテナ・オーケストレーション基盤の堅牢化</v>
      </c>
      <c r="C73" s="10" t="str">
        <f aca="false">02_施策マスター!C73</f>
        <v>PR</v>
      </c>
      <c r="D73" s="10" t="str">
        <f aca="false">02_施策マスター!O73</f>
        <v>中期</v>
      </c>
      <c r="E73" s="10" t="n">
        <f aca="false">02_施策マスター!I73</f>
        <v>6</v>
      </c>
      <c r="F73" s="10" t="n">
        <f aca="false">02_施策マスター!H73</f>
        <v>3</v>
      </c>
      <c r="G73" s="10" t="n">
        <f aca="false">COUNTIFS(05_施策抽出!$E:$E,$A73,05_施策抽出!$B:$B,"○")</f>
        <v>0</v>
      </c>
      <c r="H73" s="10" t="str">
        <f aca="false">IF($G73&gt;0,"○","")</f>
        <v/>
      </c>
      <c r="I73" s="10" t="str">
        <f aca="false">IF($H73="","",ROUND(SUMIFS(05_施策抽出!$C:$C,05_施策抽出!$E:$E,$A73,05_施策抽出!$B:$B,"○")*02_施策マスター!$P73*02_施策マスター!$K73,1))</f>
        <v/>
      </c>
      <c r="J73" s="10" t="str">
        <f aca="false">IF($I73="","",$I73+(1000-ROW())/1000000)</f>
        <v/>
      </c>
      <c r="K73" s="10" t="str">
        <f aca="false">IF($H73="","",COUNTIFS($D$2:$D$208,$D73,$J$2:$J$208,"&gt;"&amp;$J73)+1)</f>
        <v/>
      </c>
      <c r="L73" s="10" t="str">
        <f aca="false">IF($K73="","",$D73&amp;"-"&amp;$K73)</f>
        <v/>
      </c>
    </row>
    <row r="74" customFormat="false" ht="26.85" hidden="false" customHeight="false" outlineLevel="0" collapsed="false">
      <c r="A74" s="10" t="str">
        <f aca="false">02_施策マスター!A74</f>
        <v>AIMF-PR-INF-003</v>
      </c>
      <c r="B74" s="10" t="str">
        <f aca="false">02_施策マスター!B74</f>
        <v>ストレージ・データの暗号化（データ・アット・レスト）</v>
      </c>
      <c r="C74" s="10" t="str">
        <f aca="false">02_施策マスター!C74</f>
        <v>PR</v>
      </c>
      <c r="D74" s="10" t="str">
        <f aca="false">02_施策マスター!O74</f>
        <v>中期</v>
      </c>
      <c r="E74" s="10" t="n">
        <f aca="false">02_施策マスター!I74</f>
        <v>6</v>
      </c>
      <c r="F74" s="10" t="n">
        <f aca="false">02_施策マスター!H74</f>
        <v>3</v>
      </c>
      <c r="G74" s="10" t="n">
        <f aca="false">COUNTIFS(05_施策抽出!$E:$E,$A74,05_施策抽出!$B:$B,"○")</f>
        <v>0</v>
      </c>
      <c r="H74" s="10" t="str">
        <f aca="false">IF($G74&gt;0,"○","")</f>
        <v/>
      </c>
      <c r="I74" s="10" t="str">
        <f aca="false">IF($H74="","",ROUND(SUMIFS(05_施策抽出!$C:$C,05_施策抽出!$E:$E,$A74,05_施策抽出!$B:$B,"○")*02_施策マスター!$P74*02_施策マスター!$K74,1))</f>
        <v/>
      </c>
      <c r="J74" s="10" t="str">
        <f aca="false">IF($I74="","",$I74+(1000-ROW())/1000000)</f>
        <v/>
      </c>
      <c r="K74" s="10" t="str">
        <f aca="false">IF($H74="","",COUNTIFS($D$2:$D$208,$D74,$J$2:$J$208,"&gt;"&amp;$J74)+1)</f>
        <v/>
      </c>
      <c r="L74" s="10" t="str">
        <f aca="false">IF($K74="","",$D74&amp;"-"&amp;$K74)</f>
        <v/>
      </c>
    </row>
    <row r="75" customFormat="false" ht="26.85" hidden="false" customHeight="false" outlineLevel="0" collapsed="false">
      <c r="A75" s="10" t="str">
        <f aca="false">02_施策マスター!A75</f>
        <v>AIMF-PR-INF-004</v>
      </c>
      <c r="B75" s="10" t="str">
        <f aca="false">02_施策マスター!B75</f>
        <v>GPU・アクセラレータのマルチテナント分離</v>
      </c>
      <c r="C75" s="10" t="str">
        <f aca="false">02_施策マスター!C75</f>
        <v>PR</v>
      </c>
      <c r="D75" s="10" t="str">
        <f aca="false">02_施策マスター!O75</f>
        <v>長期</v>
      </c>
      <c r="E75" s="10" t="n">
        <f aca="false">02_施策マスター!I75</f>
        <v>9</v>
      </c>
      <c r="F75" s="10" t="n">
        <f aca="false">02_施策マスター!H75</f>
        <v>4</v>
      </c>
      <c r="G75" s="10" t="n">
        <f aca="false">COUNTIFS(05_施策抽出!$E:$E,$A75,05_施策抽出!$B:$B,"○")</f>
        <v>0</v>
      </c>
      <c r="H75" s="10" t="str">
        <f aca="false">IF($G75&gt;0,"○","")</f>
        <v/>
      </c>
      <c r="I75" s="10" t="str">
        <f aca="false">IF($H75="","",ROUND(SUMIFS(05_施策抽出!$C:$C,05_施策抽出!$E:$E,$A75,05_施策抽出!$B:$B,"○")*02_施策マスター!$P75*02_施策マスター!$K75,1))</f>
        <v/>
      </c>
      <c r="J75" s="10" t="str">
        <f aca="false">IF($I75="","",$I75+(1000-ROW())/1000000)</f>
        <v/>
      </c>
      <c r="K75" s="10" t="str">
        <f aca="false">IF($H75="","",COUNTIFS($D$2:$D$208,$D75,$J$2:$J$208,"&gt;"&amp;$J75)+1)</f>
        <v/>
      </c>
      <c r="L75" s="10" t="str">
        <f aca="false">IF($K75="","",$D75&amp;"-"&amp;$K75)</f>
        <v/>
      </c>
    </row>
    <row r="76" customFormat="false" ht="26.85" hidden="false" customHeight="false" outlineLevel="0" collapsed="false">
      <c r="A76" s="10" t="str">
        <f aca="false">02_施策マスター!A76</f>
        <v>AIMF-PR-INF-005</v>
      </c>
      <c r="B76" s="10" t="str">
        <f aca="false">02_施策マスター!B76</f>
        <v>推論エンドポイント・モデルAPIの保護</v>
      </c>
      <c r="C76" s="10" t="str">
        <f aca="false">02_施策マスター!C76</f>
        <v>PR</v>
      </c>
      <c r="D76" s="10" t="str">
        <f aca="false">02_施策マスター!O76</f>
        <v>中期</v>
      </c>
      <c r="E76" s="10" t="n">
        <f aca="false">02_施策マスター!I76</f>
        <v>6</v>
      </c>
      <c r="F76" s="10" t="n">
        <f aca="false">02_施策マスター!H76</f>
        <v>3</v>
      </c>
      <c r="G76" s="10" t="n">
        <f aca="false">COUNTIFS(05_施策抽出!$E:$E,$A76,05_施策抽出!$B:$B,"○")</f>
        <v>0</v>
      </c>
      <c r="H76" s="10" t="str">
        <f aca="false">IF($G76&gt;0,"○","")</f>
        <v/>
      </c>
      <c r="I76" s="10" t="str">
        <f aca="false">IF($H76="","",ROUND(SUMIFS(05_施策抽出!$C:$C,05_施策抽出!$E:$E,$A76,05_施策抽出!$B:$B,"○")*02_施策マスター!$P76*02_施策マスター!$K76,1))</f>
        <v/>
      </c>
      <c r="J76" s="10" t="str">
        <f aca="false">IF($I76="","",$I76+(1000-ROW())/1000000)</f>
        <v/>
      </c>
      <c r="K76" s="10" t="str">
        <f aca="false">IF($H76="","",COUNTIFS($D$2:$D$208,$D76,$J$2:$J$208,"&gt;"&amp;$J76)+1)</f>
        <v/>
      </c>
      <c r="L76" s="10" t="str">
        <f aca="false">IF($K76="","",$D76&amp;"-"&amp;$K76)</f>
        <v/>
      </c>
    </row>
    <row r="77" customFormat="false" ht="15" hidden="false" customHeight="false" outlineLevel="0" collapsed="false">
      <c r="A77" s="10" t="str">
        <f aca="false">02_施策マスター!A77</f>
        <v>AIMF-PR-INF-006</v>
      </c>
      <c r="B77" s="10" t="str">
        <f aca="false">02_施策マスター!B77</f>
        <v>開発・学習環境と本番環境の分離</v>
      </c>
      <c r="C77" s="10" t="str">
        <f aca="false">02_施策マスター!C77</f>
        <v>PR</v>
      </c>
      <c r="D77" s="10" t="str">
        <f aca="false">02_施策マスター!O77</f>
        <v>中期</v>
      </c>
      <c r="E77" s="10" t="n">
        <f aca="false">02_施策マスター!I77</f>
        <v>6</v>
      </c>
      <c r="F77" s="10" t="n">
        <f aca="false">02_施策マスター!H77</f>
        <v>3</v>
      </c>
      <c r="G77" s="10" t="n">
        <f aca="false">COUNTIFS(05_施策抽出!$E:$E,$A77,05_施策抽出!$B:$B,"○")</f>
        <v>0</v>
      </c>
      <c r="H77" s="10" t="str">
        <f aca="false">IF($G77&gt;0,"○","")</f>
        <v/>
      </c>
      <c r="I77" s="10" t="str">
        <f aca="false">IF($H77="","",ROUND(SUMIFS(05_施策抽出!$C:$C,05_施策抽出!$E:$E,$A77,05_施策抽出!$B:$B,"○")*02_施策マスター!$P77*02_施策マスター!$K77,1))</f>
        <v/>
      </c>
      <c r="J77" s="10" t="str">
        <f aca="false">IF($I77="","",$I77+(1000-ROW())/1000000)</f>
        <v/>
      </c>
      <c r="K77" s="10" t="str">
        <f aca="false">IF($H77="","",COUNTIFS($D$2:$D$208,$D77,$J$2:$J$208,"&gt;"&amp;$J77)+1)</f>
        <v/>
      </c>
      <c r="L77" s="10" t="str">
        <f aca="false">IF($K77="","",$D77&amp;"-"&amp;$K77)</f>
        <v/>
      </c>
    </row>
    <row r="78" customFormat="false" ht="26.85" hidden="false" customHeight="false" outlineLevel="0" collapsed="false">
      <c r="A78" s="10" t="str">
        <f aca="false">02_施策マスター!A78</f>
        <v>AIMF-PR-INF-007</v>
      </c>
      <c r="B78" s="10" t="str">
        <f aca="false">02_施策マスター!B78</f>
        <v>AIリソース設定のセキュリティベースライン</v>
      </c>
      <c r="C78" s="10" t="str">
        <f aca="false">02_施策マスター!C78</f>
        <v>PR</v>
      </c>
      <c r="D78" s="10" t="str">
        <f aca="false">02_施策マスター!O78</f>
        <v>中期</v>
      </c>
      <c r="E78" s="10" t="n">
        <f aca="false">02_施策マスター!I78</f>
        <v>6</v>
      </c>
      <c r="F78" s="10" t="n">
        <f aca="false">02_施策マスター!H78</f>
        <v>3</v>
      </c>
      <c r="G78" s="10" t="n">
        <f aca="false">COUNTIFS(05_施策抽出!$E:$E,$A78,05_施策抽出!$B:$B,"○")</f>
        <v>0</v>
      </c>
      <c r="H78" s="10" t="str">
        <f aca="false">IF($G78&gt;0,"○","")</f>
        <v/>
      </c>
      <c r="I78" s="10" t="str">
        <f aca="false">IF($H78="","",ROUND(SUMIFS(05_施策抽出!$C:$C,05_施策抽出!$E:$E,$A78,05_施策抽出!$B:$B,"○")*02_施策マスター!$P78*02_施策マスター!$K78,1))</f>
        <v/>
      </c>
      <c r="J78" s="10" t="str">
        <f aca="false">IF($I78="","",$I78+(1000-ROW())/1000000)</f>
        <v/>
      </c>
      <c r="K78" s="10" t="str">
        <f aca="false">IF($H78="","",COUNTIFS($D$2:$D$208,$D78,$J$2:$J$208,"&gt;"&amp;$J78)+1)</f>
        <v/>
      </c>
      <c r="L78" s="10" t="str">
        <f aca="false">IF($K78="","",$D78&amp;"-"&amp;$K78)</f>
        <v/>
      </c>
    </row>
    <row r="79" customFormat="false" ht="26.85" hidden="false" customHeight="false" outlineLevel="0" collapsed="false">
      <c r="A79" s="10" t="str">
        <f aca="false">02_施策マスター!A79</f>
        <v>AIMF-PR-IAM-001</v>
      </c>
      <c r="B79" s="10" t="str">
        <f aca="false">02_施策マスター!B79</f>
        <v>RAGデータアクセス権（ACL）の同期</v>
      </c>
      <c r="C79" s="10" t="str">
        <f aca="false">02_施策マスター!C79</f>
        <v>PR</v>
      </c>
      <c r="D79" s="10" t="str">
        <f aca="false">02_施策マスター!O79</f>
        <v>長期</v>
      </c>
      <c r="E79" s="10" t="n">
        <f aca="false">02_施策マスター!I79</f>
        <v>9</v>
      </c>
      <c r="F79" s="10" t="n">
        <f aca="false">02_施策マスター!H79</f>
        <v>4</v>
      </c>
      <c r="G79" s="10" t="n">
        <f aca="false">COUNTIFS(05_施策抽出!$E:$E,$A79,05_施策抽出!$B:$B,"○")</f>
        <v>0</v>
      </c>
      <c r="H79" s="10" t="str">
        <f aca="false">IF($G79&gt;0,"○","")</f>
        <v/>
      </c>
      <c r="I79" s="10" t="str">
        <f aca="false">IF($H79="","",ROUND(SUMIFS(05_施策抽出!$C:$C,05_施策抽出!$E:$E,$A79,05_施策抽出!$B:$B,"○")*02_施策マスター!$P79*02_施策マスター!$K79,1))</f>
        <v/>
      </c>
      <c r="J79" s="10" t="str">
        <f aca="false">IF($I79="","",$I79+(1000-ROW())/1000000)</f>
        <v/>
      </c>
      <c r="K79" s="10" t="str">
        <f aca="false">IF($H79="","",COUNTIFS($D$2:$D$208,$D79,$J$2:$J$208,"&gt;"&amp;$J79)+1)</f>
        <v/>
      </c>
      <c r="L79" s="10" t="str">
        <f aca="false">IF($K79="","",$D79&amp;"-"&amp;$K79)</f>
        <v/>
      </c>
    </row>
    <row r="80" customFormat="false" ht="26.85" hidden="false" customHeight="false" outlineLevel="0" collapsed="false">
      <c r="A80" s="10" t="str">
        <f aca="false">02_施策マスター!A80</f>
        <v>AIMF-PR-IAM-002</v>
      </c>
      <c r="B80" s="10" t="str">
        <f aca="false">02_施策マスター!B80</f>
        <v>AIエージェントへの最小権限原則の適用</v>
      </c>
      <c r="C80" s="10" t="str">
        <f aca="false">02_施策マスター!C80</f>
        <v>PR</v>
      </c>
      <c r="D80" s="10" t="str">
        <f aca="false">02_施策マスター!O80</f>
        <v>長期</v>
      </c>
      <c r="E80" s="10" t="n">
        <f aca="false">02_施策マスター!I80</f>
        <v>9</v>
      </c>
      <c r="F80" s="10" t="n">
        <f aca="false">02_施策マスター!H80</f>
        <v>4</v>
      </c>
      <c r="G80" s="10" t="n">
        <f aca="false">COUNTIFS(05_施策抽出!$E:$E,$A80,05_施策抽出!$B:$B,"○")</f>
        <v>0</v>
      </c>
      <c r="H80" s="10" t="str">
        <f aca="false">IF($G80&gt;0,"○","")</f>
        <v/>
      </c>
      <c r="I80" s="10" t="str">
        <f aca="false">IF($H80="","",ROUND(SUMIFS(05_施策抽出!$C:$C,05_施策抽出!$E:$E,$A80,05_施策抽出!$B:$B,"○")*02_施策マスター!$P80*02_施策マスター!$K80,1))</f>
        <v/>
      </c>
      <c r="J80" s="10" t="str">
        <f aca="false">IF($I80="","",$I80+(1000-ROW())/1000000)</f>
        <v/>
      </c>
      <c r="K80" s="10" t="str">
        <f aca="false">IF($H80="","",COUNTIFS($D$2:$D$208,$D80,$J$2:$J$208,"&gt;"&amp;$J80)+1)</f>
        <v/>
      </c>
      <c r="L80" s="10" t="str">
        <f aca="false">IF($K80="","",$D80&amp;"-"&amp;$K80)</f>
        <v/>
      </c>
    </row>
    <row r="81" customFormat="false" ht="26.85" hidden="false" customHeight="false" outlineLevel="0" collapsed="false">
      <c r="A81" s="10" t="str">
        <f aca="false">02_施策マスター!A81</f>
        <v>AIMF-PR-IAM-003</v>
      </c>
      <c r="B81" s="10" t="str">
        <f aca="false">02_施策マスター!B81</f>
        <v>AIクレデンシャル・APIキーの暗号化管理</v>
      </c>
      <c r="C81" s="10" t="str">
        <f aca="false">02_施策マスター!C81</f>
        <v>PR</v>
      </c>
      <c r="D81" s="10" t="str">
        <f aca="false">02_施策マスター!O81</f>
        <v>中期</v>
      </c>
      <c r="E81" s="10" t="n">
        <f aca="false">02_施策マスター!I81</f>
        <v>6</v>
      </c>
      <c r="F81" s="10" t="n">
        <f aca="false">02_施策マスター!H81</f>
        <v>3</v>
      </c>
      <c r="G81" s="10" t="n">
        <f aca="false">COUNTIFS(05_施策抽出!$E:$E,$A81,05_施策抽出!$B:$B,"○")</f>
        <v>0</v>
      </c>
      <c r="H81" s="10" t="str">
        <f aca="false">IF($G81&gt;0,"○","")</f>
        <v/>
      </c>
      <c r="I81" s="10" t="str">
        <f aca="false">IF($H81="","",ROUND(SUMIFS(05_施策抽出!$C:$C,05_施策抽出!$E:$E,$A81,05_施策抽出!$B:$B,"○")*02_施策マスター!$P81*02_施策マスター!$K81,1))</f>
        <v/>
      </c>
      <c r="J81" s="10" t="str">
        <f aca="false">IF($I81="","",$I81+(1000-ROW())/1000000)</f>
        <v/>
      </c>
      <c r="K81" s="10" t="str">
        <f aca="false">IF($H81="","",COUNTIFS($D$2:$D$208,$D81,$J$2:$J$208,"&gt;"&amp;$J81)+1)</f>
        <v/>
      </c>
      <c r="L81" s="10" t="str">
        <f aca="false">IF($K81="","",$D81&amp;"-"&amp;$K81)</f>
        <v/>
      </c>
    </row>
    <row r="82" customFormat="false" ht="26.85" hidden="false" customHeight="false" outlineLevel="0" collapsed="false">
      <c r="A82" s="10" t="str">
        <f aca="false">02_施策マスター!A82</f>
        <v>AIMF-PR-IAM-004</v>
      </c>
      <c r="B82" s="10" t="str">
        <f aca="false">02_施策マスター!B82</f>
        <v>フィッシング耐性MFAの適用（AI管理者・特権）</v>
      </c>
      <c r="C82" s="10" t="str">
        <f aca="false">02_施策マスター!C82</f>
        <v>PR</v>
      </c>
      <c r="D82" s="10" t="str">
        <f aca="false">02_施策マスター!O82</f>
        <v>中期</v>
      </c>
      <c r="E82" s="10" t="n">
        <f aca="false">02_施策マスター!I82</f>
        <v>6</v>
      </c>
      <c r="F82" s="10" t="n">
        <f aca="false">02_施策マスター!H82</f>
        <v>3</v>
      </c>
      <c r="G82" s="10" t="n">
        <f aca="false">COUNTIFS(05_施策抽出!$E:$E,$A82,05_施策抽出!$B:$B,"○")</f>
        <v>0</v>
      </c>
      <c r="H82" s="10" t="str">
        <f aca="false">IF($G82&gt;0,"○","")</f>
        <v/>
      </c>
      <c r="I82" s="10" t="str">
        <f aca="false">IF($H82="","",ROUND(SUMIFS(05_施策抽出!$C:$C,05_施策抽出!$E:$E,$A82,05_施策抽出!$B:$B,"○")*02_施策マスター!$P82*02_施策マスター!$K82,1))</f>
        <v/>
      </c>
      <c r="J82" s="10" t="str">
        <f aca="false">IF($I82="","",$I82+(1000-ROW())/1000000)</f>
        <v/>
      </c>
      <c r="K82" s="10" t="str">
        <f aca="false">IF($H82="","",COUNTIFS($D$2:$D$208,$D82,$J$2:$J$208,"&gt;"&amp;$J82)+1)</f>
        <v/>
      </c>
      <c r="L82" s="10" t="str">
        <f aca="false">IF($K82="","",$D82&amp;"-"&amp;$K82)</f>
        <v/>
      </c>
    </row>
    <row r="83" customFormat="false" ht="26.85" hidden="false" customHeight="false" outlineLevel="0" collapsed="false">
      <c r="A83" s="10" t="str">
        <f aca="false">02_施策マスター!A83</f>
        <v>AIMF-PR-IAM-005</v>
      </c>
      <c r="B83" s="10" t="str">
        <f aca="false">02_施策マスター!B83</f>
        <v>エージェント・サービスアカウントのライフサイクル管理</v>
      </c>
      <c r="C83" s="10" t="str">
        <f aca="false">02_施策マスター!C83</f>
        <v>PR</v>
      </c>
      <c r="D83" s="10" t="str">
        <f aca="false">02_施策マスター!O83</f>
        <v>長期</v>
      </c>
      <c r="E83" s="10" t="n">
        <f aca="false">02_施策マスター!I83</f>
        <v>9</v>
      </c>
      <c r="F83" s="10" t="n">
        <f aca="false">02_施策マスター!H83</f>
        <v>4</v>
      </c>
      <c r="G83" s="10" t="n">
        <f aca="false">COUNTIFS(05_施策抽出!$E:$E,$A83,05_施策抽出!$B:$B,"○")</f>
        <v>0</v>
      </c>
      <c r="H83" s="10" t="str">
        <f aca="false">IF($G83&gt;0,"○","")</f>
        <v/>
      </c>
      <c r="I83" s="10" t="str">
        <f aca="false">IF($H83="","",ROUND(SUMIFS(05_施策抽出!$C:$C,05_施策抽出!$E:$E,$A83,05_施策抽出!$B:$B,"○")*02_施策マスター!$P83*02_施策マスター!$K83,1))</f>
        <v/>
      </c>
      <c r="J83" s="10" t="str">
        <f aca="false">IF($I83="","",$I83+(1000-ROW())/1000000)</f>
        <v/>
      </c>
      <c r="K83" s="10" t="str">
        <f aca="false">IF($H83="","",COUNTIFS($D$2:$D$208,$D83,$J$2:$J$208,"&gt;"&amp;$J83)+1)</f>
        <v/>
      </c>
      <c r="L83" s="10" t="str">
        <f aca="false">IF($K83="","",$D83&amp;"-"&amp;$K83)</f>
        <v/>
      </c>
    </row>
    <row r="84" customFormat="false" ht="26.85" hidden="false" customHeight="false" outlineLevel="0" collapsed="false">
      <c r="A84" s="10" t="str">
        <f aca="false">02_施策マスター!A84</f>
        <v>AIMF-PR-IAM-006</v>
      </c>
      <c r="B84" s="10" t="str">
        <f aca="false">02_施策マスター!B84</f>
        <v>短命トークン・タスクバウンド認可</v>
      </c>
      <c r="C84" s="10" t="str">
        <f aca="false">02_施策マスター!C84</f>
        <v>PR</v>
      </c>
      <c r="D84" s="10" t="str">
        <f aca="false">02_施策マスター!O84</f>
        <v>長期</v>
      </c>
      <c r="E84" s="10" t="n">
        <f aca="false">02_施策マスター!I84</f>
        <v>9</v>
      </c>
      <c r="F84" s="10" t="n">
        <f aca="false">02_施策マスター!H84</f>
        <v>4</v>
      </c>
      <c r="G84" s="10" t="n">
        <f aca="false">COUNTIFS(05_施策抽出!$E:$E,$A84,05_施策抽出!$B:$B,"○")</f>
        <v>0</v>
      </c>
      <c r="H84" s="10" t="str">
        <f aca="false">IF($G84&gt;0,"○","")</f>
        <v/>
      </c>
      <c r="I84" s="10" t="str">
        <f aca="false">IF($H84="","",ROUND(SUMIFS(05_施策抽出!$C:$C,05_施策抽出!$E:$E,$A84,05_施策抽出!$B:$B,"○")*02_施策マスター!$P84*02_施策マスター!$K84,1))</f>
        <v/>
      </c>
      <c r="J84" s="10" t="str">
        <f aca="false">IF($I84="","",$I84+(1000-ROW())/1000000)</f>
        <v/>
      </c>
      <c r="K84" s="10" t="str">
        <f aca="false">IF($H84="","",COUNTIFS($D$2:$D$208,$D84,$J$2:$J$208,"&gt;"&amp;$J84)+1)</f>
        <v/>
      </c>
      <c r="L84" s="10" t="str">
        <f aca="false">IF($K84="","",$D84&amp;"-"&amp;$K84)</f>
        <v/>
      </c>
    </row>
    <row r="85" customFormat="false" ht="26.85" hidden="false" customHeight="false" outlineLevel="0" collapsed="false">
      <c r="A85" s="10" t="str">
        <f aca="false">02_施策マスター!A85</f>
        <v>AIMF-PR-IAM-007</v>
      </c>
      <c r="B85" s="10" t="str">
        <f aca="false">02_施策マスター!B85</f>
        <v>動的な権限昇格の禁止とJITアクセス</v>
      </c>
      <c r="C85" s="10" t="str">
        <f aca="false">02_施策マスター!C85</f>
        <v>PR</v>
      </c>
      <c r="D85" s="10" t="str">
        <f aca="false">02_施策マスター!O85</f>
        <v>長期</v>
      </c>
      <c r="E85" s="10" t="n">
        <f aca="false">02_施策マスター!I85</f>
        <v>9</v>
      </c>
      <c r="F85" s="10" t="n">
        <f aca="false">02_施策マスター!H85</f>
        <v>4</v>
      </c>
      <c r="G85" s="10" t="n">
        <f aca="false">COUNTIFS(05_施策抽出!$E:$E,$A85,05_施策抽出!$B:$B,"○")</f>
        <v>0</v>
      </c>
      <c r="H85" s="10" t="str">
        <f aca="false">IF($G85&gt;0,"○","")</f>
        <v/>
      </c>
      <c r="I85" s="10" t="str">
        <f aca="false">IF($H85="","",ROUND(SUMIFS(05_施策抽出!$C:$C,05_施策抽出!$E:$E,$A85,05_施策抽出!$B:$B,"○")*02_施策マスター!$P85*02_施策マスター!$K85,1))</f>
        <v/>
      </c>
      <c r="J85" s="10" t="str">
        <f aca="false">IF($I85="","",$I85+(1000-ROW())/1000000)</f>
        <v/>
      </c>
      <c r="K85" s="10" t="str">
        <f aca="false">IF($H85="","",COUNTIFS($D$2:$D$208,$D85,$J$2:$J$208,"&gt;"&amp;$J85)+1)</f>
        <v/>
      </c>
      <c r="L85" s="10" t="str">
        <f aca="false">IF($K85="","",$D85&amp;"-"&amp;$K85)</f>
        <v/>
      </c>
    </row>
    <row r="86" customFormat="false" ht="26.85" hidden="false" customHeight="false" outlineLevel="0" collapsed="false">
      <c r="A86" s="10" t="str">
        <f aca="false">02_施策マスター!A86</f>
        <v>AIMF-PR-IAM-008</v>
      </c>
      <c r="B86" s="10" t="str">
        <f aca="false">02_施策マスター!B86</f>
        <v>AIプラットフォームのRBAC/ABAC設計</v>
      </c>
      <c r="C86" s="10" t="str">
        <f aca="false">02_施策マスター!C86</f>
        <v>PR</v>
      </c>
      <c r="D86" s="10" t="str">
        <f aca="false">02_施策マスター!O86</f>
        <v>中期</v>
      </c>
      <c r="E86" s="10" t="n">
        <f aca="false">02_施策マスター!I86</f>
        <v>6</v>
      </c>
      <c r="F86" s="10" t="n">
        <f aca="false">02_施策マスター!H86</f>
        <v>3</v>
      </c>
      <c r="G86" s="10" t="n">
        <f aca="false">COUNTIFS(05_施策抽出!$E:$E,$A86,05_施策抽出!$B:$B,"○")</f>
        <v>0</v>
      </c>
      <c r="H86" s="10" t="str">
        <f aca="false">IF($G86&gt;0,"○","")</f>
        <v/>
      </c>
      <c r="I86" s="10" t="str">
        <f aca="false">IF($H86="","",ROUND(SUMIFS(05_施策抽出!$C:$C,05_施策抽出!$E:$E,$A86,05_施策抽出!$B:$B,"○")*02_施策マスター!$P86*02_施策マスター!$K86,1))</f>
        <v/>
      </c>
      <c r="J86" s="10" t="str">
        <f aca="false">IF($I86="","",$I86+(1000-ROW())/1000000)</f>
        <v/>
      </c>
      <c r="K86" s="10" t="str">
        <f aca="false">IF($H86="","",COUNTIFS($D$2:$D$208,$D86,$J$2:$J$208,"&gt;"&amp;$J86)+1)</f>
        <v/>
      </c>
      <c r="L86" s="10" t="str">
        <f aca="false">IF($K86="","",$D86&amp;"-"&amp;$K86)</f>
        <v/>
      </c>
    </row>
    <row r="87" customFormat="false" ht="22.35" hidden="false" customHeight="false" outlineLevel="0" collapsed="false">
      <c r="A87" s="10" t="str">
        <f aca="false">02_施策マスター!A87</f>
        <v>AIMF-PR-DAT-001</v>
      </c>
      <c r="B87" s="10" t="str">
        <f aca="false">02_施策マスター!B87</f>
        <v>プロンプト・出力へのDLP統制</v>
      </c>
      <c r="C87" s="10" t="str">
        <f aca="false">02_施策マスター!C87</f>
        <v>PR</v>
      </c>
      <c r="D87" s="10" t="str">
        <f aca="false">02_施策マスター!O87</f>
        <v>長期</v>
      </c>
      <c r="E87" s="10" t="n">
        <f aca="false">02_施策マスター!I87</f>
        <v>9</v>
      </c>
      <c r="F87" s="10" t="n">
        <f aca="false">02_施策マスター!H87</f>
        <v>4</v>
      </c>
      <c r="G87" s="10" t="n">
        <f aca="false">COUNTIFS(05_施策抽出!$E:$E,$A87,05_施策抽出!$B:$B,"○")</f>
        <v>0</v>
      </c>
      <c r="H87" s="10" t="str">
        <f aca="false">IF($G87&gt;0,"○","")</f>
        <v/>
      </c>
      <c r="I87" s="10" t="str">
        <f aca="false">IF($H87="","",ROUND(SUMIFS(05_施策抽出!$C:$C,05_施策抽出!$E:$E,$A87,05_施策抽出!$B:$B,"○")*02_施策マスター!$P87*02_施策マスター!$K87,1))</f>
        <v/>
      </c>
      <c r="J87" s="10" t="str">
        <f aca="false">IF($I87="","",$I87+(1000-ROW())/1000000)</f>
        <v/>
      </c>
      <c r="K87" s="10" t="str">
        <f aca="false">IF($H87="","",COUNTIFS($D$2:$D$208,$D87,$J$2:$J$208,"&gt;"&amp;$J87)+1)</f>
        <v/>
      </c>
      <c r="L87" s="10" t="str">
        <f aca="false">IF($K87="","",$D87&amp;"-"&amp;$K87)</f>
        <v/>
      </c>
    </row>
    <row r="88" customFormat="false" ht="26.85" hidden="false" customHeight="false" outlineLevel="0" collapsed="false">
      <c r="A88" s="10" t="str">
        <f aca="false">02_施策マスター!A88</f>
        <v>AIMF-PR-DAT-002</v>
      </c>
      <c r="B88" s="10" t="str">
        <f aca="false">02_施策マスター!B88</f>
        <v>学習・RAG投入前の仮名化・匿名化</v>
      </c>
      <c r="C88" s="10" t="str">
        <f aca="false">02_施策マスター!C88</f>
        <v>PR</v>
      </c>
      <c r="D88" s="10" t="str">
        <f aca="false">02_施策マスター!O88</f>
        <v>長期</v>
      </c>
      <c r="E88" s="10" t="n">
        <f aca="false">02_施策マスター!I88</f>
        <v>9</v>
      </c>
      <c r="F88" s="10" t="n">
        <f aca="false">02_施策マスター!H88</f>
        <v>4</v>
      </c>
      <c r="G88" s="10" t="n">
        <f aca="false">COUNTIFS(05_施策抽出!$E:$E,$A88,05_施策抽出!$B:$B,"○")</f>
        <v>0</v>
      </c>
      <c r="H88" s="10" t="str">
        <f aca="false">IF($G88&gt;0,"○","")</f>
        <v/>
      </c>
      <c r="I88" s="10" t="str">
        <f aca="false">IF($H88="","",ROUND(SUMIFS(05_施策抽出!$C:$C,05_施策抽出!$E:$E,$A88,05_施策抽出!$B:$B,"○")*02_施策マスター!$P88*02_施策マスター!$K88,1))</f>
        <v/>
      </c>
      <c r="J88" s="10" t="str">
        <f aca="false">IF($I88="","",$I88+(1000-ROW())/1000000)</f>
        <v/>
      </c>
      <c r="K88" s="10" t="str">
        <f aca="false">IF($H88="","",COUNTIFS($D$2:$D$208,$D88,$J$2:$J$208,"&gt;"&amp;$J88)+1)</f>
        <v/>
      </c>
      <c r="L88" s="10" t="str">
        <f aca="false">IF($K88="","",$D88&amp;"-"&amp;$K88)</f>
        <v/>
      </c>
    </row>
    <row r="89" customFormat="false" ht="22.35" hidden="false" customHeight="false" outlineLevel="0" collapsed="false">
      <c r="A89" s="10" t="str">
        <f aca="false">02_施策マスター!A89</f>
        <v>AIMF-PR-DAT-003</v>
      </c>
      <c r="B89" s="10" t="str">
        <f aca="false">02_施策マスター!B89</f>
        <v>出力データへの機密区分の継承</v>
      </c>
      <c r="C89" s="10" t="str">
        <f aca="false">02_施策マスター!C89</f>
        <v>PR</v>
      </c>
      <c r="D89" s="10" t="str">
        <f aca="false">02_施策マスター!O89</f>
        <v>長期</v>
      </c>
      <c r="E89" s="10" t="n">
        <f aca="false">02_施策マスター!I89</f>
        <v>9</v>
      </c>
      <c r="F89" s="10" t="n">
        <f aca="false">02_施策マスター!H89</f>
        <v>4</v>
      </c>
      <c r="G89" s="10" t="n">
        <f aca="false">COUNTIFS(05_施策抽出!$E:$E,$A89,05_施策抽出!$B:$B,"○")</f>
        <v>0</v>
      </c>
      <c r="H89" s="10" t="str">
        <f aca="false">IF($G89&gt;0,"○","")</f>
        <v/>
      </c>
      <c r="I89" s="10" t="str">
        <f aca="false">IF($H89="","",ROUND(SUMIFS(05_施策抽出!$C:$C,05_施策抽出!$E:$E,$A89,05_施策抽出!$B:$B,"○")*02_施策マスター!$P89*02_施策マスター!$K89,1))</f>
        <v/>
      </c>
      <c r="J89" s="10" t="str">
        <f aca="false">IF($I89="","",$I89+(1000-ROW())/1000000)</f>
        <v/>
      </c>
      <c r="K89" s="10" t="str">
        <f aca="false">IF($H89="","",COUNTIFS($D$2:$D$208,$D89,$J$2:$J$208,"&gt;"&amp;$J89)+1)</f>
        <v/>
      </c>
      <c r="L89" s="10" t="str">
        <f aca="false">IF($K89="","",$D89&amp;"-"&amp;$K89)</f>
        <v/>
      </c>
    </row>
    <row r="90" customFormat="false" ht="26.85" hidden="false" customHeight="false" outlineLevel="0" collapsed="false">
      <c r="A90" s="10" t="str">
        <f aca="false">02_施策マスター!A90</f>
        <v>AIMF-PR-DAT-004</v>
      </c>
      <c r="B90" s="10" t="str">
        <f aca="false">02_施策マスター!B90</f>
        <v>モデル重み・チェックポイントの厳格アクセス管理</v>
      </c>
      <c r="C90" s="10" t="str">
        <f aca="false">02_施策マスター!C90</f>
        <v>PR</v>
      </c>
      <c r="D90" s="10" t="str">
        <f aca="false">02_施策マスター!O90</f>
        <v>長期</v>
      </c>
      <c r="E90" s="10" t="n">
        <f aca="false">02_施策マスター!I90</f>
        <v>9</v>
      </c>
      <c r="F90" s="10" t="n">
        <f aca="false">02_施策マスター!H90</f>
        <v>4</v>
      </c>
      <c r="G90" s="10" t="n">
        <f aca="false">COUNTIFS(05_施策抽出!$E:$E,$A90,05_施策抽出!$B:$B,"○")</f>
        <v>0</v>
      </c>
      <c r="H90" s="10" t="str">
        <f aca="false">IF($G90&gt;0,"○","")</f>
        <v/>
      </c>
      <c r="I90" s="10" t="str">
        <f aca="false">IF($H90="","",ROUND(SUMIFS(05_施策抽出!$C:$C,05_施策抽出!$E:$E,$A90,05_施策抽出!$B:$B,"○")*02_施策マスター!$P90*02_施策マスター!$K90,1))</f>
        <v/>
      </c>
      <c r="J90" s="10" t="str">
        <f aca="false">IF($I90="","",$I90+(1000-ROW())/1000000)</f>
        <v/>
      </c>
      <c r="K90" s="10" t="str">
        <f aca="false">IF($H90="","",COUNTIFS($D$2:$D$208,$D90,$J$2:$J$208,"&gt;"&amp;$J90)+1)</f>
        <v/>
      </c>
      <c r="L90" s="10" t="str">
        <f aca="false">IF($K90="","",$D90&amp;"-"&amp;$K90)</f>
        <v/>
      </c>
    </row>
    <row r="91" customFormat="false" ht="26.85" hidden="false" customHeight="false" outlineLevel="0" collapsed="false">
      <c r="A91" s="10" t="str">
        <f aca="false">02_施策マスター!A91</f>
        <v>AIMF-PR-DAT-005</v>
      </c>
      <c r="B91" s="10" t="str">
        <f aca="false">02_施策マスター!B91</f>
        <v>機密コンピューティングによる推論保護</v>
      </c>
      <c r="C91" s="10" t="str">
        <f aca="false">02_施策マスター!C91</f>
        <v>PR</v>
      </c>
      <c r="D91" s="10" t="str">
        <f aca="false">02_施策マスター!O91</f>
        <v>長期</v>
      </c>
      <c r="E91" s="10" t="n">
        <f aca="false">02_施策マスター!I91</f>
        <v>9</v>
      </c>
      <c r="F91" s="10" t="n">
        <f aca="false">02_施策マスター!H91</f>
        <v>4</v>
      </c>
      <c r="G91" s="10" t="n">
        <f aca="false">COUNTIFS(05_施策抽出!$E:$E,$A91,05_施策抽出!$B:$B,"○")</f>
        <v>0</v>
      </c>
      <c r="H91" s="10" t="str">
        <f aca="false">IF($G91&gt;0,"○","")</f>
        <v/>
      </c>
      <c r="I91" s="10" t="str">
        <f aca="false">IF($H91="","",ROUND(SUMIFS(05_施策抽出!$C:$C,05_施策抽出!$E:$E,$A91,05_施策抽出!$B:$B,"○")*02_施策マスター!$P91*02_施策マスター!$K91,1))</f>
        <v/>
      </c>
      <c r="J91" s="10" t="str">
        <f aca="false">IF($I91="","",$I91+(1000-ROW())/1000000)</f>
        <v/>
      </c>
      <c r="K91" s="10" t="str">
        <f aca="false">IF($H91="","",COUNTIFS($D$2:$D$208,$D91,$J$2:$J$208,"&gt;"&amp;$J91)+1)</f>
        <v/>
      </c>
      <c r="L91" s="10" t="str">
        <f aca="false">IF($K91="","",$D91&amp;"-"&amp;$K91)</f>
        <v/>
      </c>
    </row>
    <row r="92" customFormat="false" ht="26.85" hidden="false" customHeight="false" outlineLevel="0" collapsed="false">
      <c r="A92" s="10" t="str">
        <f aca="false">02_施策マスター!A92</f>
        <v>AIMF-PR-MDL-001</v>
      </c>
      <c r="B92" s="10" t="str">
        <f aca="false">02_施策マスター!B92</f>
        <v>モデルライフサイクル管理・リリース前評価</v>
      </c>
      <c r="C92" s="10" t="str">
        <f aca="false">02_施策マスター!C92</f>
        <v>PR</v>
      </c>
      <c r="D92" s="10" t="str">
        <f aca="false">02_施策マスター!O92</f>
        <v>長期</v>
      </c>
      <c r="E92" s="10" t="n">
        <f aca="false">02_施策マスター!I92</f>
        <v>9</v>
      </c>
      <c r="F92" s="10" t="n">
        <f aca="false">02_施策マスター!H92</f>
        <v>4</v>
      </c>
      <c r="G92" s="10" t="n">
        <f aca="false">COUNTIFS(05_施策抽出!$E:$E,$A92,05_施策抽出!$B:$B,"○")</f>
        <v>0</v>
      </c>
      <c r="H92" s="10" t="str">
        <f aca="false">IF($G92&gt;0,"○","")</f>
        <v/>
      </c>
      <c r="I92" s="10" t="str">
        <f aca="false">IF($H92="","",ROUND(SUMIFS(05_施策抽出!$C:$C,05_施策抽出!$E:$E,$A92,05_施策抽出!$B:$B,"○")*02_施策マスター!$P92*02_施策マスター!$K92,1))</f>
        <v/>
      </c>
      <c r="J92" s="10" t="str">
        <f aca="false">IF($I92="","",$I92+(1000-ROW())/1000000)</f>
        <v/>
      </c>
      <c r="K92" s="10" t="str">
        <f aca="false">IF($H92="","",COUNTIFS($D$2:$D$208,$D92,$J$2:$J$208,"&gt;"&amp;$J92)+1)</f>
        <v/>
      </c>
      <c r="L92" s="10" t="str">
        <f aca="false">IF($K92="","",$D92&amp;"-"&amp;$K92)</f>
        <v/>
      </c>
    </row>
    <row r="93" customFormat="false" ht="22.35" hidden="false" customHeight="false" outlineLevel="0" collapsed="false">
      <c r="A93" s="10" t="str">
        <f aca="false">02_施策マスター!A93</f>
        <v>AIMF-PR-MDL-002</v>
      </c>
      <c r="B93" s="10" t="str">
        <f aca="false">02_施策マスター!B93</f>
        <v>モデル成果物の完全性保護</v>
      </c>
      <c r="C93" s="10" t="str">
        <f aca="false">02_施策マスター!C93</f>
        <v>PR</v>
      </c>
      <c r="D93" s="10" t="str">
        <f aca="false">02_施策マスター!O93</f>
        <v>長期</v>
      </c>
      <c r="E93" s="10" t="n">
        <f aca="false">02_施策マスター!I93</f>
        <v>9</v>
      </c>
      <c r="F93" s="10" t="n">
        <f aca="false">02_施策マスター!H93</f>
        <v>4</v>
      </c>
      <c r="G93" s="10" t="n">
        <f aca="false">COUNTIFS(05_施策抽出!$E:$E,$A93,05_施策抽出!$B:$B,"○")</f>
        <v>0</v>
      </c>
      <c r="H93" s="10" t="str">
        <f aca="false">IF($G93&gt;0,"○","")</f>
        <v/>
      </c>
      <c r="I93" s="10" t="str">
        <f aca="false">IF($H93="","",ROUND(SUMIFS(05_施策抽出!$C:$C,05_施策抽出!$E:$E,$A93,05_施策抽出!$B:$B,"○")*02_施策マスター!$P93*02_施策マスター!$K93,1))</f>
        <v/>
      </c>
      <c r="J93" s="10" t="str">
        <f aca="false">IF($I93="","",$I93+(1000-ROW())/1000000)</f>
        <v/>
      </c>
      <c r="K93" s="10" t="str">
        <f aca="false">IF($H93="","",COUNTIFS($D$2:$D$208,$D93,$J$2:$J$208,"&gt;"&amp;$J93)+1)</f>
        <v/>
      </c>
      <c r="L93" s="10" t="str">
        <f aca="false">IF($K93="","",$D93&amp;"-"&amp;$K93)</f>
        <v/>
      </c>
    </row>
    <row r="94" customFormat="false" ht="22.35" hidden="false" customHeight="false" outlineLevel="0" collapsed="false">
      <c r="A94" s="10" t="str">
        <f aca="false">02_施策マスター!A94</f>
        <v>AIMF-PR-MDL-003</v>
      </c>
      <c r="B94" s="10" t="str">
        <f aca="false">02_施策マスター!B94</f>
        <v>セキュア学習パイプラインの統制</v>
      </c>
      <c r="C94" s="10" t="str">
        <f aca="false">02_施策マスター!C94</f>
        <v>PR</v>
      </c>
      <c r="D94" s="10" t="str">
        <f aca="false">02_施策マスター!O94</f>
        <v>長期</v>
      </c>
      <c r="E94" s="10" t="n">
        <f aca="false">02_施策マスター!I94</f>
        <v>9</v>
      </c>
      <c r="F94" s="10" t="n">
        <f aca="false">02_施策マスター!H94</f>
        <v>4</v>
      </c>
      <c r="G94" s="10" t="n">
        <f aca="false">COUNTIFS(05_施策抽出!$E:$E,$A94,05_施策抽出!$B:$B,"○")</f>
        <v>0</v>
      </c>
      <c r="H94" s="10" t="str">
        <f aca="false">IF($G94&gt;0,"○","")</f>
        <v/>
      </c>
      <c r="I94" s="10" t="str">
        <f aca="false">IF($H94="","",ROUND(SUMIFS(05_施策抽出!$C:$C,05_施策抽出!$E:$E,$A94,05_施策抽出!$B:$B,"○")*02_施策マスター!$P94*02_施策マスター!$K94,1))</f>
        <v/>
      </c>
      <c r="J94" s="10" t="str">
        <f aca="false">IF($I94="","",$I94+(1000-ROW())/1000000)</f>
        <v/>
      </c>
      <c r="K94" s="10" t="str">
        <f aca="false">IF($H94="","",COUNTIFS($D$2:$D$208,$D94,$J$2:$J$208,"&gt;"&amp;$J94)+1)</f>
        <v/>
      </c>
      <c r="L94" s="10" t="str">
        <f aca="false">IF($K94="","",$D94&amp;"-"&amp;$K94)</f>
        <v/>
      </c>
    </row>
    <row r="95" customFormat="false" ht="26.85" hidden="false" customHeight="false" outlineLevel="0" collapsed="false">
      <c r="A95" s="10" t="str">
        <f aca="false">02_施策マスター!A95</f>
        <v>AIMF-PR-MDL-004</v>
      </c>
      <c r="B95" s="10" t="str">
        <f aca="false">02_施策マスター!B95</f>
        <v>モデルレジストリ統制（承認済みモデルのみデプロイ）</v>
      </c>
      <c r="C95" s="10" t="str">
        <f aca="false">02_施策マスター!C95</f>
        <v>PR</v>
      </c>
      <c r="D95" s="10" t="str">
        <f aca="false">02_施策マスター!O95</f>
        <v>長期</v>
      </c>
      <c r="E95" s="10" t="n">
        <f aca="false">02_施策マスター!I95</f>
        <v>9</v>
      </c>
      <c r="F95" s="10" t="n">
        <f aca="false">02_施策マスター!H95</f>
        <v>4</v>
      </c>
      <c r="G95" s="10" t="n">
        <f aca="false">COUNTIFS(05_施策抽出!$E:$E,$A95,05_施策抽出!$B:$B,"○")</f>
        <v>0</v>
      </c>
      <c r="H95" s="10" t="str">
        <f aca="false">IF($G95&gt;0,"○","")</f>
        <v/>
      </c>
      <c r="I95" s="10" t="str">
        <f aca="false">IF($H95="","",ROUND(SUMIFS(05_施策抽出!$C:$C,05_施策抽出!$E:$E,$A95,05_施策抽出!$B:$B,"○")*02_施策マスター!$P95*02_施策マスター!$K95,1))</f>
        <v/>
      </c>
      <c r="J95" s="10" t="str">
        <f aca="false">IF($I95="","",$I95+(1000-ROW())/1000000)</f>
        <v/>
      </c>
      <c r="K95" s="10" t="str">
        <f aca="false">IF($H95="","",COUNTIFS($D$2:$D$208,$D95,$J$2:$J$208,"&gt;"&amp;$J95)+1)</f>
        <v/>
      </c>
      <c r="L95" s="10" t="str">
        <f aca="false">IF($K95="","",$D95&amp;"-"&amp;$K95)</f>
        <v/>
      </c>
    </row>
    <row r="96" customFormat="false" ht="26.85" hidden="false" customHeight="false" outlineLevel="0" collapsed="false">
      <c r="A96" s="10" t="str">
        <f aca="false">02_施策マスター!A96</f>
        <v>AIMF-PR-MDL-005</v>
      </c>
      <c r="B96" s="10" t="str">
        <f aca="false">02_施策マスター!B96</f>
        <v>ファインチューニング・継続学習の変更管理</v>
      </c>
      <c r="C96" s="10" t="str">
        <f aca="false">02_施策マスター!C96</f>
        <v>PR</v>
      </c>
      <c r="D96" s="10" t="str">
        <f aca="false">02_施策マスター!O96</f>
        <v>長期</v>
      </c>
      <c r="E96" s="10" t="n">
        <f aca="false">02_施策マスター!I96</f>
        <v>9</v>
      </c>
      <c r="F96" s="10" t="n">
        <f aca="false">02_施策マスター!H96</f>
        <v>4</v>
      </c>
      <c r="G96" s="10" t="n">
        <f aca="false">COUNTIFS(05_施策抽出!$E:$E,$A96,05_施策抽出!$B:$B,"○")</f>
        <v>0</v>
      </c>
      <c r="H96" s="10" t="str">
        <f aca="false">IF($G96&gt;0,"○","")</f>
        <v/>
      </c>
      <c r="I96" s="10" t="str">
        <f aca="false">IF($H96="","",ROUND(SUMIFS(05_施策抽出!$C:$C,05_施策抽出!$E:$E,$A96,05_施策抽出!$B:$B,"○")*02_施策マスター!$P96*02_施策マスター!$K96,1))</f>
        <v/>
      </c>
      <c r="J96" s="10" t="str">
        <f aca="false">IF($I96="","",$I96+(1000-ROW())/1000000)</f>
        <v/>
      </c>
      <c r="K96" s="10" t="str">
        <f aca="false">IF($H96="","",COUNTIFS($D$2:$D$208,$D96,$J$2:$J$208,"&gt;"&amp;$J96)+1)</f>
        <v/>
      </c>
      <c r="L96" s="10" t="str">
        <f aca="false">IF($K96="","",$D96&amp;"-"&amp;$K96)</f>
        <v/>
      </c>
    </row>
    <row r="97" customFormat="false" ht="26.85" hidden="false" customHeight="false" outlineLevel="0" collapsed="false">
      <c r="A97" s="10" t="str">
        <f aca="false">02_施策マスター!A97</f>
        <v>AIMF-PR-MDL-006</v>
      </c>
      <c r="B97" s="10" t="str">
        <f aca="false">02_施策マスター!B97</f>
        <v>量子化・蒸留・最適化後の安全性再評価</v>
      </c>
      <c r="C97" s="10" t="str">
        <f aca="false">02_施策マスター!C97</f>
        <v>PR</v>
      </c>
      <c r="D97" s="10" t="str">
        <f aca="false">02_施策マスター!O97</f>
        <v>長期</v>
      </c>
      <c r="E97" s="10" t="n">
        <f aca="false">02_施策マスター!I97</f>
        <v>9</v>
      </c>
      <c r="F97" s="10" t="n">
        <f aca="false">02_施策マスター!H97</f>
        <v>4</v>
      </c>
      <c r="G97" s="10" t="n">
        <f aca="false">COUNTIFS(05_施策抽出!$E:$E,$A97,05_施策抽出!$B:$B,"○")</f>
        <v>0</v>
      </c>
      <c r="H97" s="10" t="str">
        <f aca="false">IF($G97&gt;0,"○","")</f>
        <v/>
      </c>
      <c r="I97" s="10" t="str">
        <f aca="false">IF($H97="","",ROUND(SUMIFS(05_施策抽出!$C:$C,05_施策抽出!$E:$E,$A97,05_施策抽出!$B:$B,"○")*02_施策マスター!$P97*02_施策マスター!$K97,1))</f>
        <v/>
      </c>
      <c r="J97" s="10" t="str">
        <f aca="false">IF($I97="","",$I97+(1000-ROW())/1000000)</f>
        <v/>
      </c>
      <c r="K97" s="10" t="str">
        <f aca="false">IF($H97="","",COUNTIFS($D$2:$D$208,$D97,$J$2:$J$208,"&gt;"&amp;$J97)+1)</f>
        <v/>
      </c>
      <c r="L97" s="10" t="str">
        <f aca="false">IF($K97="","",$D97&amp;"-"&amp;$K97)</f>
        <v/>
      </c>
    </row>
    <row r="98" customFormat="false" ht="26.85" hidden="false" customHeight="false" outlineLevel="0" collapsed="false">
      <c r="A98" s="10" t="str">
        <f aca="false">02_施策マスター!A98</f>
        <v>AIMF-PR-MDL-007</v>
      </c>
      <c r="B98" s="10" t="str">
        <f aca="false">02_施策マスター!B98</f>
        <v>システムプロンプトの版管理と保護</v>
      </c>
      <c r="C98" s="10" t="str">
        <f aca="false">02_施策マスター!C98</f>
        <v>PR</v>
      </c>
      <c r="D98" s="10" t="str">
        <f aca="false">02_施策マスター!O98</f>
        <v>長期</v>
      </c>
      <c r="E98" s="10" t="n">
        <f aca="false">02_施策マスター!I98</f>
        <v>9</v>
      </c>
      <c r="F98" s="10" t="n">
        <f aca="false">02_施策マスター!H98</f>
        <v>4</v>
      </c>
      <c r="G98" s="10" t="n">
        <f aca="false">COUNTIFS(05_施策抽出!$E:$E,$A98,05_施策抽出!$B:$B,"○")</f>
        <v>0</v>
      </c>
      <c r="H98" s="10" t="str">
        <f aca="false">IF($G98&gt;0,"○","")</f>
        <v/>
      </c>
      <c r="I98" s="10" t="str">
        <f aca="false">IF($H98="","",ROUND(SUMIFS(05_施策抽出!$C:$C,05_施策抽出!$E:$E,$A98,05_施策抽出!$B:$B,"○")*02_施策マスター!$P98*02_施策マスター!$K98,1))</f>
        <v/>
      </c>
      <c r="J98" s="10" t="str">
        <f aca="false">IF($I98="","",$I98+(1000-ROW())/1000000)</f>
        <v/>
      </c>
      <c r="K98" s="10" t="str">
        <f aca="false">IF($H98="","",COUNTIFS($D$2:$D$208,$D98,$J$2:$J$208,"&gt;"&amp;$J98)+1)</f>
        <v/>
      </c>
      <c r="L98" s="10" t="str">
        <f aca="false">IF($K98="","",$D98&amp;"-"&amp;$K98)</f>
        <v/>
      </c>
    </row>
    <row r="99" customFormat="false" ht="22.35" hidden="false" customHeight="false" outlineLevel="0" collapsed="false">
      <c r="A99" s="10" t="str">
        <f aca="false">02_施策マスター!A99</f>
        <v>AIMF-PR-RED-001</v>
      </c>
      <c r="B99" s="10" t="str">
        <f aca="false">02_施策マスター!B99</f>
        <v>AIレッドチーミングの定期的実施</v>
      </c>
      <c r="C99" s="10" t="str">
        <f aca="false">02_施策マスター!C99</f>
        <v>PR</v>
      </c>
      <c r="D99" s="10" t="str">
        <f aca="false">02_施策マスター!O99</f>
        <v>長期</v>
      </c>
      <c r="E99" s="10" t="n">
        <f aca="false">02_施策マスター!I99</f>
        <v>9</v>
      </c>
      <c r="F99" s="10" t="n">
        <f aca="false">02_施策マスター!H99</f>
        <v>4</v>
      </c>
      <c r="G99" s="10" t="n">
        <f aca="false">COUNTIFS(05_施策抽出!$E:$E,$A99,05_施策抽出!$B:$B,"○")</f>
        <v>0</v>
      </c>
      <c r="H99" s="10" t="str">
        <f aca="false">IF($G99&gt;0,"○","")</f>
        <v/>
      </c>
      <c r="I99" s="10" t="str">
        <f aca="false">IF($H99="","",ROUND(SUMIFS(05_施策抽出!$C:$C,05_施策抽出!$E:$E,$A99,05_施策抽出!$B:$B,"○")*02_施策マスター!$P99*02_施策マスター!$K99,1))</f>
        <v/>
      </c>
      <c r="J99" s="10" t="str">
        <f aca="false">IF($I99="","",$I99+(1000-ROW())/1000000)</f>
        <v/>
      </c>
      <c r="K99" s="10" t="str">
        <f aca="false">IF($H99="","",COUNTIFS($D$2:$D$208,$D99,$J$2:$J$208,"&gt;"&amp;$J99)+1)</f>
        <v/>
      </c>
      <c r="L99" s="10" t="str">
        <f aca="false">IF($K99="","",$D99&amp;"-"&amp;$K99)</f>
        <v/>
      </c>
    </row>
    <row r="100" customFormat="false" ht="26.85" hidden="false" customHeight="false" outlineLevel="0" collapsed="false">
      <c r="A100" s="10" t="str">
        <f aca="false">02_施策マスター!A100</f>
        <v>AIMF-PR-RED-002</v>
      </c>
      <c r="B100" s="10" t="str">
        <f aca="false">02_施策マスター!B100</f>
        <v>自動化されたAI脆弱性スキャン（LLM-assisted Red Teaming）</v>
      </c>
      <c r="C100" s="10" t="str">
        <f aca="false">02_施策マスター!C100</f>
        <v>PR</v>
      </c>
      <c r="D100" s="10" t="str">
        <f aca="false">02_施策マスター!O100</f>
        <v>長期</v>
      </c>
      <c r="E100" s="10" t="n">
        <f aca="false">02_施策マスター!I100</f>
        <v>9</v>
      </c>
      <c r="F100" s="10" t="n">
        <f aca="false">02_施策マスター!H100</f>
        <v>4</v>
      </c>
      <c r="G100" s="10" t="n">
        <f aca="false">COUNTIFS(05_施策抽出!$E:$E,$A100,05_施策抽出!$B:$B,"○")</f>
        <v>0</v>
      </c>
      <c r="H100" s="10" t="str">
        <f aca="false">IF($G100&gt;0,"○","")</f>
        <v/>
      </c>
      <c r="I100" s="10" t="str">
        <f aca="false">IF($H100="","",ROUND(SUMIFS(05_施策抽出!$C:$C,05_施策抽出!$E:$E,$A100,05_施策抽出!$B:$B,"○")*02_施策マスター!$P100*02_施策マスター!$K100,1))</f>
        <v/>
      </c>
      <c r="J100" s="10" t="str">
        <f aca="false">IF($I100="","",$I100+(1000-ROW())/1000000)</f>
        <v/>
      </c>
      <c r="K100" s="10" t="str">
        <f aca="false">IF($H100="","",COUNTIFS($D$2:$D$208,$D100,$J$2:$J$208,"&gt;"&amp;$J100)+1)</f>
        <v/>
      </c>
      <c r="L100" s="10" t="str">
        <f aca="false">IF($K100="","",$D100&amp;"-"&amp;$K100)</f>
        <v/>
      </c>
    </row>
    <row r="101" customFormat="false" ht="22.35" hidden="false" customHeight="false" outlineLevel="0" collapsed="false">
      <c r="A101" s="10" t="str">
        <f aca="false">02_施策マスター!A101</f>
        <v>AIMF-PR-RED-003</v>
      </c>
      <c r="B101" s="10" t="str">
        <f aca="false">02_施策マスター!B101</f>
        <v>RAG知識ベースの動的スキャン</v>
      </c>
      <c r="C101" s="10" t="str">
        <f aca="false">02_施策マスター!C101</f>
        <v>PR</v>
      </c>
      <c r="D101" s="10" t="str">
        <f aca="false">02_施策マスター!O101</f>
        <v>長期</v>
      </c>
      <c r="E101" s="10" t="n">
        <f aca="false">02_施策マスター!I101</f>
        <v>9</v>
      </c>
      <c r="F101" s="10" t="n">
        <f aca="false">02_施策マスター!H101</f>
        <v>4</v>
      </c>
      <c r="G101" s="10" t="n">
        <f aca="false">COUNTIFS(05_施策抽出!$E:$E,$A101,05_施策抽出!$B:$B,"○")</f>
        <v>0</v>
      </c>
      <c r="H101" s="10" t="str">
        <f aca="false">IF($G101&gt;0,"○","")</f>
        <v/>
      </c>
      <c r="I101" s="10" t="str">
        <f aca="false">IF($H101="","",ROUND(SUMIFS(05_施策抽出!$C:$C,05_施策抽出!$E:$E,$A101,05_施策抽出!$B:$B,"○")*02_施策マスター!$P101*02_施策マスター!$K101,1))</f>
        <v/>
      </c>
      <c r="J101" s="10" t="str">
        <f aca="false">IF($I101="","",$I101+(1000-ROW())/1000000)</f>
        <v/>
      </c>
      <c r="K101" s="10" t="str">
        <f aca="false">IF($H101="","",COUNTIFS($D$2:$D$208,$D101,$J$2:$J$208,"&gt;"&amp;$J101)+1)</f>
        <v/>
      </c>
      <c r="L101" s="10" t="str">
        <f aca="false">IF($K101="","",$D101&amp;"-"&amp;$K101)</f>
        <v/>
      </c>
    </row>
    <row r="102" customFormat="false" ht="26.85" hidden="false" customHeight="false" outlineLevel="0" collapsed="false">
      <c r="A102" s="10" t="str">
        <f aca="false">02_施策マスター!A102</f>
        <v>AIMF-PR-RED-004</v>
      </c>
      <c r="B102" s="10" t="str">
        <f aca="false">02_施策マスター!B102</f>
        <v>リリース前の安全性・セキュリティ評価スイート</v>
      </c>
      <c r="C102" s="10" t="str">
        <f aca="false">02_施策マスター!C102</f>
        <v>PR</v>
      </c>
      <c r="D102" s="10" t="str">
        <f aca="false">02_施策マスター!O102</f>
        <v>長期</v>
      </c>
      <c r="E102" s="10" t="n">
        <f aca="false">02_施策マスター!I102</f>
        <v>9</v>
      </c>
      <c r="F102" s="10" t="n">
        <f aca="false">02_施策マスター!H102</f>
        <v>4</v>
      </c>
      <c r="G102" s="10" t="n">
        <f aca="false">COUNTIFS(05_施策抽出!$E:$E,$A102,05_施策抽出!$B:$B,"○")</f>
        <v>0</v>
      </c>
      <c r="H102" s="10" t="str">
        <f aca="false">IF($G102&gt;0,"○","")</f>
        <v/>
      </c>
      <c r="I102" s="10" t="str">
        <f aca="false">IF($H102="","",ROUND(SUMIFS(05_施策抽出!$C:$C,05_施策抽出!$E:$E,$A102,05_施策抽出!$B:$B,"○")*02_施策マスター!$P102*02_施策マスター!$K102,1))</f>
        <v/>
      </c>
      <c r="J102" s="10" t="str">
        <f aca="false">IF($I102="","",$I102+(1000-ROW())/1000000)</f>
        <v/>
      </c>
      <c r="K102" s="10" t="str">
        <f aca="false">IF($H102="","",COUNTIFS($D$2:$D$208,$D102,$J$2:$J$208,"&gt;"&amp;$J102)+1)</f>
        <v/>
      </c>
      <c r="L102" s="10" t="str">
        <f aca="false">IF($K102="","",$D102&amp;"-"&amp;$K102)</f>
        <v/>
      </c>
    </row>
    <row r="103" customFormat="false" ht="26.85" hidden="false" customHeight="false" outlineLevel="0" collapsed="false">
      <c r="A103" s="10" t="str">
        <f aca="false">02_施策マスター!A103</f>
        <v>AIMF-PR-RED-005</v>
      </c>
      <c r="B103" s="10" t="str">
        <f aca="false">02_施策マスター!B103</f>
        <v>CI/CDへの継続的評価（eval）の組み込み</v>
      </c>
      <c r="C103" s="10" t="str">
        <f aca="false">02_施策マスター!C103</f>
        <v>PR</v>
      </c>
      <c r="D103" s="10" t="str">
        <f aca="false">02_施策マスター!O103</f>
        <v>長期</v>
      </c>
      <c r="E103" s="10" t="n">
        <f aca="false">02_施策マスター!I103</f>
        <v>9</v>
      </c>
      <c r="F103" s="10" t="n">
        <f aca="false">02_施策マスター!H103</f>
        <v>4</v>
      </c>
      <c r="G103" s="10" t="n">
        <f aca="false">COUNTIFS(05_施策抽出!$E:$E,$A103,05_施策抽出!$B:$B,"○")</f>
        <v>0</v>
      </c>
      <c r="H103" s="10" t="str">
        <f aca="false">IF($G103&gt;0,"○","")</f>
        <v/>
      </c>
      <c r="I103" s="10" t="str">
        <f aca="false">IF($H103="","",ROUND(SUMIFS(05_施策抽出!$C:$C,05_施策抽出!$E:$E,$A103,05_施策抽出!$B:$B,"○")*02_施策マスター!$P103*02_施策マスター!$K103,1))</f>
        <v/>
      </c>
      <c r="J103" s="10" t="str">
        <f aca="false">IF($I103="","",$I103+(1000-ROW())/1000000)</f>
        <v/>
      </c>
      <c r="K103" s="10" t="str">
        <f aca="false">IF($H103="","",COUNTIFS($D$2:$D$208,$D103,$J$2:$J$208,"&gt;"&amp;$J103)+1)</f>
        <v/>
      </c>
      <c r="L103" s="10" t="str">
        <f aca="false">IF($K103="","",$D103&amp;"-"&amp;$K103)</f>
        <v/>
      </c>
    </row>
    <row r="104" customFormat="false" ht="22.35" hidden="false" customHeight="false" outlineLevel="0" collapsed="false">
      <c r="A104" s="10" t="str">
        <f aca="false">02_施策マスター!A104</f>
        <v>AIMF-PR-RED-006</v>
      </c>
      <c r="B104" s="10" t="str">
        <f aca="false">02_施策マスター!B104</f>
        <v>ATLASベースの敵対的演習</v>
      </c>
      <c r="C104" s="10" t="str">
        <f aca="false">02_施策マスター!C104</f>
        <v>PR</v>
      </c>
      <c r="D104" s="10" t="str">
        <f aca="false">02_施策マスター!O104</f>
        <v>長期</v>
      </c>
      <c r="E104" s="10" t="n">
        <f aca="false">02_施策マスター!I104</f>
        <v>9</v>
      </c>
      <c r="F104" s="10" t="n">
        <f aca="false">02_施策マスター!H104</f>
        <v>4</v>
      </c>
      <c r="G104" s="10" t="n">
        <f aca="false">COUNTIFS(05_施策抽出!$E:$E,$A104,05_施策抽出!$B:$B,"○")</f>
        <v>0</v>
      </c>
      <c r="H104" s="10" t="str">
        <f aca="false">IF($G104&gt;0,"○","")</f>
        <v/>
      </c>
      <c r="I104" s="10" t="str">
        <f aca="false">IF($H104="","",ROUND(SUMIFS(05_施策抽出!$C:$C,05_施策抽出!$E:$E,$A104,05_施策抽出!$B:$B,"○")*02_施策マスター!$P104*02_施策マスター!$K104,1))</f>
        <v/>
      </c>
      <c r="J104" s="10" t="str">
        <f aca="false">IF($I104="","",$I104+(1000-ROW())/1000000)</f>
        <v/>
      </c>
      <c r="K104" s="10" t="str">
        <f aca="false">IF($H104="","",COUNTIFS($D$2:$D$208,$D104,$J$2:$J$208,"&gt;"&amp;$J104)+1)</f>
        <v/>
      </c>
      <c r="L104" s="10" t="str">
        <f aca="false">IF($K104="","",$D104&amp;"-"&amp;$K104)</f>
        <v/>
      </c>
    </row>
    <row r="105" customFormat="false" ht="26.85" hidden="false" customHeight="false" outlineLevel="0" collapsed="false">
      <c r="A105" s="10" t="str">
        <f aca="false">02_施策マスター!A105</f>
        <v>AIMF-PR-GRD-001</v>
      </c>
      <c r="B105" s="10" t="str">
        <f aca="false">02_施策マスター!B105</f>
        <v>多層インライン・ガードレール（入出力フィルタ）の実装</v>
      </c>
      <c r="C105" s="10" t="str">
        <f aca="false">02_施策マスター!C105</f>
        <v>PR</v>
      </c>
      <c r="D105" s="10" t="str">
        <f aca="false">02_施策マスター!O105</f>
        <v>長期</v>
      </c>
      <c r="E105" s="10" t="n">
        <f aca="false">02_施策マスター!I105</f>
        <v>9</v>
      </c>
      <c r="F105" s="10" t="n">
        <f aca="false">02_施策マスター!H105</f>
        <v>4</v>
      </c>
      <c r="G105" s="10" t="n">
        <f aca="false">COUNTIFS(05_施策抽出!$E:$E,$A105,05_施策抽出!$B:$B,"○")</f>
        <v>0</v>
      </c>
      <c r="H105" s="10" t="str">
        <f aca="false">IF($G105&gt;0,"○","")</f>
        <v/>
      </c>
      <c r="I105" s="10" t="str">
        <f aca="false">IF($H105="","",ROUND(SUMIFS(05_施策抽出!$C:$C,05_施策抽出!$E:$E,$A105,05_施策抽出!$B:$B,"○")*02_施策マスター!$P105*02_施策マスター!$K105,1))</f>
        <v/>
      </c>
      <c r="J105" s="10" t="str">
        <f aca="false">IF($I105="","",$I105+(1000-ROW())/1000000)</f>
        <v/>
      </c>
      <c r="K105" s="10" t="str">
        <f aca="false">IF($H105="","",COUNTIFS($D$2:$D$208,$D105,$J$2:$J$208,"&gt;"&amp;$J105)+1)</f>
        <v/>
      </c>
      <c r="L105" s="10" t="str">
        <f aca="false">IF($K105="","",$D105&amp;"-"&amp;$K105)</f>
        <v/>
      </c>
    </row>
    <row r="106" customFormat="false" ht="26.85" hidden="false" customHeight="false" outlineLevel="0" collapsed="false">
      <c r="A106" s="10" t="str">
        <f aca="false">02_施策マスター!A106</f>
        <v>AIMF-PR-GRD-002</v>
      </c>
      <c r="B106" s="10" t="str">
        <f aca="false">02_施策マスター!B106</f>
        <v>AIエージェント実行環境の隔離（サンドボックス化）</v>
      </c>
      <c r="C106" s="10" t="str">
        <f aca="false">02_施策マスター!C106</f>
        <v>PR</v>
      </c>
      <c r="D106" s="10" t="str">
        <f aca="false">02_施策マスター!O106</f>
        <v>短期</v>
      </c>
      <c r="E106" s="10" t="n">
        <f aca="false">02_施策マスター!I106</f>
        <v>3</v>
      </c>
      <c r="F106" s="10" t="n">
        <f aca="false">02_施策マスター!H106</f>
        <v>2</v>
      </c>
      <c r="G106" s="10" t="n">
        <f aca="false">COUNTIFS(05_施策抽出!$E:$E,$A106,05_施策抽出!$B:$B,"○")</f>
        <v>0</v>
      </c>
      <c r="H106" s="10" t="str">
        <f aca="false">IF($G106&gt;0,"○","")</f>
        <v/>
      </c>
      <c r="I106" s="10" t="str">
        <f aca="false">IF($H106="","",ROUND(SUMIFS(05_施策抽出!$C:$C,05_施策抽出!$E:$E,$A106,05_施策抽出!$B:$B,"○")*02_施策マスター!$P106*02_施策マスター!$K106,1))</f>
        <v/>
      </c>
      <c r="J106" s="10" t="str">
        <f aca="false">IF($I106="","",$I106+(1000-ROW())/1000000)</f>
        <v/>
      </c>
      <c r="K106" s="10" t="str">
        <f aca="false">IF($H106="","",COUNTIFS($D$2:$D$208,$D106,$J$2:$J$208,"&gt;"&amp;$J106)+1)</f>
        <v/>
      </c>
      <c r="L106" s="10" t="str">
        <f aca="false">IF($K106="","",$D106&amp;"-"&amp;$K106)</f>
        <v/>
      </c>
    </row>
    <row r="107" customFormat="false" ht="26.85" hidden="false" customHeight="false" outlineLevel="0" collapsed="false">
      <c r="A107" s="10" t="str">
        <f aca="false">02_施策マスター!A107</f>
        <v>AIMF-PR-GRD-003</v>
      </c>
      <c r="B107" s="10" t="str">
        <f aca="false">02_施策マスター!B107</f>
        <v>Human-in-the-Loopのシステム強制</v>
      </c>
      <c r="C107" s="10" t="str">
        <f aca="false">02_施策マスター!C107</f>
        <v>PR</v>
      </c>
      <c r="D107" s="10" t="str">
        <f aca="false">02_施策マスター!O107</f>
        <v>長期</v>
      </c>
      <c r="E107" s="10" t="n">
        <f aca="false">02_施策マスター!I107</f>
        <v>9</v>
      </c>
      <c r="F107" s="10" t="n">
        <f aca="false">02_施策マスター!H107</f>
        <v>4</v>
      </c>
      <c r="G107" s="10" t="n">
        <f aca="false">COUNTIFS(05_施策抽出!$E:$E,$A107,05_施策抽出!$B:$B,"○")</f>
        <v>0</v>
      </c>
      <c r="H107" s="10" t="str">
        <f aca="false">IF($G107&gt;0,"○","")</f>
        <v/>
      </c>
      <c r="I107" s="10" t="str">
        <f aca="false">IF($H107="","",ROUND(SUMIFS(05_施策抽出!$C:$C,05_施策抽出!$E:$E,$A107,05_施策抽出!$B:$B,"○")*02_施策マスター!$P107*02_施策マスター!$K107,1))</f>
        <v/>
      </c>
      <c r="J107" s="10" t="str">
        <f aca="false">IF($I107="","",$I107+(1000-ROW())/1000000)</f>
        <v/>
      </c>
      <c r="K107" s="10" t="str">
        <f aca="false">IF($H107="","",COUNTIFS($D$2:$D$208,$D107,$J$2:$J$208,"&gt;"&amp;$J107)+1)</f>
        <v/>
      </c>
      <c r="L107" s="10" t="str">
        <f aca="false">IF($K107="","",$D107&amp;"-"&amp;$K107)</f>
        <v/>
      </c>
    </row>
    <row r="108" customFormat="false" ht="26.85" hidden="false" customHeight="false" outlineLevel="0" collapsed="false">
      <c r="A108" s="10" t="str">
        <f aca="false">02_施策マスター!A108</f>
        <v>AIMF-PR-GRD-004</v>
      </c>
      <c r="B108" s="10" t="str">
        <f aca="false">02_施策マスター!B108</f>
        <v>出力の安全な取扱い（Improper Output Handling対策）</v>
      </c>
      <c r="C108" s="10" t="str">
        <f aca="false">02_施策マスター!C108</f>
        <v>PR</v>
      </c>
      <c r="D108" s="10" t="str">
        <f aca="false">02_施策マスター!O108</f>
        <v>長期</v>
      </c>
      <c r="E108" s="10" t="n">
        <f aca="false">02_施策マスター!I108</f>
        <v>9</v>
      </c>
      <c r="F108" s="10" t="n">
        <f aca="false">02_施策マスター!H108</f>
        <v>4</v>
      </c>
      <c r="G108" s="10" t="n">
        <f aca="false">COUNTIFS(05_施策抽出!$E:$E,$A108,05_施策抽出!$B:$B,"○")</f>
        <v>0</v>
      </c>
      <c r="H108" s="10" t="str">
        <f aca="false">IF($G108&gt;0,"○","")</f>
        <v/>
      </c>
      <c r="I108" s="10" t="str">
        <f aca="false">IF($H108="","",ROUND(SUMIFS(05_施策抽出!$C:$C,05_施策抽出!$E:$E,$A108,05_施策抽出!$B:$B,"○")*02_施策マスター!$P108*02_施策マスター!$K108,1))</f>
        <v/>
      </c>
      <c r="J108" s="10" t="str">
        <f aca="false">IF($I108="","",$I108+(1000-ROW())/1000000)</f>
        <v/>
      </c>
      <c r="K108" s="10" t="str">
        <f aca="false">IF($H108="","",COUNTIFS($D$2:$D$208,$D108,$J$2:$J$208,"&gt;"&amp;$J108)+1)</f>
        <v/>
      </c>
      <c r="L108" s="10" t="str">
        <f aca="false">IF($K108="","",$D108&amp;"-"&amp;$K108)</f>
        <v/>
      </c>
    </row>
    <row r="109" customFormat="false" ht="22.35" hidden="false" customHeight="false" outlineLevel="0" collapsed="false">
      <c r="A109" s="10" t="str">
        <f aca="false">02_施策マスター!A109</f>
        <v>AIMF-PR-GRD-005</v>
      </c>
      <c r="B109" s="10" t="str">
        <f aca="false">02_施策マスター!B109</f>
        <v>構造化出力・スキーマ検証の強制</v>
      </c>
      <c r="C109" s="10" t="str">
        <f aca="false">02_施策マスター!C109</f>
        <v>PR</v>
      </c>
      <c r="D109" s="10" t="str">
        <f aca="false">02_施策マスター!O109</f>
        <v>長期</v>
      </c>
      <c r="E109" s="10" t="n">
        <f aca="false">02_施策マスター!I109</f>
        <v>9</v>
      </c>
      <c r="F109" s="10" t="n">
        <f aca="false">02_施策マスター!H109</f>
        <v>4</v>
      </c>
      <c r="G109" s="10" t="n">
        <f aca="false">COUNTIFS(05_施策抽出!$E:$E,$A109,05_施策抽出!$B:$B,"○")</f>
        <v>0</v>
      </c>
      <c r="H109" s="10" t="str">
        <f aca="false">IF($G109&gt;0,"○","")</f>
        <v/>
      </c>
      <c r="I109" s="10" t="str">
        <f aca="false">IF($H109="","",ROUND(SUMIFS(05_施策抽出!$C:$C,05_施策抽出!$E:$E,$A109,05_施策抽出!$B:$B,"○")*02_施策マスター!$P109*02_施策マスター!$K109,1))</f>
        <v/>
      </c>
      <c r="J109" s="10" t="str">
        <f aca="false">IF($I109="","",$I109+(1000-ROW())/1000000)</f>
        <v/>
      </c>
      <c r="K109" s="10" t="str">
        <f aca="false">IF($H109="","",COUNTIFS($D$2:$D$208,$D109,$J$2:$J$208,"&gt;"&amp;$J109)+1)</f>
        <v/>
      </c>
      <c r="L109" s="10" t="str">
        <f aca="false">IF($K109="","",$D109&amp;"-"&amp;$K109)</f>
        <v/>
      </c>
    </row>
    <row r="110" customFormat="false" ht="26.85" hidden="false" customHeight="false" outlineLevel="0" collapsed="false">
      <c r="A110" s="10" t="str">
        <f aca="false">02_施策マスター!A110</f>
        <v>AIMF-PR-GRD-006</v>
      </c>
      <c r="B110" s="10" t="str">
        <f aca="false">02_施策マスター!B110</f>
        <v>過剰な自律性（Excessive Agency）の制限</v>
      </c>
      <c r="C110" s="10" t="str">
        <f aca="false">02_施策マスター!C110</f>
        <v>PR</v>
      </c>
      <c r="D110" s="10" t="str">
        <f aca="false">02_施策マスター!O110</f>
        <v>長期</v>
      </c>
      <c r="E110" s="10" t="n">
        <f aca="false">02_施策マスター!I110</f>
        <v>9</v>
      </c>
      <c r="F110" s="10" t="n">
        <f aca="false">02_施策マスター!H110</f>
        <v>4</v>
      </c>
      <c r="G110" s="10" t="n">
        <f aca="false">COUNTIFS(05_施策抽出!$E:$E,$A110,05_施策抽出!$B:$B,"○")</f>
        <v>0</v>
      </c>
      <c r="H110" s="10" t="str">
        <f aca="false">IF($G110&gt;0,"○","")</f>
        <v/>
      </c>
      <c r="I110" s="10" t="str">
        <f aca="false">IF($H110="","",ROUND(SUMIFS(05_施策抽出!$C:$C,05_施策抽出!$E:$E,$A110,05_施策抽出!$B:$B,"○")*02_施策マスター!$P110*02_施策マスター!$K110,1))</f>
        <v/>
      </c>
      <c r="J110" s="10" t="str">
        <f aca="false">IF($I110="","",$I110+(1000-ROW())/1000000)</f>
        <v/>
      </c>
      <c r="K110" s="10" t="str">
        <f aca="false">IF($H110="","",COUNTIFS($D$2:$D$208,$D110,$J$2:$J$208,"&gt;"&amp;$J110)+1)</f>
        <v/>
      </c>
      <c r="L110" s="10" t="str">
        <f aca="false">IF($K110="","",$D110&amp;"-"&amp;$K110)</f>
        <v/>
      </c>
    </row>
    <row r="111" customFormat="false" ht="26.85" hidden="false" customHeight="false" outlineLevel="0" collapsed="false">
      <c r="A111" s="10" t="str">
        <f aca="false">02_施策マスター!A111</f>
        <v>AIMF-PR-GRD-007</v>
      </c>
      <c r="B111" s="10" t="str">
        <f aca="false">02_施策マスター!B111</f>
        <v>RAGコンテキストの検証と出典の強制</v>
      </c>
      <c r="C111" s="10" t="str">
        <f aca="false">02_施策マスター!C111</f>
        <v>PR</v>
      </c>
      <c r="D111" s="10" t="str">
        <f aca="false">02_施策マスター!O111</f>
        <v>長期</v>
      </c>
      <c r="E111" s="10" t="n">
        <f aca="false">02_施策マスター!I111</f>
        <v>9</v>
      </c>
      <c r="F111" s="10" t="n">
        <f aca="false">02_施策マスター!H111</f>
        <v>4</v>
      </c>
      <c r="G111" s="10" t="n">
        <f aca="false">COUNTIFS(05_施策抽出!$E:$E,$A111,05_施策抽出!$B:$B,"○")</f>
        <v>0</v>
      </c>
      <c r="H111" s="10" t="str">
        <f aca="false">IF($G111&gt;0,"○","")</f>
        <v/>
      </c>
      <c r="I111" s="10" t="str">
        <f aca="false">IF($H111="","",ROUND(SUMIFS(05_施策抽出!$C:$C,05_施策抽出!$E:$E,$A111,05_施策抽出!$B:$B,"○")*02_施策マスター!$P111*02_施策マスター!$K111,1))</f>
        <v/>
      </c>
      <c r="J111" s="10" t="str">
        <f aca="false">IF($I111="","",$I111+(1000-ROW())/1000000)</f>
        <v/>
      </c>
      <c r="K111" s="10" t="str">
        <f aca="false">IF($H111="","",COUNTIFS($D$2:$D$208,$D111,$J$2:$J$208,"&gt;"&amp;$J111)+1)</f>
        <v/>
      </c>
      <c r="L111" s="10" t="str">
        <f aca="false">IF($K111="","",$D111&amp;"-"&amp;$K111)</f>
        <v/>
      </c>
    </row>
    <row r="112" customFormat="false" ht="39.55" hidden="false" customHeight="false" outlineLevel="0" collapsed="false">
      <c r="A112" s="10" t="str">
        <f aca="false">02_施策マスター!A112</f>
        <v>AIMF-PR-GRD-008</v>
      </c>
      <c r="B112" s="10" t="str">
        <f aca="false">02_施策マスター!B112</f>
        <v>リソース消費上限の強制（Unbounded Consumption対策）</v>
      </c>
      <c r="C112" s="10" t="str">
        <f aca="false">02_施策マスター!C112</f>
        <v>PR</v>
      </c>
      <c r="D112" s="10" t="str">
        <f aca="false">02_施策マスター!O112</f>
        <v>長期</v>
      </c>
      <c r="E112" s="10" t="n">
        <f aca="false">02_施策マスター!I112</f>
        <v>9</v>
      </c>
      <c r="F112" s="10" t="n">
        <f aca="false">02_施策マスター!H112</f>
        <v>4</v>
      </c>
      <c r="G112" s="10" t="n">
        <f aca="false">COUNTIFS(05_施策抽出!$E:$E,$A112,05_施策抽出!$B:$B,"○")</f>
        <v>0</v>
      </c>
      <c r="H112" s="10" t="str">
        <f aca="false">IF($G112&gt;0,"○","")</f>
        <v/>
      </c>
      <c r="I112" s="10" t="str">
        <f aca="false">IF($H112="","",ROUND(SUMIFS(05_施策抽出!$C:$C,05_施策抽出!$E:$E,$A112,05_施策抽出!$B:$B,"○")*02_施策マスター!$P112*02_施策マスター!$K112,1))</f>
        <v/>
      </c>
      <c r="J112" s="10" t="str">
        <f aca="false">IF($I112="","",$I112+(1000-ROW())/1000000)</f>
        <v/>
      </c>
      <c r="K112" s="10" t="str">
        <f aca="false">IF($H112="","",COUNTIFS($D$2:$D$208,$D112,$J$2:$J$208,"&gt;"&amp;$J112)+1)</f>
        <v/>
      </c>
      <c r="L112" s="10" t="str">
        <f aca="false">IF($K112="","",$D112&amp;"-"&amp;$K112)</f>
        <v/>
      </c>
    </row>
    <row r="113" customFormat="false" ht="22.35" hidden="false" customHeight="false" outlineLevel="0" collapsed="false">
      <c r="A113" s="10" t="str">
        <f aca="false">02_施策マスター!A113</f>
        <v>AIMF-PR-AGT-001</v>
      </c>
      <c r="B113" s="10" t="str">
        <f aca="false">02_施策マスター!B113</f>
        <v>エージェントID管理・相互認証</v>
      </c>
      <c r="C113" s="10" t="str">
        <f aca="false">02_施策マスター!C113</f>
        <v>PR</v>
      </c>
      <c r="D113" s="10" t="str">
        <f aca="false">02_施策マスター!O113</f>
        <v>長期</v>
      </c>
      <c r="E113" s="10" t="n">
        <f aca="false">02_施策マスター!I113</f>
        <v>9</v>
      </c>
      <c r="F113" s="10" t="n">
        <f aca="false">02_施策マスター!H113</f>
        <v>4</v>
      </c>
      <c r="G113" s="10" t="n">
        <f aca="false">COUNTIFS(05_施策抽出!$E:$E,$A113,05_施策抽出!$B:$B,"○")</f>
        <v>0</v>
      </c>
      <c r="H113" s="10" t="str">
        <f aca="false">IF($G113&gt;0,"○","")</f>
        <v/>
      </c>
      <c r="I113" s="10" t="str">
        <f aca="false">IF($H113="","",ROUND(SUMIFS(05_施策抽出!$C:$C,05_施策抽出!$E:$E,$A113,05_施策抽出!$B:$B,"○")*02_施策マスター!$P113*02_施策マスター!$K113,1))</f>
        <v/>
      </c>
      <c r="J113" s="10" t="str">
        <f aca="false">IF($I113="","",$I113+(1000-ROW())/1000000)</f>
        <v/>
      </c>
      <c r="K113" s="10" t="str">
        <f aca="false">IF($H113="","",COUNTIFS($D$2:$D$208,$D113,$J$2:$J$208,"&gt;"&amp;$J113)+1)</f>
        <v/>
      </c>
      <c r="L113" s="10" t="str">
        <f aca="false">IF($K113="","",$D113&amp;"-"&amp;$K113)</f>
        <v/>
      </c>
    </row>
    <row r="114" customFormat="false" ht="26.85" hidden="false" customHeight="false" outlineLevel="0" collapsed="false">
      <c r="A114" s="10" t="str">
        <f aca="false">02_施策マスター!A114</f>
        <v>AIMF-PR-AGT-002</v>
      </c>
      <c r="B114" s="10" t="str">
        <f aca="false">02_施策マスター!B114</f>
        <v>MCP等ツール接続プロトコルのセキュリティ</v>
      </c>
      <c r="C114" s="10" t="str">
        <f aca="false">02_施策マスター!C114</f>
        <v>PR</v>
      </c>
      <c r="D114" s="10" t="str">
        <f aca="false">02_施策マスター!O114</f>
        <v>長期</v>
      </c>
      <c r="E114" s="10" t="n">
        <f aca="false">02_施策マスター!I114</f>
        <v>9</v>
      </c>
      <c r="F114" s="10" t="n">
        <f aca="false">02_施策マスター!H114</f>
        <v>4</v>
      </c>
      <c r="G114" s="10" t="n">
        <f aca="false">COUNTIFS(05_施策抽出!$E:$E,$A114,05_施策抽出!$B:$B,"○")</f>
        <v>0</v>
      </c>
      <c r="H114" s="10" t="str">
        <f aca="false">IF($G114&gt;0,"○","")</f>
        <v/>
      </c>
      <c r="I114" s="10" t="str">
        <f aca="false">IF($H114="","",ROUND(SUMIFS(05_施策抽出!$C:$C,05_施策抽出!$E:$E,$A114,05_施策抽出!$B:$B,"○")*02_施策マスター!$P114*02_施策マスター!$K114,1))</f>
        <v/>
      </c>
      <c r="J114" s="10" t="str">
        <f aca="false">IF($I114="","",$I114+(1000-ROW())/1000000)</f>
        <v/>
      </c>
      <c r="K114" s="10" t="str">
        <f aca="false">IF($H114="","",COUNTIFS($D$2:$D$208,$D114,$J$2:$J$208,"&gt;"&amp;$J114)+1)</f>
        <v/>
      </c>
      <c r="L114" s="10" t="str">
        <f aca="false">IF($K114="","",$D114&amp;"-"&amp;$K114)</f>
        <v/>
      </c>
    </row>
    <row r="115" customFormat="false" ht="26.85" hidden="false" customHeight="false" outlineLevel="0" collapsed="false">
      <c r="A115" s="10" t="str">
        <f aca="false">02_施策マスター!A115</f>
        <v>AIMF-PR-AGT-003</v>
      </c>
      <c r="B115" s="10" t="str">
        <f aca="false">02_施策マスター!B115</f>
        <v>エージェントメモリ（長期記憶）の保護と汚染対策</v>
      </c>
      <c r="C115" s="10" t="str">
        <f aca="false">02_施策マスター!C115</f>
        <v>PR</v>
      </c>
      <c r="D115" s="10" t="str">
        <f aca="false">02_施策マスター!O115</f>
        <v>長期</v>
      </c>
      <c r="E115" s="10" t="n">
        <f aca="false">02_施策マスター!I115</f>
        <v>9</v>
      </c>
      <c r="F115" s="10" t="n">
        <f aca="false">02_施策マスター!H115</f>
        <v>4</v>
      </c>
      <c r="G115" s="10" t="n">
        <f aca="false">COUNTIFS(05_施策抽出!$E:$E,$A115,05_施策抽出!$B:$B,"○")</f>
        <v>0</v>
      </c>
      <c r="H115" s="10" t="str">
        <f aca="false">IF($G115&gt;0,"○","")</f>
        <v/>
      </c>
      <c r="I115" s="10" t="str">
        <f aca="false">IF($H115="","",ROUND(SUMIFS(05_施策抽出!$C:$C,05_施策抽出!$E:$E,$A115,05_施策抽出!$B:$B,"○")*02_施策マスター!$P115*02_施策マスター!$K115,1))</f>
        <v/>
      </c>
      <c r="J115" s="10" t="str">
        <f aca="false">IF($I115="","",$I115+(1000-ROW())/1000000)</f>
        <v/>
      </c>
      <c r="K115" s="10" t="str">
        <f aca="false">IF($H115="","",COUNTIFS($D$2:$D$208,$D115,$J$2:$J$208,"&gt;"&amp;$J115)+1)</f>
        <v/>
      </c>
      <c r="L115" s="10" t="str">
        <f aca="false">IF($K115="","",$D115&amp;"-"&amp;$K115)</f>
        <v/>
      </c>
    </row>
    <row r="116" customFormat="false" ht="26.85" hidden="false" customHeight="false" outlineLevel="0" collapsed="false">
      <c r="A116" s="10" t="str">
        <f aca="false">02_施策マスター!A116</f>
        <v>AIMF-PR-AGT-004</v>
      </c>
      <c r="B116" s="10" t="str">
        <f aca="false">02_施策マスター!B116</f>
        <v>最小エージェンシー原則（行動範囲・目標境界の定義）</v>
      </c>
      <c r="C116" s="10" t="str">
        <f aca="false">02_施策マスター!C116</f>
        <v>PR</v>
      </c>
      <c r="D116" s="10" t="str">
        <f aca="false">02_施策マスター!O116</f>
        <v>長期</v>
      </c>
      <c r="E116" s="10" t="n">
        <f aca="false">02_施策マスター!I116</f>
        <v>9</v>
      </c>
      <c r="F116" s="10" t="n">
        <f aca="false">02_施策マスター!H116</f>
        <v>4</v>
      </c>
      <c r="G116" s="10" t="n">
        <f aca="false">COUNTIFS(05_施策抽出!$E:$E,$A116,05_施策抽出!$B:$B,"○")</f>
        <v>0</v>
      </c>
      <c r="H116" s="10" t="str">
        <f aca="false">IF($G116&gt;0,"○","")</f>
        <v/>
      </c>
      <c r="I116" s="10" t="str">
        <f aca="false">IF($H116="","",ROUND(SUMIFS(05_施策抽出!$C:$C,05_施策抽出!$E:$E,$A116,05_施策抽出!$B:$B,"○")*02_施策マスター!$P116*02_施策マスター!$K116,1))</f>
        <v/>
      </c>
      <c r="J116" s="10" t="str">
        <f aca="false">IF($I116="","",$I116+(1000-ROW())/1000000)</f>
        <v/>
      </c>
      <c r="K116" s="10" t="str">
        <f aca="false">IF($H116="","",COUNTIFS($D$2:$D$208,$D116,$J$2:$J$208,"&gt;"&amp;$J116)+1)</f>
        <v/>
      </c>
      <c r="L116" s="10" t="str">
        <f aca="false">IF($K116="","",$D116&amp;"-"&amp;$K116)</f>
        <v/>
      </c>
    </row>
    <row r="117" customFormat="false" ht="26.85" hidden="false" customHeight="false" outlineLevel="0" collapsed="false">
      <c r="A117" s="10" t="str">
        <f aca="false">02_施策マスター!A117</f>
        <v>AIMF-PR-AGT-005</v>
      </c>
      <c r="B117" s="10" t="str">
        <f aca="false">02_施策マスター!B117</f>
        <v>ツールACLマトリクスによる呼出可否管理</v>
      </c>
      <c r="C117" s="10" t="str">
        <f aca="false">02_施策マスター!C117</f>
        <v>PR</v>
      </c>
      <c r="D117" s="10" t="str">
        <f aca="false">02_施策マスター!O117</f>
        <v>長期</v>
      </c>
      <c r="E117" s="10" t="n">
        <f aca="false">02_施策マスター!I117</f>
        <v>9</v>
      </c>
      <c r="F117" s="10" t="n">
        <f aca="false">02_施策マスター!H117</f>
        <v>4</v>
      </c>
      <c r="G117" s="10" t="n">
        <f aca="false">COUNTIFS(05_施策抽出!$E:$E,$A117,05_施策抽出!$B:$B,"○")</f>
        <v>0</v>
      </c>
      <c r="H117" s="10" t="str">
        <f aca="false">IF($G117&gt;0,"○","")</f>
        <v/>
      </c>
      <c r="I117" s="10" t="str">
        <f aca="false">IF($H117="","",ROUND(SUMIFS(05_施策抽出!$C:$C,05_施策抽出!$E:$E,$A117,05_施策抽出!$B:$B,"○")*02_施策マスター!$P117*02_施策マスター!$K117,1))</f>
        <v/>
      </c>
      <c r="J117" s="10" t="str">
        <f aca="false">IF($I117="","",$I117+(1000-ROW())/1000000)</f>
        <v/>
      </c>
      <c r="K117" s="10" t="str">
        <f aca="false">IF($H117="","",COUNTIFS($D$2:$D$208,$D117,$J$2:$J$208,"&gt;"&amp;$J117)+1)</f>
        <v/>
      </c>
      <c r="L117" s="10" t="str">
        <f aca="false">IF($K117="","",$D117&amp;"-"&amp;$K117)</f>
        <v/>
      </c>
    </row>
    <row r="118" customFormat="false" ht="22.35" hidden="false" customHeight="false" outlineLevel="0" collapsed="false">
      <c r="A118" s="10" t="str">
        <f aca="false">02_施策マスター!A118</f>
        <v>AIMF-PR-AGT-006</v>
      </c>
      <c r="B118" s="10" t="str">
        <f aca="false">02_施策マスター!B118</f>
        <v>タスク計画の事前検証と逸脱制御</v>
      </c>
      <c r="C118" s="10" t="str">
        <f aca="false">02_施策マスター!C118</f>
        <v>PR</v>
      </c>
      <c r="D118" s="10" t="str">
        <f aca="false">02_施策マスター!O118</f>
        <v>長期</v>
      </c>
      <c r="E118" s="10" t="n">
        <f aca="false">02_施策マスター!I118</f>
        <v>9</v>
      </c>
      <c r="F118" s="10" t="n">
        <f aca="false">02_施策マスター!H118</f>
        <v>4</v>
      </c>
      <c r="G118" s="10" t="n">
        <f aca="false">COUNTIFS(05_施策抽出!$E:$E,$A118,05_施策抽出!$B:$B,"○")</f>
        <v>0</v>
      </c>
      <c r="H118" s="10" t="str">
        <f aca="false">IF($G118&gt;0,"○","")</f>
        <v/>
      </c>
      <c r="I118" s="10" t="str">
        <f aca="false">IF($H118="","",ROUND(SUMIFS(05_施策抽出!$C:$C,05_施策抽出!$E:$E,$A118,05_施策抽出!$B:$B,"○")*02_施策マスター!$P118*02_施策マスター!$K118,1))</f>
        <v/>
      </c>
      <c r="J118" s="10" t="str">
        <f aca="false">IF($I118="","",$I118+(1000-ROW())/1000000)</f>
        <v/>
      </c>
      <c r="K118" s="10" t="str">
        <f aca="false">IF($H118="","",COUNTIFS($D$2:$D$208,$D118,$J$2:$J$208,"&gt;"&amp;$J118)+1)</f>
        <v/>
      </c>
      <c r="L118" s="10" t="str">
        <f aca="false">IF($K118="","",$D118&amp;"-"&amp;$K118)</f>
        <v/>
      </c>
    </row>
    <row r="119" customFormat="false" ht="26.85" hidden="false" customHeight="false" outlineLevel="0" collapsed="false">
      <c r="A119" s="10" t="str">
        <f aca="false">02_施策マスター!A119</f>
        <v>AIMF-PR-AGT-007</v>
      </c>
      <c r="B119" s="10" t="str">
        <f aca="false">02_施策マスター!B119</f>
        <v>エージェント生成コードの実行統制</v>
      </c>
      <c r="C119" s="10" t="str">
        <f aca="false">02_施策マスター!C119</f>
        <v>PR</v>
      </c>
      <c r="D119" s="10" t="str">
        <f aca="false">02_施策マスター!O119</f>
        <v>長期</v>
      </c>
      <c r="E119" s="10" t="n">
        <f aca="false">02_施策マスター!I119</f>
        <v>9</v>
      </c>
      <c r="F119" s="10" t="n">
        <f aca="false">02_施策マスター!H119</f>
        <v>4</v>
      </c>
      <c r="G119" s="10" t="n">
        <f aca="false">COUNTIFS(05_施策抽出!$E:$E,$A119,05_施策抽出!$B:$B,"○")</f>
        <v>0</v>
      </c>
      <c r="H119" s="10" t="str">
        <f aca="false">IF($G119&gt;0,"○","")</f>
        <v/>
      </c>
      <c r="I119" s="10" t="str">
        <f aca="false">IF($H119="","",ROUND(SUMIFS(05_施策抽出!$C:$C,05_施策抽出!$E:$E,$A119,05_施策抽出!$B:$B,"○")*02_施策マスター!$P119*02_施策マスター!$K119,1))</f>
        <v/>
      </c>
      <c r="J119" s="10" t="str">
        <f aca="false">IF($I119="","",$I119+(1000-ROW())/1000000)</f>
        <v/>
      </c>
      <c r="K119" s="10" t="str">
        <f aca="false">IF($H119="","",COUNTIFS($D$2:$D$208,$D119,$J$2:$J$208,"&gt;"&amp;$J119)+1)</f>
        <v/>
      </c>
      <c r="L119" s="10" t="str">
        <f aca="false">IF($K119="","",$D119&amp;"-"&amp;$K119)</f>
        <v/>
      </c>
    </row>
    <row r="120" customFormat="false" ht="26.85" hidden="false" customHeight="false" outlineLevel="0" collapsed="false">
      <c r="A120" s="10" t="str">
        <f aca="false">02_施策マスター!A120</f>
        <v>AIMF-PR-AGT-008</v>
      </c>
      <c r="B120" s="10" t="str">
        <f aca="false">02_施策マスター!B120</f>
        <v>委任チェーン・エージェント間信頼境界の設計</v>
      </c>
      <c r="C120" s="10" t="str">
        <f aca="false">02_施策マスター!C120</f>
        <v>PR</v>
      </c>
      <c r="D120" s="10" t="str">
        <f aca="false">02_施策マスター!O120</f>
        <v>長期</v>
      </c>
      <c r="E120" s="10" t="n">
        <f aca="false">02_施策マスター!I120</f>
        <v>9</v>
      </c>
      <c r="F120" s="10" t="n">
        <f aca="false">02_施策マスター!H120</f>
        <v>4</v>
      </c>
      <c r="G120" s="10" t="n">
        <f aca="false">COUNTIFS(05_施策抽出!$E:$E,$A120,05_施策抽出!$B:$B,"○")</f>
        <v>0</v>
      </c>
      <c r="H120" s="10" t="str">
        <f aca="false">IF($G120&gt;0,"○","")</f>
        <v/>
      </c>
      <c r="I120" s="10" t="str">
        <f aca="false">IF($H120="","",ROUND(SUMIFS(05_施策抽出!$C:$C,05_施策抽出!$E:$E,$A120,05_施策抽出!$B:$B,"○")*02_施策マスター!$P120*02_施策マスター!$K120,1))</f>
        <v/>
      </c>
      <c r="J120" s="10" t="str">
        <f aca="false">IF($I120="","",$I120+(1000-ROW())/1000000)</f>
        <v/>
      </c>
      <c r="K120" s="10" t="str">
        <f aca="false">IF($H120="","",COUNTIFS($D$2:$D$208,$D120,$J$2:$J$208,"&gt;"&amp;$J120)+1)</f>
        <v/>
      </c>
      <c r="L120" s="10" t="str">
        <f aca="false">IF($K120="","",$D120&amp;"-"&amp;$K120)</f>
        <v/>
      </c>
    </row>
    <row r="121" customFormat="false" ht="26.85" hidden="false" customHeight="false" outlineLevel="0" collapsed="false">
      <c r="A121" s="10" t="str">
        <f aca="false">02_施策マスター!A121</f>
        <v>AIMF-PR-AGT-009</v>
      </c>
      <c r="B121" s="10" t="str">
        <f aca="false">02_施策マスター!B121</f>
        <v>エージェント設定のセキュアベースライン</v>
      </c>
      <c r="C121" s="10" t="str">
        <f aca="false">02_施策マスター!C121</f>
        <v>PR</v>
      </c>
      <c r="D121" s="10" t="str">
        <f aca="false">02_施策マスター!O121</f>
        <v>長期</v>
      </c>
      <c r="E121" s="10" t="n">
        <f aca="false">02_施策マスター!I121</f>
        <v>9</v>
      </c>
      <c r="F121" s="10" t="n">
        <f aca="false">02_施策マスター!H121</f>
        <v>4</v>
      </c>
      <c r="G121" s="10" t="n">
        <f aca="false">COUNTIFS(05_施策抽出!$E:$E,$A121,05_施策抽出!$B:$B,"○")</f>
        <v>0</v>
      </c>
      <c r="H121" s="10" t="str">
        <f aca="false">IF($G121&gt;0,"○","")</f>
        <v/>
      </c>
      <c r="I121" s="10" t="str">
        <f aca="false">IF($H121="","",ROUND(SUMIFS(05_施策抽出!$C:$C,05_施策抽出!$E:$E,$A121,05_施策抽出!$B:$B,"○")*02_施策マスター!$P121*02_施策マスター!$K121,1))</f>
        <v/>
      </c>
      <c r="J121" s="10" t="str">
        <f aca="false">IF($I121="","",$I121+(1000-ROW())/1000000)</f>
        <v/>
      </c>
      <c r="K121" s="10" t="str">
        <f aca="false">IF($H121="","",COUNTIFS($D$2:$D$208,$D121,$J$2:$J$208,"&gt;"&amp;$J121)+1)</f>
        <v/>
      </c>
      <c r="L121" s="10" t="str">
        <f aca="false">IF($K121="","",$D121&amp;"-"&amp;$K121)</f>
        <v/>
      </c>
    </row>
    <row r="122" customFormat="false" ht="26.85" hidden="false" customHeight="false" outlineLevel="0" collapsed="false">
      <c r="A122" s="10" t="str">
        <f aca="false">02_施策マスター!A122</f>
        <v>AIMF-PR-AGT-010</v>
      </c>
      <c r="B122" s="10" t="str">
        <f aca="false">02_施策マスター!B122</f>
        <v>オーケストレーターの単一障害点・乗っ取り対策</v>
      </c>
      <c r="C122" s="10" t="str">
        <f aca="false">02_施策マスター!C122</f>
        <v>PR</v>
      </c>
      <c r="D122" s="10" t="str">
        <f aca="false">02_施策マスター!O122</f>
        <v>長期</v>
      </c>
      <c r="E122" s="10" t="n">
        <f aca="false">02_施策マスター!I122</f>
        <v>9</v>
      </c>
      <c r="F122" s="10" t="n">
        <f aca="false">02_施策マスター!H122</f>
        <v>4</v>
      </c>
      <c r="G122" s="10" t="n">
        <f aca="false">COUNTIFS(05_施策抽出!$E:$E,$A122,05_施策抽出!$B:$B,"○")</f>
        <v>0</v>
      </c>
      <c r="H122" s="10" t="str">
        <f aca="false">IF($G122&gt;0,"○","")</f>
        <v/>
      </c>
      <c r="I122" s="10" t="str">
        <f aca="false">IF($H122="","",ROUND(SUMIFS(05_施策抽出!$C:$C,05_施策抽出!$E:$E,$A122,05_施策抽出!$B:$B,"○")*02_施策マスター!$P122*02_施策マスター!$K122,1))</f>
        <v/>
      </c>
      <c r="J122" s="10" t="str">
        <f aca="false">IF($I122="","",$I122+(1000-ROW())/1000000)</f>
        <v/>
      </c>
      <c r="K122" s="10" t="str">
        <f aca="false">IF($H122="","",COUNTIFS($D$2:$D$208,$D122,$J$2:$J$208,"&gt;"&amp;$J122)+1)</f>
        <v/>
      </c>
      <c r="L122" s="10" t="str">
        <f aca="false">IF($K122="","",$D122&amp;"-"&amp;$K122)</f>
        <v/>
      </c>
    </row>
    <row r="123" customFormat="false" ht="26.85" hidden="false" customHeight="false" outlineLevel="0" collapsed="false">
      <c r="A123" s="10" t="str">
        <f aca="false">02_施策マスター!A123</f>
        <v>AIMF-PR-HOV-001</v>
      </c>
      <c r="B123" s="10" t="str">
        <f aca="false">02_施策マスター!B123</f>
        <v>人間による監督（Human Oversight）の全体設計</v>
      </c>
      <c r="C123" s="10" t="str">
        <f aca="false">02_施策マスター!C123</f>
        <v>PR</v>
      </c>
      <c r="D123" s="10" t="str">
        <f aca="false">02_施策マスター!O123</f>
        <v>長期</v>
      </c>
      <c r="E123" s="10" t="n">
        <f aca="false">02_施策マスター!I123</f>
        <v>9</v>
      </c>
      <c r="F123" s="10" t="n">
        <f aca="false">02_施策マスター!H123</f>
        <v>4</v>
      </c>
      <c r="G123" s="10" t="n">
        <f aca="false">COUNTIFS(05_施策抽出!$E:$E,$A123,05_施策抽出!$B:$B,"○")</f>
        <v>0</v>
      </c>
      <c r="H123" s="10" t="str">
        <f aca="false">IF($G123&gt;0,"○","")</f>
        <v/>
      </c>
      <c r="I123" s="10" t="str">
        <f aca="false">IF($H123="","",ROUND(SUMIFS(05_施策抽出!$C:$C,05_施策抽出!$E:$E,$A123,05_施策抽出!$B:$B,"○")*02_施策マスター!$P123*02_施策マスター!$K123,1))</f>
        <v/>
      </c>
      <c r="J123" s="10" t="str">
        <f aca="false">IF($I123="","",$I123+(1000-ROW())/1000000)</f>
        <v/>
      </c>
      <c r="K123" s="10" t="str">
        <f aca="false">IF($H123="","",COUNTIFS($D$2:$D$208,$D123,$J$2:$J$208,"&gt;"&amp;$J123)+1)</f>
        <v/>
      </c>
      <c r="L123" s="10" t="str">
        <f aca="false">IF($K123="","",$D123&amp;"-"&amp;$K123)</f>
        <v/>
      </c>
    </row>
    <row r="124" customFormat="false" ht="26.85" hidden="false" customHeight="false" outlineLevel="0" collapsed="false">
      <c r="A124" s="10" t="str">
        <f aca="false">02_施策マスター!A124</f>
        <v>AIMF-PR-HOV-002</v>
      </c>
      <c r="B124" s="10" t="str">
        <f aca="false">02_施策マスター!B124</f>
        <v>監督者の力量要件と自動化バイアス対策</v>
      </c>
      <c r="C124" s="10" t="str">
        <f aca="false">02_施策マスター!C124</f>
        <v>PR</v>
      </c>
      <c r="D124" s="10" t="str">
        <f aca="false">02_施策マスター!O124</f>
        <v>長期</v>
      </c>
      <c r="E124" s="10" t="n">
        <f aca="false">02_施策マスター!I124</f>
        <v>9</v>
      </c>
      <c r="F124" s="10" t="n">
        <f aca="false">02_施策マスター!H124</f>
        <v>4</v>
      </c>
      <c r="G124" s="10" t="n">
        <f aca="false">COUNTIFS(05_施策抽出!$E:$E,$A124,05_施策抽出!$B:$B,"○")</f>
        <v>0</v>
      </c>
      <c r="H124" s="10" t="str">
        <f aca="false">IF($G124&gt;0,"○","")</f>
        <v/>
      </c>
      <c r="I124" s="10" t="str">
        <f aca="false">IF($H124="","",ROUND(SUMIFS(05_施策抽出!$C:$C,05_施策抽出!$E:$E,$A124,05_施策抽出!$B:$B,"○")*02_施策マスター!$P124*02_施策マスター!$K124,1))</f>
        <v/>
      </c>
      <c r="J124" s="10" t="str">
        <f aca="false">IF($I124="","",$I124+(1000-ROW())/1000000)</f>
        <v/>
      </c>
      <c r="K124" s="10" t="str">
        <f aca="false">IF($H124="","",COUNTIFS($D$2:$D$208,$D124,$J$2:$J$208,"&gt;"&amp;$J124)+1)</f>
        <v/>
      </c>
      <c r="L124" s="10" t="str">
        <f aca="false">IF($K124="","",$D124&amp;"-"&amp;$K124)</f>
        <v/>
      </c>
    </row>
    <row r="125" customFormat="false" ht="26.85" hidden="false" customHeight="false" outlineLevel="0" collapsed="false">
      <c r="A125" s="10" t="str">
        <f aca="false">02_施策マスター!A125</f>
        <v>AIMF-PR-HOV-003</v>
      </c>
      <c r="B125" s="10" t="str">
        <f aca="false">02_施策マスター!B125</f>
        <v>人間・エージェント間の信頼悪用対策</v>
      </c>
      <c r="C125" s="10" t="str">
        <f aca="false">02_施策マスター!C125</f>
        <v>PR</v>
      </c>
      <c r="D125" s="10" t="str">
        <f aca="false">02_施策マスター!O125</f>
        <v>長期</v>
      </c>
      <c r="E125" s="10" t="n">
        <f aca="false">02_施策マスター!I125</f>
        <v>9</v>
      </c>
      <c r="F125" s="10" t="n">
        <f aca="false">02_施策マスター!H125</f>
        <v>4</v>
      </c>
      <c r="G125" s="10" t="n">
        <f aca="false">COUNTIFS(05_施策抽出!$E:$E,$A125,05_施策抽出!$B:$B,"○")</f>
        <v>0</v>
      </c>
      <c r="H125" s="10" t="str">
        <f aca="false">IF($G125&gt;0,"○","")</f>
        <v/>
      </c>
      <c r="I125" s="10" t="str">
        <f aca="false">IF($H125="","",ROUND(SUMIFS(05_施策抽出!$C:$C,05_施策抽出!$E:$E,$A125,05_施策抽出!$B:$B,"○")*02_施策マスター!$P125*02_施策マスター!$K125,1))</f>
        <v/>
      </c>
      <c r="J125" s="10" t="str">
        <f aca="false">IF($I125="","",$I125+(1000-ROW())/1000000)</f>
        <v/>
      </c>
      <c r="K125" s="10" t="str">
        <f aca="false">IF($H125="","",COUNTIFS($D$2:$D$208,$D125,$J$2:$J$208,"&gt;"&amp;$J125)+1)</f>
        <v/>
      </c>
      <c r="L125" s="10" t="str">
        <f aca="false">IF($K125="","",$D125&amp;"-"&amp;$K125)</f>
        <v/>
      </c>
    </row>
    <row r="126" customFormat="false" ht="22.35" hidden="false" customHeight="false" outlineLevel="0" collapsed="false">
      <c r="A126" s="10" t="str">
        <f aca="false">02_施策マスター!A126</f>
        <v>AIMF-PR-ADV-001</v>
      </c>
      <c r="B126" s="10" t="str">
        <f aca="false">02_施策マスター!B126</f>
        <v>従来型ML特有の敵対的攻撃対策</v>
      </c>
      <c r="C126" s="10" t="str">
        <f aca="false">02_施策マスター!C126</f>
        <v>PR</v>
      </c>
      <c r="D126" s="10" t="str">
        <f aca="false">02_施策マスター!O126</f>
        <v>長期</v>
      </c>
      <c r="E126" s="10" t="n">
        <f aca="false">02_施策マスター!I126</f>
        <v>9</v>
      </c>
      <c r="F126" s="10" t="n">
        <f aca="false">02_施策マスター!H126</f>
        <v>4</v>
      </c>
      <c r="G126" s="10" t="n">
        <f aca="false">COUNTIFS(05_施策抽出!$E:$E,$A126,05_施策抽出!$B:$B,"○")</f>
        <v>0</v>
      </c>
      <c r="H126" s="10" t="str">
        <f aca="false">IF($G126&gt;0,"○","")</f>
        <v/>
      </c>
      <c r="I126" s="10" t="str">
        <f aca="false">IF($H126="","",ROUND(SUMIFS(05_施策抽出!$C:$C,05_施策抽出!$E:$E,$A126,05_施策抽出!$B:$B,"○")*02_施策マスター!$P126*02_施策マスター!$K126,1))</f>
        <v/>
      </c>
      <c r="J126" s="10" t="str">
        <f aca="false">IF($I126="","",$I126+(1000-ROW())/1000000)</f>
        <v/>
      </c>
      <c r="K126" s="10" t="str">
        <f aca="false">IF($H126="","",COUNTIFS($D$2:$D$208,$D126,$J$2:$J$208,"&gt;"&amp;$J126)+1)</f>
        <v/>
      </c>
      <c r="L126" s="10" t="str">
        <f aca="false">IF($K126="","",$D126&amp;"-"&amp;$K126)</f>
        <v/>
      </c>
    </row>
    <row r="127" customFormat="false" ht="22.35" hidden="false" customHeight="false" outlineLevel="0" collapsed="false">
      <c r="A127" s="10" t="str">
        <f aca="false">02_施策マスター!A127</f>
        <v>AIMF-PR-ADV-002</v>
      </c>
      <c r="B127" s="10" t="str">
        <f aca="false">02_施策マスター!B127</f>
        <v>モデル抽出・スティーリング対策</v>
      </c>
      <c r="C127" s="10" t="str">
        <f aca="false">02_施策マスター!C127</f>
        <v>PR</v>
      </c>
      <c r="D127" s="10" t="str">
        <f aca="false">02_施策マスター!O127</f>
        <v>長期</v>
      </c>
      <c r="E127" s="10" t="n">
        <f aca="false">02_施策マスター!I127</f>
        <v>9</v>
      </c>
      <c r="F127" s="10" t="n">
        <f aca="false">02_施策マスター!H127</f>
        <v>4</v>
      </c>
      <c r="G127" s="10" t="n">
        <f aca="false">COUNTIFS(05_施策抽出!$E:$E,$A127,05_施策抽出!$B:$B,"○")</f>
        <v>0</v>
      </c>
      <c r="H127" s="10" t="str">
        <f aca="false">IF($G127&gt;0,"○","")</f>
        <v/>
      </c>
      <c r="I127" s="10" t="str">
        <f aca="false">IF($H127="","",ROUND(SUMIFS(05_施策抽出!$C:$C,05_施策抽出!$E:$E,$A127,05_施策抽出!$B:$B,"○")*02_施策マスター!$P127*02_施策マスター!$K127,1))</f>
        <v/>
      </c>
      <c r="J127" s="10" t="str">
        <f aca="false">IF($I127="","",$I127+(1000-ROW())/1000000)</f>
        <v/>
      </c>
      <c r="K127" s="10" t="str">
        <f aca="false">IF($H127="","",COUNTIFS($D$2:$D$208,$D127,$J$2:$J$208,"&gt;"&amp;$J127)+1)</f>
        <v/>
      </c>
      <c r="L127" s="10" t="str">
        <f aca="false">IF($K127="","",$D127&amp;"-"&amp;$K127)</f>
        <v/>
      </c>
    </row>
    <row r="128" customFormat="false" ht="26.85" hidden="false" customHeight="false" outlineLevel="0" collapsed="false">
      <c r="A128" s="10" t="str">
        <f aca="false">02_施策マスター!A128</f>
        <v>AIMF-PR-ADV-003</v>
      </c>
      <c r="B128" s="10" t="str">
        <f aca="false">02_施策マスター!B128</f>
        <v>メンバーシップ推論・モデル反転対策</v>
      </c>
      <c r="C128" s="10" t="str">
        <f aca="false">02_施策マスター!C128</f>
        <v>PR</v>
      </c>
      <c r="D128" s="10" t="str">
        <f aca="false">02_施策マスター!O128</f>
        <v>長期</v>
      </c>
      <c r="E128" s="10" t="n">
        <f aca="false">02_施策マスター!I128</f>
        <v>9</v>
      </c>
      <c r="F128" s="10" t="n">
        <f aca="false">02_施策マスター!H128</f>
        <v>4</v>
      </c>
      <c r="G128" s="10" t="n">
        <f aca="false">COUNTIFS(05_施策抽出!$E:$E,$A128,05_施策抽出!$B:$B,"○")</f>
        <v>0</v>
      </c>
      <c r="H128" s="10" t="str">
        <f aca="false">IF($G128&gt;0,"○","")</f>
        <v/>
      </c>
      <c r="I128" s="10" t="str">
        <f aca="false">IF($H128="","",ROUND(SUMIFS(05_施策抽出!$C:$C,05_施策抽出!$E:$E,$A128,05_施策抽出!$B:$B,"○")*02_施策マスター!$P128*02_施策マスター!$K128,1))</f>
        <v/>
      </c>
      <c r="J128" s="10" t="str">
        <f aca="false">IF($I128="","",$I128+(1000-ROW())/1000000)</f>
        <v/>
      </c>
      <c r="K128" s="10" t="str">
        <f aca="false">IF($H128="","",COUNTIFS($D$2:$D$208,$D128,$J$2:$J$208,"&gt;"&amp;$J128)+1)</f>
        <v/>
      </c>
      <c r="L128" s="10" t="str">
        <f aca="false">IF($K128="","",$D128&amp;"-"&amp;$K128)</f>
        <v/>
      </c>
    </row>
    <row r="129" customFormat="false" ht="22.35" hidden="false" customHeight="false" outlineLevel="0" collapsed="false">
      <c r="A129" s="10" t="str">
        <f aca="false">02_施策マスター!A129</f>
        <v>AIMF-PR-ADV-004</v>
      </c>
      <c r="B129" s="10" t="str">
        <f aca="false">02_施策マスター!B129</f>
        <v>回避攻撃（敵対的サンプル）対策</v>
      </c>
      <c r="C129" s="10" t="str">
        <f aca="false">02_施策マスター!C129</f>
        <v>PR</v>
      </c>
      <c r="D129" s="10" t="str">
        <f aca="false">02_施策マスター!O129</f>
        <v>長期</v>
      </c>
      <c r="E129" s="10" t="n">
        <f aca="false">02_施策マスター!I129</f>
        <v>9</v>
      </c>
      <c r="F129" s="10" t="n">
        <f aca="false">02_施策マスター!H129</f>
        <v>4</v>
      </c>
      <c r="G129" s="10" t="n">
        <f aca="false">COUNTIFS(05_施策抽出!$E:$E,$A129,05_施策抽出!$B:$B,"○")</f>
        <v>0</v>
      </c>
      <c r="H129" s="10" t="str">
        <f aca="false">IF($G129&gt;0,"○","")</f>
        <v/>
      </c>
      <c r="I129" s="10" t="str">
        <f aca="false">IF($H129="","",ROUND(SUMIFS(05_施策抽出!$C:$C,05_施策抽出!$E:$E,$A129,05_施策抽出!$B:$B,"○")*02_施策マスター!$P129*02_施策マスター!$K129,1))</f>
        <v/>
      </c>
      <c r="J129" s="10" t="str">
        <f aca="false">IF($I129="","",$I129+(1000-ROW())/1000000)</f>
        <v/>
      </c>
      <c r="K129" s="10" t="str">
        <f aca="false">IF($H129="","",COUNTIFS($D$2:$D$208,$D129,$J$2:$J$208,"&gt;"&amp;$J129)+1)</f>
        <v/>
      </c>
      <c r="L129" s="10" t="str">
        <f aca="false">IF($K129="","",$D129&amp;"-"&amp;$K129)</f>
        <v/>
      </c>
    </row>
    <row r="130" customFormat="false" ht="26.85" hidden="false" customHeight="false" outlineLevel="0" collapsed="false">
      <c r="A130" s="10" t="str">
        <f aca="false">02_施策マスター!A130</f>
        <v>AIMF-PR-CAI-001</v>
      </c>
      <c r="B130" s="10" t="str">
        <f aca="false">02_施策マスター!B130</f>
        <v>フィッシング・標的型攻撃対策の高度化（対AI攻撃）</v>
      </c>
      <c r="C130" s="10" t="str">
        <f aca="false">02_施策マスター!C130</f>
        <v>PR</v>
      </c>
      <c r="D130" s="10" t="str">
        <f aca="false">02_施策マスター!O130</f>
        <v>中期</v>
      </c>
      <c r="E130" s="10" t="n">
        <f aca="false">02_施策マスター!I130</f>
        <v>6</v>
      </c>
      <c r="F130" s="10" t="n">
        <f aca="false">02_施策マスター!H130</f>
        <v>3</v>
      </c>
      <c r="G130" s="10" t="n">
        <f aca="false">COUNTIFS(05_施策抽出!$E:$E,$A130,05_施策抽出!$B:$B,"○")</f>
        <v>0</v>
      </c>
      <c r="H130" s="10" t="str">
        <f aca="false">IF($G130&gt;0,"○","")</f>
        <v/>
      </c>
      <c r="I130" s="10" t="str">
        <f aca="false">IF($H130="","",ROUND(SUMIFS(05_施策抽出!$C:$C,05_施策抽出!$E:$E,$A130,05_施策抽出!$B:$B,"○")*02_施策マスター!$P130*02_施策マスター!$K130,1))</f>
        <v/>
      </c>
      <c r="J130" s="10" t="str">
        <f aca="false">IF($I130="","",$I130+(1000-ROW())/1000000)</f>
        <v/>
      </c>
      <c r="K130" s="10" t="str">
        <f aca="false">IF($H130="","",COUNTIFS($D$2:$D$208,$D130,$J$2:$J$208,"&gt;"&amp;$J130)+1)</f>
        <v/>
      </c>
      <c r="L130" s="10" t="str">
        <f aca="false">IF($K130="","",$D130&amp;"-"&amp;$K130)</f>
        <v/>
      </c>
    </row>
    <row r="131" customFormat="false" ht="26.85" hidden="false" customHeight="false" outlineLevel="0" collapsed="false">
      <c r="A131" s="10" t="str">
        <f aca="false">02_施策マスター!A131</f>
        <v>AIMF-PR-CAI-002</v>
      </c>
      <c r="B131" s="10" t="str">
        <f aca="false">02_施策マスター!B131</f>
        <v>MFAにおける生体・音声認証の見直し（対ディープフェイク）</v>
      </c>
      <c r="C131" s="10" t="str">
        <f aca="false">02_施策マスター!C131</f>
        <v>PR</v>
      </c>
      <c r="D131" s="10" t="str">
        <f aca="false">02_施策マスター!O131</f>
        <v>中期</v>
      </c>
      <c r="E131" s="10" t="n">
        <f aca="false">02_施策マスター!I131</f>
        <v>6</v>
      </c>
      <c r="F131" s="10" t="n">
        <f aca="false">02_施策マスター!H131</f>
        <v>3</v>
      </c>
      <c r="G131" s="10" t="n">
        <f aca="false">COUNTIFS(05_施策抽出!$E:$E,$A131,05_施策抽出!$B:$B,"○")</f>
        <v>0</v>
      </c>
      <c r="H131" s="10" t="str">
        <f aca="false">IF($G131&gt;0,"○","")</f>
        <v/>
      </c>
      <c r="I131" s="10" t="str">
        <f aca="false">IF($H131="","",ROUND(SUMIFS(05_施策抽出!$C:$C,05_施策抽出!$E:$E,$A131,05_施策抽出!$B:$B,"○")*02_施策マスター!$P131*02_施策マスター!$K131,1))</f>
        <v/>
      </c>
      <c r="J131" s="10" t="str">
        <f aca="false">IF($I131="","",$I131+(1000-ROW())/1000000)</f>
        <v/>
      </c>
      <c r="K131" s="10" t="str">
        <f aca="false">IF($H131="","",COUNTIFS($D$2:$D$208,$D131,$J$2:$J$208,"&gt;"&amp;$J131)+1)</f>
        <v/>
      </c>
      <c r="L131" s="10" t="str">
        <f aca="false">IF($K131="","",$D131&amp;"-"&amp;$K131)</f>
        <v/>
      </c>
    </row>
    <row r="132" customFormat="false" ht="26.85" hidden="false" customHeight="false" outlineLevel="0" collapsed="false">
      <c r="A132" s="10" t="str">
        <f aca="false">02_施策マスター!A132</f>
        <v>AIMF-PR-CAI-003</v>
      </c>
      <c r="B132" s="10" t="str">
        <f aca="false">02_施策マスター!B132</f>
        <v>AI前提のパスワードレス認証・セキュアコーディング</v>
      </c>
      <c r="C132" s="10" t="str">
        <f aca="false">02_施策マスター!C132</f>
        <v>PR</v>
      </c>
      <c r="D132" s="10" t="str">
        <f aca="false">02_施策マスター!O132</f>
        <v>中期</v>
      </c>
      <c r="E132" s="10" t="n">
        <f aca="false">02_施策マスター!I132</f>
        <v>6</v>
      </c>
      <c r="F132" s="10" t="n">
        <f aca="false">02_施策マスター!H132</f>
        <v>3</v>
      </c>
      <c r="G132" s="10" t="n">
        <f aca="false">COUNTIFS(05_施策抽出!$E:$E,$A132,05_施策抽出!$B:$B,"○")</f>
        <v>0</v>
      </c>
      <c r="H132" s="10" t="str">
        <f aca="false">IF($G132&gt;0,"○","")</f>
        <v/>
      </c>
      <c r="I132" s="10" t="str">
        <f aca="false">IF($H132="","",ROUND(SUMIFS(05_施策抽出!$C:$C,05_施策抽出!$E:$E,$A132,05_施策抽出!$B:$B,"○")*02_施策マスター!$P132*02_施策マスター!$K132,1))</f>
        <v/>
      </c>
      <c r="J132" s="10" t="str">
        <f aca="false">IF($I132="","",$I132+(1000-ROW())/1000000)</f>
        <v/>
      </c>
      <c r="K132" s="10" t="str">
        <f aca="false">IF($H132="","",COUNTIFS($D$2:$D$208,$D132,$J$2:$J$208,"&gt;"&amp;$J132)+1)</f>
        <v/>
      </c>
      <c r="L132" s="10" t="str">
        <f aca="false">IF($K132="","",$D132&amp;"-"&amp;$K132)</f>
        <v/>
      </c>
    </row>
    <row r="133" customFormat="false" ht="26.85" hidden="false" customHeight="false" outlineLevel="0" collapsed="false">
      <c r="A133" s="10" t="str">
        <f aca="false">02_施策マスター!A133</f>
        <v>AIMF-PR-CAI-004</v>
      </c>
      <c r="B133" s="10" t="str">
        <f aca="false">02_施策マスター!B133</f>
        <v>ディープフェイク詐欺対策の業務プロセス</v>
      </c>
      <c r="C133" s="10" t="str">
        <f aca="false">02_施策マスター!C133</f>
        <v>PR</v>
      </c>
      <c r="D133" s="10" t="str">
        <f aca="false">02_施策マスター!O133</f>
        <v>中期</v>
      </c>
      <c r="E133" s="10" t="n">
        <f aca="false">02_施策マスター!I133</f>
        <v>6</v>
      </c>
      <c r="F133" s="10" t="n">
        <f aca="false">02_施策マスター!H133</f>
        <v>3</v>
      </c>
      <c r="G133" s="10" t="n">
        <f aca="false">COUNTIFS(05_施策抽出!$E:$E,$A133,05_施策抽出!$B:$B,"○")</f>
        <v>0</v>
      </c>
      <c r="H133" s="10" t="str">
        <f aca="false">IF($G133&gt;0,"○","")</f>
        <v/>
      </c>
      <c r="I133" s="10" t="str">
        <f aca="false">IF($H133="","",ROUND(SUMIFS(05_施策抽出!$C:$C,05_施策抽出!$E:$E,$A133,05_施策抽出!$B:$B,"○")*02_施策マスター!$P133*02_施策マスター!$K133,1))</f>
        <v/>
      </c>
      <c r="J133" s="10" t="str">
        <f aca="false">IF($I133="","",$I133+(1000-ROW())/1000000)</f>
        <v/>
      </c>
      <c r="K133" s="10" t="str">
        <f aca="false">IF($H133="","",COUNTIFS($D$2:$D$208,$D133,$J$2:$J$208,"&gt;"&amp;$J133)+1)</f>
        <v/>
      </c>
      <c r="L133" s="10" t="str">
        <f aca="false">IF($K133="","",$D133&amp;"-"&amp;$K133)</f>
        <v/>
      </c>
    </row>
    <row r="134" customFormat="false" ht="26.85" hidden="false" customHeight="false" outlineLevel="0" collapsed="false">
      <c r="A134" s="10" t="str">
        <f aca="false">02_施策マスター!A134</f>
        <v>AIMF-PR-CAI-005</v>
      </c>
      <c r="B134" s="10" t="str">
        <f aca="false">02_施策マスター!B134</f>
        <v>AI生成フィッシング対策とメール認証の強化</v>
      </c>
      <c r="C134" s="10" t="str">
        <f aca="false">02_施策マスター!C134</f>
        <v>PR</v>
      </c>
      <c r="D134" s="10" t="str">
        <f aca="false">02_施策マスター!O134</f>
        <v>中期</v>
      </c>
      <c r="E134" s="10" t="n">
        <f aca="false">02_施策マスター!I134</f>
        <v>6</v>
      </c>
      <c r="F134" s="10" t="n">
        <f aca="false">02_施策マスター!H134</f>
        <v>3</v>
      </c>
      <c r="G134" s="10" t="n">
        <f aca="false">COUNTIFS(05_施策抽出!$E:$E,$A134,05_施策抽出!$B:$B,"○")</f>
        <v>0</v>
      </c>
      <c r="H134" s="10" t="str">
        <f aca="false">IF($G134&gt;0,"○","")</f>
        <v/>
      </c>
      <c r="I134" s="10" t="str">
        <f aca="false">IF($H134="","",ROUND(SUMIFS(05_施策抽出!$C:$C,05_施策抽出!$E:$E,$A134,05_施策抽出!$B:$B,"○")*02_施策マスター!$P134*02_施策マスター!$K134,1))</f>
        <v/>
      </c>
      <c r="J134" s="10" t="str">
        <f aca="false">IF($I134="","",$I134+(1000-ROW())/1000000)</f>
        <v/>
      </c>
      <c r="K134" s="10" t="str">
        <f aca="false">IF($H134="","",COUNTIFS($D$2:$D$208,$D134,$J$2:$J$208,"&gt;"&amp;$J134)+1)</f>
        <v/>
      </c>
      <c r="L134" s="10" t="str">
        <f aca="false">IF($K134="","",$D134&amp;"-"&amp;$K134)</f>
        <v/>
      </c>
    </row>
    <row r="135" customFormat="false" ht="26.85" hidden="false" customHeight="false" outlineLevel="0" collapsed="false">
      <c r="A135" s="10" t="str">
        <f aca="false">02_施策マスター!A135</f>
        <v>AIMF-PR-CAI-006</v>
      </c>
      <c r="B135" s="10" t="str">
        <f aca="false">02_施策マスター!B135</f>
        <v>アタックサーフェス削減とゼロトラスト移行</v>
      </c>
      <c r="C135" s="10" t="str">
        <f aca="false">02_施策マスター!C135</f>
        <v>PR</v>
      </c>
      <c r="D135" s="10" t="str">
        <f aca="false">02_施策マスター!O135</f>
        <v>中期</v>
      </c>
      <c r="E135" s="10" t="n">
        <f aca="false">02_施策マスター!I135</f>
        <v>6</v>
      </c>
      <c r="F135" s="10" t="n">
        <f aca="false">02_施策マスター!H135</f>
        <v>3</v>
      </c>
      <c r="G135" s="10" t="n">
        <f aca="false">COUNTIFS(05_施策抽出!$E:$E,$A135,05_施策抽出!$B:$B,"○")</f>
        <v>0</v>
      </c>
      <c r="H135" s="10" t="str">
        <f aca="false">IF($G135&gt;0,"○","")</f>
        <v/>
      </c>
      <c r="I135" s="10" t="str">
        <f aca="false">IF($H135="","",ROUND(SUMIFS(05_施策抽出!$C:$C,05_施策抽出!$E:$E,$A135,05_施策抽出!$B:$B,"○")*02_施策マスター!$P135*02_施策マスター!$K135,1))</f>
        <v/>
      </c>
      <c r="J135" s="10" t="str">
        <f aca="false">IF($I135="","",$I135+(1000-ROW())/1000000)</f>
        <v/>
      </c>
      <c r="K135" s="10" t="str">
        <f aca="false">IF($H135="","",COUNTIFS($D$2:$D$208,$D135,$J$2:$J$208,"&gt;"&amp;$J135)+1)</f>
        <v/>
      </c>
      <c r="L135" s="10" t="str">
        <f aca="false">IF($K135="","",$D135&amp;"-"&amp;$K135)</f>
        <v/>
      </c>
    </row>
    <row r="136" customFormat="false" ht="26.85" hidden="false" customHeight="false" outlineLevel="0" collapsed="false">
      <c r="A136" s="10" t="str">
        <f aca="false">02_施策マスター!A136</f>
        <v>AIMF-PR-CAI-007</v>
      </c>
      <c r="B136" s="10" t="str">
        <f aca="false">02_施策マスター!B136</f>
        <v>AI加速攻撃を想定したパッチSLAの短縮</v>
      </c>
      <c r="C136" s="10" t="str">
        <f aca="false">02_施策マスター!C136</f>
        <v>PR</v>
      </c>
      <c r="D136" s="10" t="str">
        <f aca="false">02_施策マスター!O136</f>
        <v>中期</v>
      </c>
      <c r="E136" s="10" t="n">
        <f aca="false">02_施策マスター!I136</f>
        <v>6</v>
      </c>
      <c r="F136" s="10" t="n">
        <f aca="false">02_施策マスター!H136</f>
        <v>3</v>
      </c>
      <c r="G136" s="10" t="n">
        <f aca="false">COUNTIFS(05_施策抽出!$E:$E,$A136,05_施策抽出!$B:$B,"○")</f>
        <v>0</v>
      </c>
      <c r="H136" s="10" t="str">
        <f aca="false">IF($G136&gt;0,"○","")</f>
        <v/>
      </c>
      <c r="I136" s="10" t="str">
        <f aca="false">IF($H136="","",ROUND(SUMIFS(05_施策抽出!$C:$C,05_施策抽出!$E:$E,$A136,05_施策抽出!$B:$B,"○")*02_施策マスター!$P136*02_施策マスター!$K136,1))</f>
        <v/>
      </c>
      <c r="J136" s="10" t="str">
        <f aca="false">IF($I136="","",$I136+(1000-ROW())/1000000)</f>
        <v/>
      </c>
      <c r="K136" s="10" t="str">
        <f aca="false">IF($H136="","",COUNTIFS($D$2:$D$208,$D136,$J$2:$J$208,"&gt;"&amp;$J136)+1)</f>
        <v/>
      </c>
      <c r="L136" s="10" t="str">
        <f aca="false">IF($K136="","",$D136&amp;"-"&amp;$K136)</f>
        <v/>
      </c>
    </row>
    <row r="137" customFormat="false" ht="22.35" hidden="false" customHeight="false" outlineLevel="0" collapsed="false">
      <c r="A137" s="10" t="str">
        <f aca="false">02_施策マスター!A137</f>
        <v>AIMF-PR-EDU-001</v>
      </c>
      <c r="B137" s="10" t="str">
        <f aca="false">02_施策マスター!B137</f>
        <v>層別AIセキュリティ教育の徹底</v>
      </c>
      <c r="C137" s="10" t="str">
        <f aca="false">02_施策マスター!C137</f>
        <v>PR</v>
      </c>
      <c r="D137" s="10" t="str">
        <f aca="false">02_施策マスター!O137</f>
        <v>短期</v>
      </c>
      <c r="E137" s="10" t="n">
        <f aca="false">02_施策マスター!I137</f>
        <v>3</v>
      </c>
      <c r="F137" s="10" t="n">
        <f aca="false">02_施策マスター!H137</f>
        <v>2</v>
      </c>
      <c r="G137" s="10" t="n">
        <f aca="false">COUNTIFS(05_施策抽出!$E:$E,$A137,05_施策抽出!$B:$B,"○")</f>
        <v>0</v>
      </c>
      <c r="H137" s="10" t="str">
        <f aca="false">IF($G137&gt;0,"○","")</f>
        <v/>
      </c>
      <c r="I137" s="10" t="str">
        <f aca="false">IF($H137="","",ROUND(SUMIFS(05_施策抽出!$C:$C,05_施策抽出!$E:$E,$A137,05_施策抽出!$B:$B,"○")*02_施策マスター!$P137*02_施策マスター!$K137,1))</f>
        <v/>
      </c>
      <c r="J137" s="10" t="str">
        <f aca="false">IF($I137="","",$I137+(1000-ROW())/1000000)</f>
        <v/>
      </c>
      <c r="K137" s="10" t="str">
        <f aca="false">IF($H137="","",COUNTIFS($D$2:$D$208,$D137,$J$2:$J$208,"&gt;"&amp;$J137)+1)</f>
        <v/>
      </c>
      <c r="L137" s="10" t="str">
        <f aca="false">IF($K137="","",$D137&amp;"-"&amp;$K137)</f>
        <v/>
      </c>
    </row>
    <row r="138" customFormat="false" ht="22.35" hidden="false" customHeight="false" outlineLevel="0" collapsed="false">
      <c r="A138" s="10" t="str">
        <f aca="false">02_施策マスター!A138</f>
        <v>AIMF-PR-EDU-002</v>
      </c>
      <c r="B138" s="10" t="str">
        <f aca="false">02_施策マスター!B138</f>
        <v>開発者向けセキュアAI開発研修</v>
      </c>
      <c r="C138" s="10" t="str">
        <f aca="false">02_施策マスター!C138</f>
        <v>PR</v>
      </c>
      <c r="D138" s="10" t="str">
        <f aca="false">02_施策マスター!O138</f>
        <v>短期</v>
      </c>
      <c r="E138" s="10" t="n">
        <f aca="false">02_施策マスター!I138</f>
        <v>3</v>
      </c>
      <c r="F138" s="10" t="n">
        <f aca="false">02_施策マスター!H138</f>
        <v>2</v>
      </c>
      <c r="G138" s="10" t="n">
        <f aca="false">COUNTIFS(05_施策抽出!$E:$E,$A138,05_施策抽出!$B:$B,"○")</f>
        <v>0</v>
      </c>
      <c r="H138" s="10" t="str">
        <f aca="false">IF($G138&gt;0,"○","")</f>
        <v/>
      </c>
      <c r="I138" s="10" t="str">
        <f aca="false">IF($H138="","",ROUND(SUMIFS(05_施策抽出!$C:$C,05_施策抽出!$E:$E,$A138,05_施策抽出!$B:$B,"○")*02_施策マスター!$P138*02_施策マスター!$K138,1))</f>
        <v/>
      </c>
      <c r="J138" s="10" t="str">
        <f aca="false">IF($I138="","",$I138+(1000-ROW())/1000000)</f>
        <v/>
      </c>
      <c r="K138" s="10" t="str">
        <f aca="false">IF($H138="","",COUNTIFS($D$2:$D$208,$D138,$J$2:$J$208,"&gt;"&amp;$J138)+1)</f>
        <v/>
      </c>
      <c r="L138" s="10" t="str">
        <f aca="false">IF($K138="","",$D138&amp;"-"&amp;$K138)</f>
        <v/>
      </c>
    </row>
    <row r="139" customFormat="false" ht="26.85" hidden="false" customHeight="false" outlineLevel="0" collapsed="false">
      <c r="A139" s="10" t="str">
        <f aca="false">02_施策マスター!A139</f>
        <v>AIMF-PR-EDU-003</v>
      </c>
      <c r="B139" s="10" t="str">
        <f aca="false">02_施策マスター!B139</f>
        <v>AI生成ソーシャルエンジニアリング対応訓練</v>
      </c>
      <c r="C139" s="10" t="str">
        <f aca="false">02_施策マスター!C139</f>
        <v>PR</v>
      </c>
      <c r="D139" s="10" t="str">
        <f aca="false">02_施策マスター!O139</f>
        <v>短期</v>
      </c>
      <c r="E139" s="10" t="n">
        <f aca="false">02_施策マスター!I139</f>
        <v>3</v>
      </c>
      <c r="F139" s="10" t="n">
        <f aca="false">02_施策マスター!H139</f>
        <v>2</v>
      </c>
      <c r="G139" s="10" t="n">
        <f aca="false">COUNTIFS(05_施策抽出!$E:$E,$A139,05_施策抽出!$B:$B,"○")</f>
        <v>0</v>
      </c>
      <c r="H139" s="10" t="str">
        <f aca="false">IF($G139&gt;0,"○","")</f>
        <v/>
      </c>
      <c r="I139" s="10" t="str">
        <f aca="false">IF($H139="","",ROUND(SUMIFS(05_施策抽出!$C:$C,05_施策抽出!$E:$E,$A139,05_施策抽出!$B:$B,"○")*02_施策マスター!$P139*02_施策マスター!$K139,1))</f>
        <v/>
      </c>
      <c r="J139" s="10" t="str">
        <f aca="false">IF($I139="","",$I139+(1000-ROW())/1000000)</f>
        <v/>
      </c>
      <c r="K139" s="10" t="str">
        <f aca="false">IF($H139="","",COUNTIFS($D$2:$D$208,$D139,$J$2:$J$208,"&gt;"&amp;$J139)+1)</f>
        <v/>
      </c>
      <c r="L139" s="10" t="str">
        <f aca="false">IF($K139="","",$D139&amp;"-"&amp;$K139)</f>
        <v/>
      </c>
    </row>
    <row r="140" customFormat="false" ht="26.85" hidden="false" customHeight="false" outlineLevel="0" collapsed="false">
      <c r="A140" s="10" t="str">
        <f aca="false">02_施策マスター!A140</f>
        <v>AIMF-PR-EDU-004</v>
      </c>
      <c r="B140" s="10" t="str">
        <f aca="false">02_施策マスター!B140</f>
        <v>経営層向けAIサイバーリスクブリーフィング</v>
      </c>
      <c r="C140" s="10" t="str">
        <f aca="false">02_施策マスター!C140</f>
        <v>PR</v>
      </c>
      <c r="D140" s="10" t="str">
        <f aca="false">02_施策マスター!O140</f>
        <v>短期</v>
      </c>
      <c r="E140" s="10" t="n">
        <f aca="false">02_施策マスター!I140</f>
        <v>3</v>
      </c>
      <c r="F140" s="10" t="n">
        <f aca="false">02_施策マスター!H140</f>
        <v>2</v>
      </c>
      <c r="G140" s="10" t="n">
        <f aca="false">COUNTIFS(05_施策抽出!$E:$E,$A140,05_施策抽出!$B:$B,"○")</f>
        <v>0</v>
      </c>
      <c r="H140" s="10" t="str">
        <f aca="false">IF($G140&gt;0,"○","")</f>
        <v/>
      </c>
      <c r="I140" s="10" t="str">
        <f aca="false">IF($H140="","",ROUND(SUMIFS(05_施策抽出!$C:$C,05_施策抽出!$E:$E,$A140,05_施策抽出!$B:$B,"○")*02_施策マスター!$P140*02_施策マスター!$K140,1))</f>
        <v/>
      </c>
      <c r="J140" s="10" t="str">
        <f aca="false">IF($I140="","",$I140+(1000-ROW())/1000000)</f>
        <v/>
      </c>
      <c r="K140" s="10" t="str">
        <f aca="false">IF($H140="","",COUNTIFS($D$2:$D$208,$D140,$J$2:$J$208,"&gt;"&amp;$J140)+1)</f>
        <v/>
      </c>
      <c r="L140" s="10" t="str">
        <f aca="false">IF($K140="","",$D140&amp;"-"&amp;$K140)</f>
        <v/>
      </c>
    </row>
    <row r="141" customFormat="false" ht="26.85" hidden="false" customHeight="false" outlineLevel="0" collapsed="false">
      <c r="A141" s="10" t="str">
        <f aca="false">02_施策マスター!A141</f>
        <v>AIMF-DE-VUL-001</v>
      </c>
      <c r="B141" s="10" t="str">
        <f aca="false">02_施策マスター!B141</f>
        <v>SBOM/AI-BOMの継続的脆弱性スキャン</v>
      </c>
      <c r="C141" s="10" t="str">
        <f aca="false">02_施策マスター!C141</f>
        <v>DE</v>
      </c>
      <c r="D141" s="10" t="str">
        <f aca="false">02_施策マスター!O141</f>
        <v>中期</v>
      </c>
      <c r="E141" s="10" t="n">
        <f aca="false">02_施策マスター!I141</f>
        <v>6</v>
      </c>
      <c r="F141" s="10" t="n">
        <f aca="false">02_施策マスター!H141</f>
        <v>3</v>
      </c>
      <c r="G141" s="10" t="n">
        <f aca="false">COUNTIFS(05_施策抽出!$E:$E,$A141,05_施策抽出!$B:$B,"○")</f>
        <v>0</v>
      </c>
      <c r="H141" s="10" t="str">
        <f aca="false">IF($G141&gt;0,"○","")</f>
        <v/>
      </c>
      <c r="I141" s="10" t="str">
        <f aca="false">IF($H141="","",ROUND(SUMIFS(05_施策抽出!$C:$C,05_施策抽出!$E:$E,$A141,05_施策抽出!$B:$B,"○")*02_施策マスター!$P141*02_施策マスター!$K141,1))</f>
        <v/>
      </c>
      <c r="J141" s="10" t="str">
        <f aca="false">IF($I141="","",$I141+(1000-ROW())/1000000)</f>
        <v/>
      </c>
      <c r="K141" s="10" t="str">
        <f aca="false">IF($H141="","",COUNTIFS($D$2:$D$208,$D141,$J$2:$J$208,"&gt;"&amp;$J141)+1)</f>
        <v/>
      </c>
      <c r="L141" s="10" t="str">
        <f aca="false">IF($K141="","",$D141&amp;"-"&amp;$K141)</f>
        <v/>
      </c>
    </row>
    <row r="142" customFormat="false" ht="26.85" hidden="false" customHeight="false" outlineLevel="0" collapsed="false">
      <c r="A142" s="10" t="str">
        <f aca="false">02_施策マスター!A142</f>
        <v>AIMF-DE-VUL-002</v>
      </c>
      <c r="B142" s="10" t="str">
        <f aca="false">02_施策マスター!B142</f>
        <v>悪性パッケージ・依存関係侵害の検知</v>
      </c>
      <c r="C142" s="10" t="str">
        <f aca="false">02_施策マスター!C142</f>
        <v>DE</v>
      </c>
      <c r="D142" s="10" t="str">
        <f aca="false">02_施策マスター!O142</f>
        <v>中期</v>
      </c>
      <c r="E142" s="10" t="n">
        <f aca="false">02_施策マスター!I142</f>
        <v>6</v>
      </c>
      <c r="F142" s="10" t="n">
        <f aca="false">02_施策マスター!H142</f>
        <v>3</v>
      </c>
      <c r="G142" s="10" t="n">
        <f aca="false">COUNTIFS(05_施策抽出!$E:$E,$A142,05_施策抽出!$B:$B,"○")</f>
        <v>0</v>
      </c>
      <c r="H142" s="10" t="str">
        <f aca="false">IF($G142&gt;0,"○","")</f>
        <v/>
      </c>
      <c r="I142" s="10" t="str">
        <f aca="false">IF($H142="","",ROUND(SUMIFS(05_施策抽出!$C:$C,05_施策抽出!$E:$E,$A142,05_施策抽出!$B:$B,"○")*02_施策マスター!$P142*02_施策マスター!$K142,1))</f>
        <v/>
      </c>
      <c r="J142" s="10" t="str">
        <f aca="false">IF($I142="","",$I142+(1000-ROW())/1000000)</f>
        <v/>
      </c>
      <c r="K142" s="10" t="str">
        <f aca="false">IF($H142="","",COUNTIFS($D$2:$D$208,$D142,$J$2:$J$208,"&gt;"&amp;$J142)+1)</f>
        <v/>
      </c>
      <c r="L142" s="10" t="str">
        <f aca="false">IF($K142="","",$D142&amp;"-"&amp;$K142)</f>
        <v/>
      </c>
    </row>
    <row r="143" customFormat="false" ht="26.85" hidden="false" customHeight="false" outlineLevel="0" collapsed="false">
      <c r="A143" s="10" t="str">
        <f aca="false">02_施策マスター!A143</f>
        <v>AIMF-DE-VUL-003</v>
      </c>
      <c r="B143" s="10" t="str">
        <f aca="false">02_施策マスター!B143</f>
        <v>モデルレジストリ・リポジトリの改ざん検知</v>
      </c>
      <c r="C143" s="10" t="str">
        <f aca="false">02_施策マスター!C143</f>
        <v>DE</v>
      </c>
      <c r="D143" s="10" t="str">
        <f aca="false">02_施策マスター!O143</f>
        <v>長期</v>
      </c>
      <c r="E143" s="10" t="n">
        <f aca="false">02_施策マスター!I143</f>
        <v>9</v>
      </c>
      <c r="F143" s="10" t="n">
        <f aca="false">02_施策マスター!H143</f>
        <v>4</v>
      </c>
      <c r="G143" s="10" t="n">
        <f aca="false">COUNTIFS(05_施策抽出!$E:$E,$A143,05_施策抽出!$B:$B,"○")</f>
        <v>0</v>
      </c>
      <c r="H143" s="10" t="str">
        <f aca="false">IF($G143&gt;0,"○","")</f>
        <v/>
      </c>
      <c r="I143" s="10" t="str">
        <f aca="false">IF($H143="","",ROUND(SUMIFS(05_施策抽出!$C:$C,05_施策抽出!$E:$E,$A143,05_施策抽出!$B:$B,"○")*02_施策マスター!$P143*02_施策マスター!$K143,1))</f>
        <v/>
      </c>
      <c r="J143" s="10" t="str">
        <f aca="false">IF($I143="","",$I143+(1000-ROW())/1000000)</f>
        <v/>
      </c>
      <c r="K143" s="10" t="str">
        <f aca="false">IF($H143="","",COUNTIFS($D$2:$D$208,$D143,$J$2:$J$208,"&gt;"&amp;$J143)+1)</f>
        <v/>
      </c>
      <c r="L143" s="10" t="str">
        <f aca="false">IF($K143="","",$D143&amp;"-"&amp;$K143)</f>
        <v/>
      </c>
    </row>
    <row r="144" customFormat="false" ht="22.35" hidden="false" customHeight="false" outlineLevel="0" collapsed="false">
      <c r="A144" s="10" t="str">
        <f aca="false">02_施策マスター!A144</f>
        <v>AIMF-DE-IOM-001</v>
      </c>
      <c r="B144" s="10" t="str">
        <f aca="false">02_施策マスター!B144</f>
        <v>セマンティック・アノマリー検知</v>
      </c>
      <c r="C144" s="10" t="str">
        <f aca="false">02_施策マスター!C144</f>
        <v>DE</v>
      </c>
      <c r="D144" s="10" t="str">
        <f aca="false">02_施策マスター!O144</f>
        <v>長期</v>
      </c>
      <c r="E144" s="10" t="n">
        <f aca="false">02_施策マスター!I144</f>
        <v>9</v>
      </c>
      <c r="F144" s="10" t="n">
        <f aca="false">02_施策マスター!H144</f>
        <v>4</v>
      </c>
      <c r="G144" s="10" t="n">
        <f aca="false">COUNTIFS(05_施策抽出!$E:$E,$A144,05_施策抽出!$B:$B,"○")</f>
        <v>0</v>
      </c>
      <c r="H144" s="10" t="str">
        <f aca="false">IF($G144&gt;0,"○","")</f>
        <v/>
      </c>
      <c r="I144" s="10" t="str">
        <f aca="false">IF($H144="","",ROUND(SUMIFS(05_施策抽出!$C:$C,05_施策抽出!$E:$E,$A144,05_施策抽出!$B:$B,"○")*02_施策マスター!$P144*02_施策マスター!$K144,1))</f>
        <v/>
      </c>
      <c r="J144" s="10" t="str">
        <f aca="false">IF($I144="","",$I144+(1000-ROW())/1000000)</f>
        <v/>
      </c>
      <c r="K144" s="10" t="str">
        <f aca="false">IF($H144="","",COUNTIFS($D$2:$D$208,$D144,$J$2:$J$208,"&gt;"&amp;$J144)+1)</f>
        <v/>
      </c>
      <c r="L144" s="10" t="str">
        <f aca="false">IF($K144="","",$D144&amp;"-"&amp;$K144)</f>
        <v/>
      </c>
    </row>
    <row r="145" customFormat="false" ht="26.85" hidden="false" customHeight="false" outlineLevel="0" collapsed="false">
      <c r="A145" s="10" t="str">
        <f aca="false">02_施策マスター!A145</f>
        <v>AIMF-DE-IOM-002</v>
      </c>
      <c r="B145" s="10" t="str">
        <f aca="false">02_施策マスター!B145</f>
        <v>LLM監査ログ（プロンプト・レスポンス）の一元記録</v>
      </c>
      <c r="C145" s="10" t="str">
        <f aca="false">02_施策マスター!C145</f>
        <v>DE</v>
      </c>
      <c r="D145" s="10" t="str">
        <f aca="false">02_施策マスター!O145</f>
        <v>長期</v>
      </c>
      <c r="E145" s="10" t="n">
        <f aca="false">02_施策マスター!I145</f>
        <v>9</v>
      </c>
      <c r="F145" s="10" t="n">
        <f aca="false">02_施策マスター!H145</f>
        <v>4</v>
      </c>
      <c r="G145" s="10" t="n">
        <f aca="false">COUNTIFS(05_施策抽出!$E:$E,$A145,05_施策抽出!$B:$B,"○")</f>
        <v>0</v>
      </c>
      <c r="H145" s="10" t="str">
        <f aca="false">IF($G145&gt;0,"○","")</f>
        <v/>
      </c>
      <c r="I145" s="10" t="str">
        <f aca="false">IF($H145="","",ROUND(SUMIFS(05_施策抽出!$C:$C,05_施策抽出!$E:$E,$A145,05_施策抽出!$B:$B,"○")*02_施策マスター!$P145*02_施策マスター!$K145,1))</f>
        <v/>
      </c>
      <c r="J145" s="10" t="str">
        <f aca="false">IF($I145="","",$I145+(1000-ROW())/1000000)</f>
        <v/>
      </c>
      <c r="K145" s="10" t="str">
        <f aca="false">IF($H145="","",COUNTIFS($D$2:$D$208,$D145,$J$2:$J$208,"&gt;"&amp;$J145)+1)</f>
        <v/>
      </c>
      <c r="L145" s="10" t="str">
        <f aca="false">IF($K145="","",$D145&amp;"-"&amp;$K145)</f>
        <v/>
      </c>
    </row>
    <row r="146" customFormat="false" ht="26.85" hidden="false" customHeight="false" outlineLevel="0" collapsed="false">
      <c r="A146" s="10" t="str">
        <f aca="false">02_施策マスター!A146</f>
        <v>AIMF-DE-IOM-003</v>
      </c>
      <c r="B146" s="10" t="str">
        <f aca="false">02_施策マスター!B146</f>
        <v>ハルシネーション・信頼度の動的監視</v>
      </c>
      <c r="C146" s="10" t="str">
        <f aca="false">02_施策マスター!C146</f>
        <v>DE</v>
      </c>
      <c r="D146" s="10" t="str">
        <f aca="false">02_施策マスター!O146</f>
        <v>長期</v>
      </c>
      <c r="E146" s="10" t="n">
        <f aca="false">02_施策マスター!I146</f>
        <v>9</v>
      </c>
      <c r="F146" s="10" t="n">
        <f aca="false">02_施策マスター!H146</f>
        <v>4</v>
      </c>
      <c r="G146" s="10" t="n">
        <f aca="false">COUNTIFS(05_施策抽出!$E:$E,$A146,05_施策抽出!$B:$B,"○")</f>
        <v>0</v>
      </c>
      <c r="H146" s="10" t="str">
        <f aca="false">IF($G146&gt;0,"○","")</f>
        <v/>
      </c>
      <c r="I146" s="10" t="str">
        <f aca="false">IF($H146="","",ROUND(SUMIFS(05_施策抽出!$C:$C,05_施策抽出!$E:$E,$A146,05_施策抽出!$B:$B,"○")*02_施策マスター!$P146*02_施策マスター!$K146,1))</f>
        <v/>
      </c>
      <c r="J146" s="10" t="str">
        <f aca="false">IF($I146="","",$I146+(1000-ROW())/1000000)</f>
        <v/>
      </c>
      <c r="K146" s="10" t="str">
        <f aca="false">IF($H146="","",COUNTIFS($D$2:$D$208,$D146,$J$2:$J$208,"&gt;"&amp;$J146)+1)</f>
        <v/>
      </c>
      <c r="L146" s="10" t="str">
        <f aca="false">IF($K146="","",$D146&amp;"-"&amp;$K146)</f>
        <v/>
      </c>
    </row>
    <row r="147" customFormat="false" ht="26.85" hidden="false" customHeight="false" outlineLevel="0" collapsed="false">
      <c r="A147" s="10" t="str">
        <f aca="false">02_施策マスター!A147</f>
        <v>AIMF-DE-IOM-004</v>
      </c>
      <c r="B147" s="10" t="str">
        <f aca="false">02_施策マスター!B147</f>
        <v>プロンプトインジェクション検知ルールの管理</v>
      </c>
      <c r="C147" s="10" t="str">
        <f aca="false">02_施策マスター!C147</f>
        <v>DE</v>
      </c>
      <c r="D147" s="10" t="str">
        <f aca="false">02_施策マスター!O147</f>
        <v>長期</v>
      </c>
      <c r="E147" s="10" t="n">
        <f aca="false">02_施策マスター!I147</f>
        <v>9</v>
      </c>
      <c r="F147" s="10" t="n">
        <f aca="false">02_施策マスター!H147</f>
        <v>4</v>
      </c>
      <c r="G147" s="10" t="n">
        <f aca="false">COUNTIFS(05_施策抽出!$E:$E,$A147,05_施策抽出!$B:$B,"○")</f>
        <v>0</v>
      </c>
      <c r="H147" s="10" t="str">
        <f aca="false">IF($G147&gt;0,"○","")</f>
        <v/>
      </c>
      <c r="I147" s="10" t="str">
        <f aca="false">IF($H147="","",ROUND(SUMIFS(05_施策抽出!$C:$C,05_施策抽出!$E:$E,$A147,05_施策抽出!$B:$B,"○")*02_施策マスター!$P147*02_施策マスター!$K147,1))</f>
        <v/>
      </c>
      <c r="J147" s="10" t="str">
        <f aca="false">IF($I147="","",$I147+(1000-ROW())/1000000)</f>
        <v/>
      </c>
      <c r="K147" s="10" t="str">
        <f aca="false">IF($H147="","",COUNTIFS($D$2:$D$208,$D147,$J$2:$J$208,"&gt;"&amp;$J147)+1)</f>
        <v/>
      </c>
      <c r="L147" s="10" t="str">
        <f aca="false">IF($K147="","",$D147&amp;"-"&amp;$K147)</f>
        <v/>
      </c>
    </row>
    <row r="148" customFormat="false" ht="26.85" hidden="false" customHeight="false" outlineLevel="0" collapsed="false">
      <c r="A148" s="10" t="str">
        <f aca="false">02_施策マスター!A148</f>
        <v>AIMF-DE-IOM-005</v>
      </c>
      <c r="B148" s="10" t="str">
        <f aca="false">02_施策マスター!B148</f>
        <v>脱獄・ポリシー回避試行のスコアリング検知</v>
      </c>
      <c r="C148" s="10" t="str">
        <f aca="false">02_施策マスター!C148</f>
        <v>DE</v>
      </c>
      <c r="D148" s="10" t="str">
        <f aca="false">02_施策マスター!O148</f>
        <v>長期</v>
      </c>
      <c r="E148" s="10" t="n">
        <f aca="false">02_施策マスター!I148</f>
        <v>9</v>
      </c>
      <c r="F148" s="10" t="n">
        <f aca="false">02_施策マスター!H148</f>
        <v>4</v>
      </c>
      <c r="G148" s="10" t="n">
        <f aca="false">COUNTIFS(05_施策抽出!$E:$E,$A148,05_施策抽出!$B:$B,"○")</f>
        <v>0</v>
      </c>
      <c r="H148" s="10" t="str">
        <f aca="false">IF($G148&gt;0,"○","")</f>
        <v/>
      </c>
      <c r="I148" s="10" t="str">
        <f aca="false">IF($H148="","",ROUND(SUMIFS(05_施策抽出!$C:$C,05_施策抽出!$E:$E,$A148,05_施策抽出!$B:$B,"○")*02_施策マスター!$P148*02_施策マスター!$K148,1))</f>
        <v/>
      </c>
      <c r="J148" s="10" t="str">
        <f aca="false">IF($I148="","",$I148+(1000-ROW())/1000000)</f>
        <v/>
      </c>
      <c r="K148" s="10" t="str">
        <f aca="false">IF($H148="","",COUNTIFS($D$2:$D$208,$D148,$J$2:$J$208,"&gt;"&amp;$J148)+1)</f>
        <v/>
      </c>
      <c r="L148" s="10" t="str">
        <f aca="false">IF($K148="","",$D148&amp;"-"&amp;$K148)</f>
        <v/>
      </c>
    </row>
    <row r="149" customFormat="false" ht="22.35" hidden="false" customHeight="false" outlineLevel="0" collapsed="false">
      <c r="A149" s="10" t="str">
        <f aca="false">02_施策マスター!A149</f>
        <v>AIMF-DE-IOM-006</v>
      </c>
      <c r="B149" s="10" t="str">
        <f aca="false">02_施策マスター!B149</f>
        <v>出力へのPII・機微情報混入検知</v>
      </c>
      <c r="C149" s="10" t="str">
        <f aca="false">02_施策マスター!C149</f>
        <v>DE</v>
      </c>
      <c r="D149" s="10" t="str">
        <f aca="false">02_施策マスター!O149</f>
        <v>長期</v>
      </c>
      <c r="E149" s="10" t="n">
        <f aca="false">02_施策マスター!I149</f>
        <v>9</v>
      </c>
      <c r="F149" s="10" t="n">
        <f aca="false">02_施策マスター!H149</f>
        <v>4</v>
      </c>
      <c r="G149" s="10" t="n">
        <f aca="false">COUNTIFS(05_施策抽出!$E:$E,$A149,05_施策抽出!$B:$B,"○")</f>
        <v>0</v>
      </c>
      <c r="H149" s="10" t="str">
        <f aca="false">IF($G149&gt;0,"○","")</f>
        <v/>
      </c>
      <c r="I149" s="10" t="str">
        <f aca="false">IF($H149="","",ROUND(SUMIFS(05_施策抽出!$C:$C,05_施策抽出!$E:$E,$A149,05_施策抽出!$B:$B,"○")*02_施策マスター!$P149*02_施策マスター!$K149,1))</f>
        <v/>
      </c>
      <c r="J149" s="10" t="str">
        <f aca="false">IF($I149="","",$I149+(1000-ROW())/1000000)</f>
        <v/>
      </c>
      <c r="K149" s="10" t="str">
        <f aca="false">IF($H149="","",COUNTIFS($D$2:$D$208,$D149,$J$2:$J$208,"&gt;"&amp;$J149)+1)</f>
        <v/>
      </c>
      <c r="L149" s="10" t="str">
        <f aca="false">IF($K149="","",$D149&amp;"-"&amp;$K149)</f>
        <v/>
      </c>
    </row>
    <row r="150" customFormat="false" ht="26.85" hidden="false" customHeight="false" outlineLevel="0" collapsed="false">
      <c r="A150" s="10" t="str">
        <f aca="false">02_施策マスター!A150</f>
        <v>AIMF-DE-IOM-007</v>
      </c>
      <c r="B150" s="10" t="str">
        <f aca="false">02_施策マスター!B150</f>
        <v>システムプロンプト漏えい・プローブの検知</v>
      </c>
      <c r="C150" s="10" t="str">
        <f aca="false">02_施策マスター!C150</f>
        <v>DE</v>
      </c>
      <c r="D150" s="10" t="str">
        <f aca="false">02_施策マスター!O150</f>
        <v>長期</v>
      </c>
      <c r="E150" s="10" t="n">
        <f aca="false">02_施策マスター!I150</f>
        <v>9</v>
      </c>
      <c r="F150" s="10" t="n">
        <f aca="false">02_施策マスター!H150</f>
        <v>4</v>
      </c>
      <c r="G150" s="10" t="n">
        <f aca="false">COUNTIFS(05_施策抽出!$E:$E,$A150,05_施策抽出!$B:$B,"○")</f>
        <v>0</v>
      </c>
      <c r="H150" s="10" t="str">
        <f aca="false">IF($G150&gt;0,"○","")</f>
        <v/>
      </c>
      <c r="I150" s="10" t="str">
        <f aca="false">IF($H150="","",ROUND(SUMIFS(05_施策抽出!$C:$C,05_施策抽出!$E:$E,$A150,05_施策抽出!$B:$B,"○")*02_施策マスター!$P150*02_施策マスター!$K150,1))</f>
        <v/>
      </c>
      <c r="J150" s="10" t="str">
        <f aca="false">IF($I150="","",$I150+(1000-ROW())/1000000)</f>
        <v/>
      </c>
      <c r="K150" s="10" t="str">
        <f aca="false">IF($H150="","",COUNTIFS($D$2:$D$208,$D150,$J$2:$J$208,"&gt;"&amp;$J150)+1)</f>
        <v/>
      </c>
      <c r="L150" s="10" t="str">
        <f aca="false">IF($K150="","",$D150&amp;"-"&amp;$K150)</f>
        <v/>
      </c>
    </row>
    <row r="151" customFormat="false" ht="26.85" hidden="false" customHeight="false" outlineLevel="0" collapsed="false">
      <c r="A151" s="10" t="str">
        <f aca="false">02_施策マスター!A151</f>
        <v>AIMF-DE-IOM-008</v>
      </c>
      <c r="B151" s="10" t="str">
        <f aca="false">02_施策マスター!B151</f>
        <v>利用者行動分析（UEBA）によるAI悪用検知</v>
      </c>
      <c r="C151" s="10" t="str">
        <f aca="false">02_施策マスター!C151</f>
        <v>DE</v>
      </c>
      <c r="D151" s="10" t="str">
        <f aca="false">02_施策マスター!O151</f>
        <v>短期</v>
      </c>
      <c r="E151" s="10" t="n">
        <f aca="false">02_施策マスター!I151</f>
        <v>3</v>
      </c>
      <c r="F151" s="10" t="n">
        <f aca="false">02_施策マスター!H151</f>
        <v>2</v>
      </c>
      <c r="G151" s="10" t="n">
        <f aca="false">COUNTIFS(05_施策抽出!$E:$E,$A151,05_施策抽出!$B:$B,"○")</f>
        <v>0</v>
      </c>
      <c r="H151" s="10" t="str">
        <f aca="false">IF($G151&gt;0,"○","")</f>
        <v/>
      </c>
      <c r="I151" s="10" t="str">
        <f aca="false">IF($H151="","",ROUND(SUMIFS(05_施策抽出!$C:$C,05_施策抽出!$E:$E,$A151,05_施策抽出!$B:$B,"○")*02_施策マスター!$P151*02_施策マスター!$K151,1))</f>
        <v/>
      </c>
      <c r="J151" s="10" t="str">
        <f aca="false">IF($I151="","",$I151+(1000-ROW())/1000000)</f>
        <v/>
      </c>
      <c r="K151" s="10" t="str">
        <f aca="false">IF($H151="","",COUNTIFS($D$2:$D$208,$D151,$J$2:$J$208,"&gt;"&amp;$J151)+1)</f>
        <v/>
      </c>
      <c r="L151" s="10" t="str">
        <f aca="false">IF($K151="","",$D151&amp;"-"&amp;$K151)</f>
        <v/>
      </c>
    </row>
    <row r="152" customFormat="false" ht="26.85" hidden="false" customHeight="false" outlineLevel="0" collapsed="false">
      <c r="A152" s="10" t="str">
        <f aca="false">02_施策マスター!A152</f>
        <v>AIMF-DE-AGT-001</v>
      </c>
      <c r="B152" s="10" t="str">
        <f aca="false">02_施策マスター!B152</f>
        <v>エージェント状態遷移・思考プロセスの可視化監視</v>
      </c>
      <c r="C152" s="10" t="str">
        <f aca="false">02_施策マスター!C152</f>
        <v>DE</v>
      </c>
      <c r="D152" s="10" t="str">
        <f aca="false">02_施策マスター!O152</f>
        <v>長期</v>
      </c>
      <c r="E152" s="10" t="n">
        <f aca="false">02_施策マスター!I152</f>
        <v>9</v>
      </c>
      <c r="F152" s="10" t="n">
        <f aca="false">02_施策マスター!H152</f>
        <v>4</v>
      </c>
      <c r="G152" s="10" t="n">
        <f aca="false">COUNTIFS(05_施策抽出!$E:$E,$A152,05_施策抽出!$B:$B,"○")</f>
        <v>0</v>
      </c>
      <c r="H152" s="10" t="str">
        <f aca="false">IF($G152&gt;0,"○","")</f>
        <v/>
      </c>
      <c r="I152" s="10" t="str">
        <f aca="false">IF($H152="","",ROUND(SUMIFS(05_施策抽出!$C:$C,05_施策抽出!$E:$E,$A152,05_施策抽出!$B:$B,"○")*02_施策マスター!$P152*02_施策マスター!$K152,1))</f>
        <v/>
      </c>
      <c r="J152" s="10" t="str">
        <f aca="false">IF($I152="","",$I152+(1000-ROW())/1000000)</f>
        <v/>
      </c>
      <c r="K152" s="10" t="str">
        <f aca="false">IF($H152="","",COUNTIFS($D$2:$D$208,$D152,$J$2:$J$208,"&gt;"&amp;$J152)+1)</f>
        <v/>
      </c>
      <c r="L152" s="10" t="str">
        <f aca="false">IF($K152="","",$D152&amp;"-"&amp;$K152)</f>
        <v/>
      </c>
    </row>
    <row r="153" customFormat="false" ht="26.85" hidden="false" customHeight="false" outlineLevel="0" collapsed="false">
      <c r="A153" s="10" t="str">
        <f aca="false">02_施策マスター!A153</f>
        <v>AIMF-DE-AGT-002</v>
      </c>
      <c r="B153" s="10" t="str">
        <f aca="false">02_施策マスター!B153</f>
        <v>エージェント間通信の相互セキュリティスキャン</v>
      </c>
      <c r="C153" s="10" t="str">
        <f aca="false">02_施策マスター!C153</f>
        <v>DE</v>
      </c>
      <c r="D153" s="10" t="str">
        <f aca="false">02_施策マスター!O153</f>
        <v>長期</v>
      </c>
      <c r="E153" s="10" t="n">
        <f aca="false">02_施策マスター!I153</f>
        <v>9</v>
      </c>
      <c r="F153" s="10" t="n">
        <f aca="false">02_施策マスター!H153</f>
        <v>4</v>
      </c>
      <c r="G153" s="10" t="n">
        <f aca="false">COUNTIFS(05_施策抽出!$E:$E,$A153,05_施策抽出!$B:$B,"○")</f>
        <v>0</v>
      </c>
      <c r="H153" s="10" t="str">
        <f aca="false">IF($G153&gt;0,"○","")</f>
        <v/>
      </c>
      <c r="I153" s="10" t="str">
        <f aca="false">IF($H153="","",ROUND(SUMIFS(05_施策抽出!$C:$C,05_施策抽出!$E:$E,$A153,05_施策抽出!$B:$B,"○")*02_施策マスター!$P153*02_施策マスター!$K153,1))</f>
        <v/>
      </c>
      <c r="J153" s="10" t="str">
        <f aca="false">IF($I153="","",$I153+(1000-ROW())/1000000)</f>
        <v/>
      </c>
      <c r="K153" s="10" t="str">
        <f aca="false">IF($H153="","",COUNTIFS($D$2:$D$208,$D153,$J$2:$J$208,"&gt;"&amp;$J153)+1)</f>
        <v/>
      </c>
      <c r="L153" s="10" t="str">
        <f aca="false">IF($K153="","",$D153&amp;"-"&amp;$K153)</f>
        <v/>
      </c>
    </row>
    <row r="154" customFormat="false" ht="22.35" hidden="false" customHeight="false" outlineLevel="0" collapsed="false">
      <c r="A154" s="10" t="str">
        <f aca="false">02_施策マスター!A154</f>
        <v>AIMF-DE-AGT-003</v>
      </c>
      <c r="B154" s="10" t="str">
        <f aca="false">02_施策マスター!B154</f>
        <v>ツール呼出の異常検知</v>
      </c>
      <c r="C154" s="10" t="str">
        <f aca="false">02_施策マスター!C154</f>
        <v>DE</v>
      </c>
      <c r="D154" s="10" t="str">
        <f aca="false">02_施策マスター!O154</f>
        <v>長期</v>
      </c>
      <c r="E154" s="10" t="n">
        <f aca="false">02_施策マスター!I154</f>
        <v>9</v>
      </c>
      <c r="F154" s="10" t="n">
        <f aca="false">02_施策マスター!H154</f>
        <v>4</v>
      </c>
      <c r="G154" s="10" t="n">
        <f aca="false">COUNTIFS(05_施策抽出!$E:$E,$A154,05_施策抽出!$B:$B,"○")</f>
        <v>0</v>
      </c>
      <c r="H154" s="10" t="str">
        <f aca="false">IF($G154&gt;0,"○","")</f>
        <v/>
      </c>
      <c r="I154" s="10" t="str">
        <f aca="false">IF($H154="","",ROUND(SUMIFS(05_施策抽出!$C:$C,05_施策抽出!$E:$E,$A154,05_施策抽出!$B:$B,"○")*02_施策マスター!$P154*02_施策マスター!$K154,1))</f>
        <v/>
      </c>
      <c r="J154" s="10" t="str">
        <f aca="false">IF($I154="","",$I154+(1000-ROW())/1000000)</f>
        <v/>
      </c>
      <c r="K154" s="10" t="str">
        <f aca="false">IF($H154="","",COUNTIFS($D$2:$D$208,$D154,$J$2:$J$208,"&gt;"&amp;$J154)+1)</f>
        <v/>
      </c>
      <c r="L154" s="10" t="str">
        <f aca="false">IF($K154="","",$D154&amp;"-"&amp;$K154)</f>
        <v/>
      </c>
    </row>
    <row r="155" customFormat="false" ht="26.85" hidden="false" customHeight="false" outlineLevel="0" collapsed="false">
      <c r="A155" s="10" t="str">
        <f aca="false">02_施策マスター!A155</f>
        <v>AIMF-DE-AGT-004</v>
      </c>
      <c r="B155" s="10" t="str">
        <f aca="false">02_施策マスター!B155</f>
        <v>目標逸脱（ゴールドリフト）の検知</v>
      </c>
      <c r="C155" s="10" t="str">
        <f aca="false">02_施策マスター!C155</f>
        <v>DE</v>
      </c>
      <c r="D155" s="10" t="str">
        <f aca="false">02_施策マスター!O155</f>
        <v>長期</v>
      </c>
      <c r="E155" s="10" t="n">
        <f aca="false">02_施策マスター!I155</f>
        <v>9</v>
      </c>
      <c r="F155" s="10" t="n">
        <f aca="false">02_施策マスター!H155</f>
        <v>4</v>
      </c>
      <c r="G155" s="10" t="n">
        <f aca="false">COUNTIFS(05_施策抽出!$E:$E,$A155,05_施策抽出!$B:$B,"○")</f>
        <v>0</v>
      </c>
      <c r="H155" s="10" t="str">
        <f aca="false">IF($G155&gt;0,"○","")</f>
        <v/>
      </c>
      <c r="I155" s="10" t="str">
        <f aca="false">IF($H155="","",ROUND(SUMIFS(05_施策抽出!$C:$C,05_施策抽出!$E:$E,$A155,05_施策抽出!$B:$B,"○")*02_施策マスター!$P155*02_施策マスター!$K155,1))</f>
        <v/>
      </c>
      <c r="J155" s="10" t="str">
        <f aca="false">IF($I155="","",$I155+(1000-ROW())/1000000)</f>
        <v/>
      </c>
      <c r="K155" s="10" t="str">
        <f aca="false">IF($H155="","",COUNTIFS($D$2:$D$208,$D155,$J$2:$J$208,"&gt;"&amp;$J155)+1)</f>
        <v/>
      </c>
      <c r="L155" s="10" t="str">
        <f aca="false">IF($K155="","",$D155&amp;"-"&amp;$K155)</f>
        <v/>
      </c>
    </row>
    <row r="156" customFormat="false" ht="22.35" hidden="false" customHeight="false" outlineLevel="0" collapsed="false">
      <c r="A156" s="10" t="str">
        <f aca="false">02_施策マスター!A156</f>
        <v>AIMF-DE-AGT-005</v>
      </c>
      <c r="B156" s="10" t="str">
        <f aca="false">02_施策マスター!B156</f>
        <v>暴走・連鎖障害の予兆検知</v>
      </c>
      <c r="C156" s="10" t="str">
        <f aca="false">02_施策マスター!C156</f>
        <v>DE</v>
      </c>
      <c r="D156" s="10" t="str">
        <f aca="false">02_施策マスター!O156</f>
        <v>長期</v>
      </c>
      <c r="E156" s="10" t="n">
        <f aca="false">02_施策マスター!I156</f>
        <v>9</v>
      </c>
      <c r="F156" s="10" t="n">
        <f aca="false">02_施策マスター!H156</f>
        <v>4</v>
      </c>
      <c r="G156" s="10" t="n">
        <f aca="false">COUNTIFS(05_施策抽出!$E:$E,$A156,05_施策抽出!$B:$B,"○")</f>
        <v>0</v>
      </c>
      <c r="H156" s="10" t="str">
        <f aca="false">IF($G156&gt;0,"○","")</f>
        <v/>
      </c>
      <c r="I156" s="10" t="str">
        <f aca="false">IF($H156="","",ROUND(SUMIFS(05_施策抽出!$C:$C,05_施策抽出!$E:$E,$A156,05_施策抽出!$B:$B,"○")*02_施策マスター!$P156*02_施策マスター!$K156,1))</f>
        <v/>
      </c>
      <c r="J156" s="10" t="str">
        <f aca="false">IF($I156="","",$I156+(1000-ROW())/1000000)</f>
        <v/>
      </c>
      <c r="K156" s="10" t="str">
        <f aca="false">IF($H156="","",COUNTIFS($D$2:$D$208,$D156,$J$2:$J$208,"&gt;"&amp;$J156)+1)</f>
        <v/>
      </c>
      <c r="L156" s="10" t="str">
        <f aca="false">IF($K156="","",$D156&amp;"-"&amp;$K156)</f>
        <v/>
      </c>
    </row>
    <row r="157" customFormat="false" ht="26.85" hidden="false" customHeight="false" outlineLevel="0" collapsed="false">
      <c r="A157" s="10" t="str">
        <f aca="false">02_施策マスター!A157</f>
        <v>AIMF-DE-AGT-006</v>
      </c>
      <c r="B157" s="10" t="str">
        <f aca="false">02_施策マスター!B157</f>
        <v>エージェントメモリ・コンテキスト改ざんの検知</v>
      </c>
      <c r="C157" s="10" t="str">
        <f aca="false">02_施策マスター!C157</f>
        <v>DE</v>
      </c>
      <c r="D157" s="10" t="str">
        <f aca="false">02_施策マスター!O157</f>
        <v>長期</v>
      </c>
      <c r="E157" s="10" t="n">
        <f aca="false">02_施策マスター!I157</f>
        <v>9</v>
      </c>
      <c r="F157" s="10" t="n">
        <f aca="false">02_施策マスター!H157</f>
        <v>4</v>
      </c>
      <c r="G157" s="10" t="n">
        <f aca="false">COUNTIFS(05_施策抽出!$E:$E,$A157,05_施策抽出!$B:$B,"○")</f>
        <v>0</v>
      </c>
      <c r="H157" s="10" t="str">
        <f aca="false">IF($G157&gt;0,"○","")</f>
        <v/>
      </c>
      <c r="I157" s="10" t="str">
        <f aca="false">IF($H157="","",ROUND(SUMIFS(05_施策抽出!$C:$C,05_施策抽出!$E:$E,$A157,05_施策抽出!$B:$B,"○")*02_施策マスター!$P157*02_施策マスター!$K157,1))</f>
        <v/>
      </c>
      <c r="J157" s="10" t="str">
        <f aca="false">IF($I157="","",$I157+(1000-ROW())/1000000)</f>
        <v/>
      </c>
      <c r="K157" s="10" t="str">
        <f aca="false">IF($H157="","",COUNTIFS($D$2:$D$208,$D157,$J$2:$J$208,"&gt;"&amp;$J157)+1)</f>
        <v/>
      </c>
      <c r="L157" s="10" t="str">
        <f aca="false">IF($K157="","",$D157&amp;"-"&amp;$K157)</f>
        <v/>
      </c>
    </row>
    <row r="158" customFormat="false" ht="26.85" hidden="false" customHeight="false" outlineLevel="0" collapsed="false">
      <c r="A158" s="10" t="str">
        <f aca="false">02_施策マスター!A158</f>
        <v>AIMF-DE-AGT-007</v>
      </c>
      <c r="B158" s="10" t="str">
        <f aca="false">02_施策マスター!B158</f>
        <v>ローグエージェント（逸脱挙動）の検知</v>
      </c>
      <c r="C158" s="10" t="str">
        <f aca="false">02_施策マスター!C158</f>
        <v>DE</v>
      </c>
      <c r="D158" s="10" t="str">
        <f aca="false">02_施策マスター!O158</f>
        <v>長期</v>
      </c>
      <c r="E158" s="10" t="n">
        <f aca="false">02_施策マスター!I158</f>
        <v>9</v>
      </c>
      <c r="F158" s="10" t="n">
        <f aca="false">02_施策マスター!H158</f>
        <v>4</v>
      </c>
      <c r="G158" s="10" t="n">
        <f aca="false">COUNTIFS(05_施策抽出!$E:$E,$A158,05_施策抽出!$B:$B,"○")</f>
        <v>0</v>
      </c>
      <c r="H158" s="10" t="str">
        <f aca="false">IF($G158&gt;0,"○","")</f>
        <v/>
      </c>
      <c r="I158" s="10" t="str">
        <f aca="false">IF($H158="","",ROUND(SUMIFS(05_施策抽出!$C:$C,05_施策抽出!$E:$E,$A158,05_施策抽出!$B:$B,"○")*02_施策マスター!$P158*02_施策マスター!$K158,1))</f>
        <v/>
      </c>
      <c r="J158" s="10" t="str">
        <f aca="false">IF($I158="","",$I158+(1000-ROW())/1000000)</f>
        <v/>
      </c>
      <c r="K158" s="10" t="str">
        <f aca="false">IF($H158="","",COUNTIFS($D$2:$D$208,$D158,$J$2:$J$208,"&gt;"&amp;$J158)+1)</f>
        <v/>
      </c>
      <c r="L158" s="10" t="str">
        <f aca="false">IF($K158="","",$D158&amp;"-"&amp;$K158)</f>
        <v/>
      </c>
    </row>
    <row r="159" customFormat="false" ht="26.85" hidden="false" customHeight="false" outlineLevel="0" collapsed="false">
      <c r="A159" s="10" t="str">
        <f aca="false">02_施策マスター!A159</f>
        <v>AIMF-DE-HLT-001</v>
      </c>
      <c r="B159" s="10" t="str">
        <f aca="false">02_施策マスター!B159</f>
        <v>AIインフラ構成監査とリソース監視（DoS検知）</v>
      </c>
      <c r="C159" s="10" t="str">
        <f aca="false">02_施策マスター!C159</f>
        <v>DE</v>
      </c>
      <c r="D159" s="10" t="str">
        <f aca="false">02_施策マスター!O159</f>
        <v>中期</v>
      </c>
      <c r="E159" s="10" t="n">
        <f aca="false">02_施策マスター!I159</f>
        <v>6</v>
      </c>
      <c r="F159" s="10" t="n">
        <f aca="false">02_施策マスター!H159</f>
        <v>3</v>
      </c>
      <c r="G159" s="10" t="n">
        <f aca="false">COUNTIFS(05_施策抽出!$E:$E,$A159,05_施策抽出!$B:$B,"○")</f>
        <v>0</v>
      </c>
      <c r="H159" s="10" t="str">
        <f aca="false">IF($G159&gt;0,"○","")</f>
        <v/>
      </c>
      <c r="I159" s="10" t="str">
        <f aca="false">IF($H159="","",ROUND(SUMIFS(05_施策抽出!$C:$C,05_施策抽出!$E:$E,$A159,05_施策抽出!$B:$B,"○")*02_施策マスター!$P159*02_施策マスター!$K159,1))</f>
        <v/>
      </c>
      <c r="J159" s="10" t="str">
        <f aca="false">IF($I159="","",$I159+(1000-ROW())/1000000)</f>
        <v/>
      </c>
      <c r="K159" s="10" t="str">
        <f aca="false">IF($H159="","",COUNTIFS($D$2:$D$208,$D159,$J$2:$J$208,"&gt;"&amp;$J159)+1)</f>
        <v/>
      </c>
      <c r="L159" s="10" t="str">
        <f aca="false">IF($K159="","",$D159&amp;"-"&amp;$K159)</f>
        <v/>
      </c>
    </row>
    <row r="160" customFormat="false" ht="26.85" hidden="false" customHeight="false" outlineLevel="0" collapsed="false">
      <c r="A160" s="10" t="str">
        <f aca="false">02_施策マスター!A160</f>
        <v>AIMF-DE-HLT-002</v>
      </c>
      <c r="B160" s="10" t="str">
        <f aca="false">02_施策マスター!B160</f>
        <v>データポイズニング・ドリフトの監視</v>
      </c>
      <c r="C160" s="10" t="str">
        <f aca="false">02_施策マスター!C160</f>
        <v>DE</v>
      </c>
      <c r="D160" s="10" t="str">
        <f aca="false">02_施策マスター!O160</f>
        <v>長期</v>
      </c>
      <c r="E160" s="10" t="n">
        <f aca="false">02_施策マスター!I160</f>
        <v>9</v>
      </c>
      <c r="F160" s="10" t="n">
        <f aca="false">02_施策マスター!H160</f>
        <v>4</v>
      </c>
      <c r="G160" s="10" t="n">
        <f aca="false">COUNTIFS(05_施策抽出!$E:$E,$A160,05_施策抽出!$B:$B,"○")</f>
        <v>0</v>
      </c>
      <c r="H160" s="10" t="str">
        <f aca="false">IF($G160&gt;0,"○","")</f>
        <v/>
      </c>
      <c r="I160" s="10" t="str">
        <f aca="false">IF($H160="","",ROUND(SUMIFS(05_施策抽出!$C:$C,05_施策抽出!$E:$E,$A160,05_施策抽出!$B:$B,"○")*02_施策マスター!$P160*02_施策マスター!$K160,1))</f>
        <v/>
      </c>
      <c r="J160" s="10" t="str">
        <f aca="false">IF($I160="","",$I160+(1000-ROW())/1000000)</f>
        <v/>
      </c>
      <c r="K160" s="10" t="str">
        <f aca="false">IF($H160="","",COUNTIFS($D$2:$D$208,$D160,$J$2:$J$208,"&gt;"&amp;$J160)+1)</f>
        <v/>
      </c>
      <c r="L160" s="10" t="str">
        <f aca="false">IF($K160="","",$D160&amp;"-"&amp;$K160)</f>
        <v/>
      </c>
    </row>
    <row r="161" customFormat="false" ht="22.35" hidden="false" customHeight="false" outlineLevel="0" collapsed="false">
      <c r="A161" s="10" t="str">
        <f aca="false">02_施策マスター!A161</f>
        <v>AIMF-DE-HLT-003</v>
      </c>
      <c r="B161" s="10" t="str">
        <f aca="false">02_施策マスター!B161</f>
        <v>モデル性能・品質劣化の継続監視</v>
      </c>
      <c r="C161" s="10" t="str">
        <f aca="false">02_施策マスター!C161</f>
        <v>DE</v>
      </c>
      <c r="D161" s="10" t="str">
        <f aca="false">02_施策マスター!O161</f>
        <v>長期</v>
      </c>
      <c r="E161" s="10" t="n">
        <f aca="false">02_施策マスター!I161</f>
        <v>9</v>
      </c>
      <c r="F161" s="10" t="n">
        <f aca="false">02_施策マスター!H161</f>
        <v>4</v>
      </c>
      <c r="G161" s="10" t="n">
        <f aca="false">COUNTIFS(05_施策抽出!$E:$E,$A161,05_施策抽出!$B:$B,"○")</f>
        <v>0</v>
      </c>
      <c r="H161" s="10" t="str">
        <f aca="false">IF($G161&gt;0,"○","")</f>
        <v/>
      </c>
      <c r="I161" s="10" t="str">
        <f aca="false">IF($H161="","",ROUND(SUMIFS(05_施策抽出!$C:$C,05_施策抽出!$E:$E,$A161,05_施策抽出!$B:$B,"○")*02_施策マスター!$P161*02_施策マスター!$K161,1))</f>
        <v/>
      </c>
      <c r="J161" s="10" t="str">
        <f aca="false">IF($I161="","",$I161+(1000-ROW())/1000000)</f>
        <v/>
      </c>
      <c r="K161" s="10" t="str">
        <f aca="false">IF($H161="","",COUNTIFS($D$2:$D$208,$D161,$J$2:$J$208,"&gt;"&amp;$J161)+1)</f>
        <v/>
      </c>
      <c r="L161" s="10" t="str">
        <f aca="false">IF($K161="","",$D161&amp;"-"&amp;$K161)</f>
        <v/>
      </c>
    </row>
    <row r="162" customFormat="false" ht="26.85" hidden="false" customHeight="false" outlineLevel="0" collapsed="false">
      <c r="A162" s="10" t="str">
        <f aca="false">02_施策マスター!A162</f>
        <v>AIMF-DE-HLT-004</v>
      </c>
      <c r="B162" s="10" t="str">
        <f aca="false">02_施策マスター!B162</f>
        <v>埋め込み空間・ベクトルDBの異常検知</v>
      </c>
      <c r="C162" s="10" t="str">
        <f aca="false">02_施策マスター!C162</f>
        <v>DE</v>
      </c>
      <c r="D162" s="10" t="str">
        <f aca="false">02_施策マスター!O162</f>
        <v>長期</v>
      </c>
      <c r="E162" s="10" t="n">
        <f aca="false">02_施策マスター!I162</f>
        <v>9</v>
      </c>
      <c r="F162" s="10" t="n">
        <f aca="false">02_施策マスター!H162</f>
        <v>4</v>
      </c>
      <c r="G162" s="10" t="n">
        <f aca="false">COUNTIFS(05_施策抽出!$E:$E,$A162,05_施策抽出!$B:$B,"○")</f>
        <v>0</v>
      </c>
      <c r="H162" s="10" t="str">
        <f aca="false">IF($G162&gt;0,"○","")</f>
        <v/>
      </c>
      <c r="I162" s="10" t="str">
        <f aca="false">IF($H162="","",ROUND(SUMIFS(05_施策抽出!$C:$C,05_施策抽出!$E:$E,$A162,05_施策抽出!$B:$B,"○")*02_施策マスター!$P162*02_施策マスター!$K162,1))</f>
        <v/>
      </c>
      <c r="J162" s="10" t="str">
        <f aca="false">IF($I162="","",$I162+(1000-ROW())/1000000)</f>
        <v/>
      </c>
      <c r="K162" s="10" t="str">
        <f aca="false">IF($H162="","",COUNTIFS($D$2:$D$208,$D162,$J$2:$J$208,"&gt;"&amp;$J162)+1)</f>
        <v/>
      </c>
      <c r="L162" s="10" t="str">
        <f aca="false">IF($K162="","",$D162&amp;"-"&amp;$K162)</f>
        <v/>
      </c>
    </row>
    <row r="163" customFormat="false" ht="22.35" hidden="false" customHeight="false" outlineLevel="0" collapsed="false">
      <c r="A163" s="10" t="str">
        <f aca="false">02_施策マスター!A163</f>
        <v>AIMF-DE-HLT-005</v>
      </c>
      <c r="B163" s="10" t="str">
        <f aca="false">02_施策マスター!B163</f>
        <v>GPUリソースの不正利用検知</v>
      </c>
      <c r="C163" s="10" t="str">
        <f aca="false">02_施策マスター!C163</f>
        <v>DE</v>
      </c>
      <c r="D163" s="10" t="str">
        <f aca="false">02_施策マスター!O163</f>
        <v>中期</v>
      </c>
      <c r="E163" s="10" t="n">
        <f aca="false">02_施策マスター!I163</f>
        <v>6</v>
      </c>
      <c r="F163" s="10" t="n">
        <f aca="false">02_施策マスター!H163</f>
        <v>3</v>
      </c>
      <c r="G163" s="10" t="n">
        <f aca="false">COUNTIFS(05_施策抽出!$E:$E,$A163,05_施策抽出!$B:$B,"○")</f>
        <v>0</v>
      </c>
      <c r="H163" s="10" t="str">
        <f aca="false">IF($G163&gt;0,"○","")</f>
        <v/>
      </c>
      <c r="I163" s="10" t="str">
        <f aca="false">IF($H163="","",ROUND(SUMIFS(05_施策抽出!$C:$C,05_施策抽出!$E:$E,$A163,05_施策抽出!$B:$B,"○")*02_施策マスター!$P163*02_施策マスター!$K163,1))</f>
        <v/>
      </c>
      <c r="J163" s="10" t="str">
        <f aca="false">IF($I163="","",$I163+(1000-ROW())/1000000)</f>
        <v/>
      </c>
      <c r="K163" s="10" t="str">
        <f aca="false">IF($H163="","",COUNTIFS($D$2:$D$208,$D163,$J$2:$J$208,"&gt;"&amp;$J163)+1)</f>
        <v/>
      </c>
      <c r="L163" s="10" t="str">
        <f aca="false">IF($K163="","",$D163&amp;"-"&amp;$K163)</f>
        <v/>
      </c>
    </row>
    <row r="164" customFormat="false" ht="26.85" hidden="false" customHeight="false" outlineLevel="0" collapsed="false">
      <c r="A164" s="10" t="str">
        <f aca="false">02_施策マスター!A164</f>
        <v>AIMF-DE-HLT-006</v>
      </c>
      <c r="B164" s="10" t="str">
        <f aca="false">02_施策マスター!B164</f>
        <v>AI利用コスト・トークン消費の異常監視</v>
      </c>
      <c r="C164" s="10" t="str">
        <f aca="false">02_施策マスター!C164</f>
        <v>DE</v>
      </c>
      <c r="D164" s="10" t="str">
        <f aca="false">02_施策マスター!O164</f>
        <v>長期</v>
      </c>
      <c r="E164" s="10" t="n">
        <f aca="false">02_施策マスター!I164</f>
        <v>9</v>
      </c>
      <c r="F164" s="10" t="n">
        <f aca="false">02_施策マスター!H164</f>
        <v>4</v>
      </c>
      <c r="G164" s="10" t="n">
        <f aca="false">COUNTIFS(05_施策抽出!$E:$E,$A164,05_施策抽出!$B:$B,"○")</f>
        <v>0</v>
      </c>
      <c r="H164" s="10" t="str">
        <f aca="false">IF($G164&gt;0,"○","")</f>
        <v/>
      </c>
      <c r="I164" s="10" t="str">
        <f aca="false">IF($H164="","",ROUND(SUMIFS(05_施策抽出!$C:$C,05_施策抽出!$E:$E,$A164,05_施策抽出!$B:$B,"○")*02_施策マスター!$P164*02_施策マスター!$K164,1))</f>
        <v/>
      </c>
      <c r="J164" s="10" t="str">
        <f aca="false">IF($I164="","",$I164+(1000-ROW())/1000000)</f>
        <v/>
      </c>
      <c r="K164" s="10" t="str">
        <f aca="false">IF($H164="","",COUNTIFS($D$2:$D$208,$D164,$J$2:$J$208,"&gt;"&amp;$J164)+1)</f>
        <v/>
      </c>
      <c r="L164" s="10" t="str">
        <f aca="false">IF($K164="","",$D164&amp;"-"&amp;$K164)</f>
        <v/>
      </c>
    </row>
    <row r="165" customFormat="false" ht="26.85" hidden="false" customHeight="false" outlineLevel="0" collapsed="false">
      <c r="A165" s="10" t="str">
        <f aca="false">02_施策マスター!A165</f>
        <v>AIMF-DE-SOC-001</v>
      </c>
      <c r="B165" s="10" t="str">
        <f aca="false">02_施策マスター!B165</f>
        <v>AIテレメトリのSIEM統合と相関分析</v>
      </c>
      <c r="C165" s="10" t="str">
        <f aca="false">02_施策マスター!C165</f>
        <v>DE</v>
      </c>
      <c r="D165" s="10" t="str">
        <f aca="false">02_施策マスター!O165</f>
        <v>中期</v>
      </c>
      <c r="E165" s="10" t="n">
        <f aca="false">02_施策マスター!I165</f>
        <v>6</v>
      </c>
      <c r="F165" s="10" t="n">
        <f aca="false">02_施策マスター!H165</f>
        <v>3</v>
      </c>
      <c r="G165" s="10" t="n">
        <f aca="false">COUNTIFS(05_施策抽出!$E:$E,$A165,05_施策抽出!$B:$B,"○")</f>
        <v>0</v>
      </c>
      <c r="H165" s="10" t="str">
        <f aca="false">IF($G165&gt;0,"○","")</f>
        <v/>
      </c>
      <c r="I165" s="10" t="str">
        <f aca="false">IF($H165="","",ROUND(SUMIFS(05_施策抽出!$C:$C,05_施策抽出!$E:$E,$A165,05_施策抽出!$B:$B,"○")*02_施策マスター!$P165*02_施策マスター!$K165,1))</f>
        <v/>
      </c>
      <c r="J165" s="10" t="str">
        <f aca="false">IF($I165="","",$I165+(1000-ROW())/1000000)</f>
        <v/>
      </c>
      <c r="K165" s="10" t="str">
        <f aca="false">IF($H165="","",COUNTIFS($D$2:$D$208,$D165,$J$2:$J$208,"&gt;"&amp;$J165)+1)</f>
        <v/>
      </c>
      <c r="L165" s="10" t="str">
        <f aca="false">IF($K165="","",$D165&amp;"-"&amp;$K165)</f>
        <v/>
      </c>
    </row>
    <row r="166" customFormat="false" ht="26.85" hidden="false" customHeight="false" outlineLevel="0" collapsed="false">
      <c r="A166" s="10" t="str">
        <f aca="false">02_施策マスター!A166</f>
        <v>AIMF-DE-SOC-002</v>
      </c>
      <c r="B166" s="10" t="str">
        <f aca="false">02_施策マスター!B166</f>
        <v>ATLAS対応の検知ルールカバレッジ管理</v>
      </c>
      <c r="C166" s="10" t="str">
        <f aca="false">02_施策マスター!C166</f>
        <v>DE</v>
      </c>
      <c r="D166" s="10" t="str">
        <f aca="false">02_施策マスター!O166</f>
        <v>長期</v>
      </c>
      <c r="E166" s="10" t="n">
        <f aca="false">02_施策マスター!I166</f>
        <v>9</v>
      </c>
      <c r="F166" s="10" t="n">
        <f aca="false">02_施策マスター!H166</f>
        <v>4</v>
      </c>
      <c r="G166" s="10" t="n">
        <f aca="false">COUNTIFS(05_施策抽出!$E:$E,$A166,05_施策抽出!$B:$B,"○")</f>
        <v>0</v>
      </c>
      <c r="H166" s="10" t="str">
        <f aca="false">IF($G166&gt;0,"○","")</f>
        <v/>
      </c>
      <c r="I166" s="10" t="str">
        <f aca="false">IF($H166="","",ROUND(SUMIFS(05_施策抽出!$C:$C,05_施策抽出!$E:$E,$A166,05_施策抽出!$B:$B,"○")*02_施策マスター!$P166*02_施策マスター!$K166,1))</f>
        <v/>
      </c>
      <c r="J166" s="10" t="str">
        <f aca="false">IF($I166="","",$I166+(1000-ROW())/1000000)</f>
        <v/>
      </c>
      <c r="K166" s="10" t="str">
        <f aca="false">IF($H166="","",COUNTIFS($D$2:$D$208,$D166,$J$2:$J$208,"&gt;"&amp;$J166)+1)</f>
        <v/>
      </c>
      <c r="L166" s="10" t="str">
        <f aca="false">IF($K166="","",$D166&amp;"-"&amp;$K166)</f>
        <v/>
      </c>
    </row>
    <row r="167" customFormat="false" ht="22.35" hidden="false" customHeight="false" outlineLevel="0" collapsed="false">
      <c r="A167" s="10" t="str">
        <f aca="false">02_施策マスター!A167</f>
        <v>AIMF-DE-SOC-003</v>
      </c>
      <c r="B167" s="10" t="str">
        <f aca="false">02_施策マスター!B167</f>
        <v>AIアラートのトリアージ基準</v>
      </c>
      <c r="C167" s="10" t="str">
        <f aca="false">02_施策マスター!C167</f>
        <v>DE</v>
      </c>
      <c r="D167" s="10" t="str">
        <f aca="false">02_施策マスター!O167</f>
        <v>中期</v>
      </c>
      <c r="E167" s="10" t="n">
        <f aca="false">02_施策マスター!I167</f>
        <v>6</v>
      </c>
      <c r="F167" s="10" t="n">
        <f aca="false">02_施策マスター!H167</f>
        <v>3</v>
      </c>
      <c r="G167" s="10" t="n">
        <f aca="false">COUNTIFS(05_施策抽出!$E:$E,$A167,05_施策抽出!$B:$B,"○")</f>
        <v>0</v>
      </c>
      <c r="H167" s="10" t="str">
        <f aca="false">IF($G167&gt;0,"○","")</f>
        <v/>
      </c>
      <c r="I167" s="10" t="str">
        <f aca="false">IF($H167="","",ROUND(SUMIFS(05_施策抽出!$C:$C,05_施策抽出!$E:$E,$A167,05_施策抽出!$B:$B,"○")*02_施策マスター!$P167*02_施策マスター!$K167,1))</f>
        <v/>
      </c>
      <c r="J167" s="10" t="str">
        <f aca="false">IF($I167="","",$I167+(1000-ROW())/1000000)</f>
        <v/>
      </c>
      <c r="K167" s="10" t="str">
        <f aca="false">IF($H167="","",COUNTIFS($D$2:$D$208,$D167,$J$2:$J$208,"&gt;"&amp;$J167)+1)</f>
        <v/>
      </c>
      <c r="L167" s="10" t="str">
        <f aca="false">IF($K167="","",$D167&amp;"-"&amp;$K167)</f>
        <v/>
      </c>
    </row>
    <row r="168" customFormat="false" ht="22.35" hidden="false" customHeight="false" outlineLevel="0" collapsed="false">
      <c r="A168" s="10" t="str">
        <f aca="false">02_施策マスター!A168</f>
        <v>AIMF-DE-SOC-004</v>
      </c>
      <c r="B168" s="10" t="str">
        <f aca="false">02_施策マスター!B168</f>
        <v>AI環境の脅威ハンティング</v>
      </c>
      <c r="C168" s="10" t="str">
        <f aca="false">02_施策マスター!C168</f>
        <v>DE</v>
      </c>
      <c r="D168" s="10" t="str">
        <f aca="false">02_施策マスター!O168</f>
        <v>中期</v>
      </c>
      <c r="E168" s="10" t="n">
        <f aca="false">02_施策マスター!I168</f>
        <v>6</v>
      </c>
      <c r="F168" s="10" t="n">
        <f aca="false">02_施策マスター!H168</f>
        <v>3</v>
      </c>
      <c r="G168" s="10" t="n">
        <f aca="false">COUNTIFS(05_施策抽出!$E:$E,$A168,05_施策抽出!$B:$B,"○")</f>
        <v>0</v>
      </c>
      <c r="H168" s="10" t="str">
        <f aca="false">IF($G168&gt;0,"○","")</f>
        <v/>
      </c>
      <c r="I168" s="10" t="str">
        <f aca="false">IF($H168="","",ROUND(SUMIFS(05_施策抽出!$C:$C,05_施策抽出!$E:$E,$A168,05_施策抽出!$B:$B,"○")*02_施策マスター!$P168*02_施策マスター!$K168,1))</f>
        <v/>
      </c>
      <c r="J168" s="10" t="str">
        <f aca="false">IF($I168="","",$I168+(1000-ROW())/1000000)</f>
        <v/>
      </c>
      <c r="K168" s="10" t="str">
        <f aca="false">IF($H168="","",COUNTIFS($D$2:$D$208,$D168,$J$2:$J$208,"&gt;"&amp;$J168)+1)</f>
        <v/>
      </c>
      <c r="L168" s="10" t="str">
        <f aca="false">IF($K168="","",$D168&amp;"-"&amp;$K168)</f>
        <v/>
      </c>
    </row>
    <row r="169" customFormat="false" ht="22.35" hidden="false" customHeight="false" outlineLevel="0" collapsed="false">
      <c r="A169" s="10" t="str">
        <f aca="false">02_施策マスター!A169</f>
        <v>AIMF-DE-SOC-005</v>
      </c>
      <c r="B169" s="10" t="str">
        <f aca="false">02_施策マスター!B169</f>
        <v>検知有効性の定期テスト</v>
      </c>
      <c r="C169" s="10" t="str">
        <f aca="false">02_施策マスター!C169</f>
        <v>DE</v>
      </c>
      <c r="D169" s="10" t="str">
        <f aca="false">02_施策マスター!O169</f>
        <v>中期</v>
      </c>
      <c r="E169" s="10" t="n">
        <f aca="false">02_施策マスター!I169</f>
        <v>6</v>
      </c>
      <c r="F169" s="10" t="n">
        <f aca="false">02_施策マスター!H169</f>
        <v>3</v>
      </c>
      <c r="G169" s="10" t="n">
        <f aca="false">COUNTIFS(05_施策抽出!$E:$E,$A169,05_施策抽出!$B:$B,"○")</f>
        <v>0</v>
      </c>
      <c r="H169" s="10" t="str">
        <f aca="false">IF($G169&gt;0,"○","")</f>
        <v/>
      </c>
      <c r="I169" s="10" t="str">
        <f aca="false">IF($H169="","",ROUND(SUMIFS(05_施策抽出!$C:$C,05_施策抽出!$E:$E,$A169,05_施策抽出!$B:$B,"○")*02_施策マスター!$P169*02_施策マスター!$K169,1))</f>
        <v/>
      </c>
      <c r="J169" s="10" t="str">
        <f aca="false">IF($I169="","",$I169+(1000-ROW())/1000000)</f>
        <v/>
      </c>
      <c r="K169" s="10" t="str">
        <f aca="false">IF($H169="","",COUNTIFS($D$2:$D$208,$D169,$J$2:$J$208,"&gt;"&amp;$J169)+1)</f>
        <v/>
      </c>
      <c r="L169" s="10" t="str">
        <f aca="false">IF($K169="","",$D169&amp;"-"&amp;$K169)</f>
        <v/>
      </c>
    </row>
    <row r="170" customFormat="false" ht="26.85" hidden="false" customHeight="false" outlineLevel="0" collapsed="false">
      <c r="A170" s="10" t="str">
        <f aca="false">02_施策マスター!A170</f>
        <v>AIMF-DE-LOG-001</v>
      </c>
      <c r="B170" s="10" t="str">
        <f aca="false">02_施策マスター!B170</f>
        <v>AIコンポーネント横断のログ標準化</v>
      </c>
      <c r="C170" s="10" t="str">
        <f aca="false">02_施策マスター!C170</f>
        <v>DE</v>
      </c>
      <c r="D170" s="10" t="str">
        <f aca="false">02_施策マスター!O170</f>
        <v>中期</v>
      </c>
      <c r="E170" s="10" t="n">
        <f aca="false">02_施策マスター!I170</f>
        <v>6</v>
      </c>
      <c r="F170" s="10" t="n">
        <f aca="false">02_施策マスター!H170</f>
        <v>3</v>
      </c>
      <c r="G170" s="10" t="n">
        <f aca="false">COUNTIFS(05_施策抽出!$E:$E,$A170,05_施策抽出!$B:$B,"○")</f>
        <v>0</v>
      </c>
      <c r="H170" s="10" t="str">
        <f aca="false">IF($G170&gt;0,"○","")</f>
        <v/>
      </c>
      <c r="I170" s="10" t="str">
        <f aca="false">IF($H170="","",ROUND(SUMIFS(05_施策抽出!$C:$C,05_施策抽出!$E:$E,$A170,05_施策抽出!$B:$B,"○")*02_施策マスター!$P170*02_施策マスター!$K170,1))</f>
        <v/>
      </c>
      <c r="J170" s="10" t="str">
        <f aca="false">IF($I170="","",$I170+(1000-ROW())/1000000)</f>
        <v/>
      </c>
      <c r="K170" s="10" t="str">
        <f aca="false">IF($H170="","",COUNTIFS($D$2:$D$208,$D170,$J$2:$J$208,"&gt;"&amp;$J170)+1)</f>
        <v/>
      </c>
      <c r="L170" s="10" t="str">
        <f aca="false">IF($K170="","",$D170&amp;"-"&amp;$K170)</f>
        <v/>
      </c>
    </row>
    <row r="171" customFormat="false" ht="22.35" hidden="false" customHeight="false" outlineLevel="0" collapsed="false">
      <c r="A171" s="10" t="str">
        <f aca="false">02_施策マスター!A171</f>
        <v>AIMF-DE-LOG-002</v>
      </c>
      <c r="B171" s="10" t="str">
        <f aca="false">02_施策マスター!B171</f>
        <v>ログの完全性保護</v>
      </c>
      <c r="C171" s="10" t="str">
        <f aca="false">02_施策マスター!C171</f>
        <v>DE</v>
      </c>
      <c r="D171" s="10" t="str">
        <f aca="false">02_施策マスター!O171</f>
        <v>中期</v>
      </c>
      <c r="E171" s="10" t="n">
        <f aca="false">02_施策マスター!I171</f>
        <v>6</v>
      </c>
      <c r="F171" s="10" t="n">
        <f aca="false">02_施策マスター!H171</f>
        <v>3</v>
      </c>
      <c r="G171" s="10" t="n">
        <f aca="false">COUNTIFS(05_施策抽出!$E:$E,$A171,05_施策抽出!$B:$B,"○")</f>
        <v>0</v>
      </c>
      <c r="H171" s="10" t="str">
        <f aca="false">IF($G171&gt;0,"○","")</f>
        <v/>
      </c>
      <c r="I171" s="10" t="str">
        <f aca="false">IF($H171="","",ROUND(SUMIFS(05_施策抽出!$C:$C,05_施策抽出!$E:$E,$A171,05_施策抽出!$B:$B,"○")*02_施策マスター!$P171*02_施策マスター!$K171,1))</f>
        <v/>
      </c>
      <c r="J171" s="10" t="str">
        <f aca="false">IF($I171="","",$I171+(1000-ROW())/1000000)</f>
        <v/>
      </c>
      <c r="K171" s="10" t="str">
        <f aca="false">IF($H171="","",COUNTIFS($D$2:$D$208,$D171,$J$2:$J$208,"&gt;"&amp;$J171)+1)</f>
        <v/>
      </c>
      <c r="L171" s="10" t="str">
        <f aca="false">IF($K171="","",$D171&amp;"-"&amp;$K171)</f>
        <v/>
      </c>
    </row>
    <row r="172" customFormat="false" ht="22.35" hidden="false" customHeight="false" outlineLevel="0" collapsed="false">
      <c r="A172" s="10" t="str">
        <f aca="false">02_施策マスター!A172</f>
        <v>AIMF-DE-LOG-003</v>
      </c>
      <c r="B172" s="10" t="str">
        <f aca="false">02_施策マスター!B172</f>
        <v>ログ保持とプライバシーの両立</v>
      </c>
      <c r="C172" s="10" t="str">
        <f aca="false">02_施策マスター!C172</f>
        <v>DE</v>
      </c>
      <c r="D172" s="10" t="str">
        <f aca="false">02_施策マスター!O172</f>
        <v>中期</v>
      </c>
      <c r="E172" s="10" t="n">
        <f aca="false">02_施策マスター!I172</f>
        <v>6</v>
      </c>
      <c r="F172" s="10" t="n">
        <f aca="false">02_施策マスター!H172</f>
        <v>3</v>
      </c>
      <c r="G172" s="10" t="n">
        <f aca="false">COUNTIFS(05_施策抽出!$E:$E,$A172,05_施策抽出!$B:$B,"○")</f>
        <v>0</v>
      </c>
      <c r="H172" s="10" t="str">
        <f aca="false">IF($G172&gt;0,"○","")</f>
        <v/>
      </c>
      <c r="I172" s="10" t="str">
        <f aca="false">IF($H172="","",ROUND(SUMIFS(05_施策抽出!$C:$C,05_施策抽出!$E:$E,$A172,05_施策抽出!$B:$B,"○")*02_施策マスター!$P172*02_施策マスター!$K172,1))</f>
        <v/>
      </c>
      <c r="J172" s="10" t="str">
        <f aca="false">IF($I172="","",$I172+(1000-ROW())/1000000)</f>
        <v/>
      </c>
      <c r="K172" s="10" t="str">
        <f aca="false">IF($H172="","",COUNTIFS($D$2:$D$208,$D172,$J$2:$J$208,"&gt;"&amp;$J172)+1)</f>
        <v/>
      </c>
      <c r="L172" s="10" t="str">
        <f aca="false">IF($K172="","",$D172&amp;"-"&amp;$K172)</f>
        <v/>
      </c>
    </row>
    <row r="173" customFormat="false" ht="26.85" hidden="false" customHeight="false" outlineLevel="0" collapsed="false">
      <c r="A173" s="10" t="str">
        <f aca="false">02_施策マスター!A173</f>
        <v>AIMF-RS-IRP-001</v>
      </c>
      <c r="B173" s="10" t="str">
        <f aca="false">02_施策マスター!B173</f>
        <v>CSIRTのAI拡張とプレイブック整備</v>
      </c>
      <c r="C173" s="10" t="str">
        <f aca="false">02_施策マスター!C173</f>
        <v>RS</v>
      </c>
      <c r="D173" s="10" t="str">
        <f aca="false">02_施策マスター!O173</f>
        <v>短期</v>
      </c>
      <c r="E173" s="10" t="n">
        <f aca="false">02_施策マスター!I173</f>
        <v>3</v>
      </c>
      <c r="F173" s="10" t="n">
        <f aca="false">02_施策マスター!H173</f>
        <v>2</v>
      </c>
      <c r="G173" s="10" t="n">
        <f aca="false">COUNTIFS(05_施策抽出!$E:$E,$A173,05_施策抽出!$B:$B,"○")</f>
        <v>0</v>
      </c>
      <c r="H173" s="10" t="str">
        <f aca="false">IF($G173&gt;0,"○","")</f>
        <v/>
      </c>
      <c r="I173" s="10" t="str">
        <f aca="false">IF($H173="","",ROUND(SUMIFS(05_施策抽出!$C:$C,05_施策抽出!$E:$E,$A173,05_施策抽出!$B:$B,"○")*02_施策マスター!$P173*02_施策マスター!$K173,1))</f>
        <v/>
      </c>
      <c r="J173" s="10" t="str">
        <f aca="false">IF($I173="","",$I173+(1000-ROW())/1000000)</f>
        <v/>
      </c>
      <c r="K173" s="10" t="str">
        <f aca="false">IF($H173="","",COUNTIFS($D$2:$D$208,$D173,$J$2:$J$208,"&gt;"&amp;$J173)+1)</f>
        <v/>
      </c>
      <c r="L173" s="10" t="str">
        <f aca="false">IF($K173="","",$D173&amp;"-"&amp;$K173)</f>
        <v/>
      </c>
    </row>
    <row r="174" customFormat="false" ht="26.85" hidden="false" customHeight="false" outlineLevel="0" collapsed="false">
      <c r="A174" s="10" t="str">
        <f aca="false">02_施策マスター!A174</f>
        <v>AIMF-RS-IRP-002</v>
      </c>
      <c r="B174" s="10" t="str">
        <f aca="false">02_施策マスター!B174</f>
        <v>セキュリティ運用の自動化（SOAR）</v>
      </c>
      <c r="C174" s="10" t="str">
        <f aca="false">02_施策マスター!C174</f>
        <v>RS</v>
      </c>
      <c r="D174" s="10" t="str">
        <f aca="false">02_施策マスター!O174</f>
        <v>短期</v>
      </c>
      <c r="E174" s="10" t="n">
        <f aca="false">02_施策マスター!I174</f>
        <v>3</v>
      </c>
      <c r="F174" s="10" t="n">
        <f aca="false">02_施策マスター!H174</f>
        <v>2</v>
      </c>
      <c r="G174" s="10" t="n">
        <f aca="false">COUNTIFS(05_施策抽出!$E:$E,$A174,05_施策抽出!$B:$B,"○")</f>
        <v>0</v>
      </c>
      <c r="H174" s="10" t="str">
        <f aca="false">IF($G174&gt;0,"○","")</f>
        <v/>
      </c>
      <c r="I174" s="10" t="str">
        <f aca="false">IF($H174="","",ROUND(SUMIFS(05_施策抽出!$C:$C,05_施策抽出!$E:$E,$A174,05_施策抽出!$B:$B,"○")*02_施策マスター!$P174*02_施策マスター!$K174,1))</f>
        <v/>
      </c>
      <c r="J174" s="10" t="str">
        <f aca="false">IF($I174="","",$I174+(1000-ROW())/1000000)</f>
        <v/>
      </c>
      <c r="K174" s="10" t="str">
        <f aca="false">IF($H174="","",COUNTIFS($D$2:$D$208,$D174,$J$2:$J$208,"&gt;"&amp;$J174)+1)</f>
        <v/>
      </c>
      <c r="L174" s="10" t="str">
        <f aca="false">IF($K174="","",$D174&amp;"-"&amp;$K174)</f>
        <v/>
      </c>
    </row>
    <row r="175" customFormat="false" ht="26.85" hidden="false" customHeight="false" outlineLevel="0" collapsed="false">
      <c r="A175" s="10" t="str">
        <f aca="false">02_施策マスター!A175</f>
        <v>AIMF-RS-IRP-003</v>
      </c>
      <c r="B175" s="10" t="str">
        <f aca="false">02_施策マスター!B175</f>
        <v>動的レートリミットと攻撃主体の自動隔離</v>
      </c>
      <c r="C175" s="10" t="str">
        <f aca="false">02_施策マスター!C175</f>
        <v>RS</v>
      </c>
      <c r="D175" s="10" t="str">
        <f aca="false">02_施策マスター!O175</f>
        <v>短期</v>
      </c>
      <c r="E175" s="10" t="n">
        <f aca="false">02_施策マスター!I175</f>
        <v>3</v>
      </c>
      <c r="F175" s="10" t="n">
        <f aca="false">02_施策マスター!H175</f>
        <v>2</v>
      </c>
      <c r="G175" s="10" t="n">
        <f aca="false">COUNTIFS(05_施策抽出!$E:$E,$A175,05_施策抽出!$B:$B,"○")</f>
        <v>0</v>
      </c>
      <c r="H175" s="10" t="str">
        <f aca="false">IF($G175&gt;0,"○","")</f>
        <v/>
      </c>
      <c r="I175" s="10" t="str">
        <f aca="false">IF($H175="","",ROUND(SUMIFS(05_施策抽出!$C:$C,05_施策抽出!$E:$E,$A175,05_施策抽出!$B:$B,"○")*02_施策マスター!$P175*02_施策マスター!$K175,1))</f>
        <v/>
      </c>
      <c r="J175" s="10" t="str">
        <f aca="false">IF($I175="","",$I175+(1000-ROW())/1000000)</f>
        <v/>
      </c>
      <c r="K175" s="10" t="str">
        <f aca="false">IF($H175="","",COUNTIFS($D$2:$D$208,$D175,$J$2:$J$208,"&gt;"&amp;$J175)+1)</f>
        <v/>
      </c>
      <c r="L175" s="10" t="str">
        <f aca="false">IF($K175="","",$D175&amp;"-"&amp;$K175)</f>
        <v/>
      </c>
    </row>
    <row r="176" customFormat="false" ht="26.85" hidden="false" customHeight="false" outlineLevel="0" collapsed="false">
      <c r="A176" s="10" t="str">
        <f aca="false">02_施策マスター!A176</f>
        <v>AIMF-RS-IRP-004</v>
      </c>
      <c r="B176" s="10" t="str">
        <f aca="false">02_施策マスター!B176</f>
        <v>AI固有インシデントの分類・重大度基準</v>
      </c>
      <c r="C176" s="10" t="str">
        <f aca="false">02_施策マスター!C176</f>
        <v>RS</v>
      </c>
      <c r="D176" s="10" t="str">
        <f aca="false">02_施策マスター!O176</f>
        <v>長期</v>
      </c>
      <c r="E176" s="10" t="n">
        <f aca="false">02_施策マスター!I176</f>
        <v>9</v>
      </c>
      <c r="F176" s="10" t="n">
        <f aca="false">02_施策マスター!H176</f>
        <v>4</v>
      </c>
      <c r="G176" s="10" t="n">
        <f aca="false">COUNTIFS(05_施策抽出!$E:$E,$A176,05_施策抽出!$B:$B,"○")</f>
        <v>0</v>
      </c>
      <c r="H176" s="10" t="str">
        <f aca="false">IF($G176&gt;0,"○","")</f>
        <v/>
      </c>
      <c r="I176" s="10" t="str">
        <f aca="false">IF($H176="","",ROUND(SUMIFS(05_施策抽出!$C:$C,05_施策抽出!$E:$E,$A176,05_施策抽出!$B:$B,"○")*02_施策マスター!$P176*02_施策マスター!$K176,1))</f>
        <v/>
      </c>
      <c r="J176" s="10" t="str">
        <f aca="false">IF($I176="","",$I176+(1000-ROW())/1000000)</f>
        <v/>
      </c>
      <c r="K176" s="10" t="str">
        <f aca="false">IF($H176="","",COUNTIFS($D$2:$D$208,$D176,$J$2:$J$208,"&gt;"&amp;$J176)+1)</f>
        <v/>
      </c>
      <c r="L176" s="10" t="str">
        <f aca="false">IF($K176="","",$D176&amp;"-"&amp;$K176)</f>
        <v/>
      </c>
    </row>
    <row r="177" customFormat="false" ht="26.85" hidden="false" customHeight="false" outlineLevel="0" collapsed="false">
      <c r="A177" s="10" t="str">
        <f aca="false">02_施策マスター!A177</f>
        <v>AIMF-RS-IRP-005</v>
      </c>
      <c r="B177" s="10" t="str">
        <f aca="false">02_施策マスター!B177</f>
        <v>AIインシデント対応プレイブック群</v>
      </c>
      <c r="C177" s="10" t="str">
        <f aca="false">02_施策マスター!C177</f>
        <v>RS</v>
      </c>
      <c r="D177" s="10" t="str">
        <f aca="false">02_施策マスター!O177</f>
        <v>長期</v>
      </c>
      <c r="E177" s="10" t="n">
        <f aca="false">02_施策マスター!I177</f>
        <v>9</v>
      </c>
      <c r="F177" s="10" t="n">
        <f aca="false">02_施策マスター!H177</f>
        <v>4</v>
      </c>
      <c r="G177" s="10" t="n">
        <f aca="false">COUNTIFS(05_施策抽出!$E:$E,$A177,05_施策抽出!$B:$B,"○")</f>
        <v>0</v>
      </c>
      <c r="H177" s="10" t="str">
        <f aca="false">IF($G177&gt;0,"○","")</f>
        <v/>
      </c>
      <c r="I177" s="10" t="str">
        <f aca="false">IF($H177="","",ROUND(SUMIFS(05_施策抽出!$C:$C,05_施策抽出!$E:$E,$A177,05_施策抽出!$B:$B,"○")*02_施策マスター!$P177*02_施策マスター!$K177,1))</f>
        <v/>
      </c>
      <c r="J177" s="10" t="str">
        <f aca="false">IF($I177="","",$I177+(1000-ROW())/1000000)</f>
        <v/>
      </c>
      <c r="K177" s="10" t="str">
        <f aca="false">IF($H177="","",COUNTIFS($D$2:$D$208,$D177,$J$2:$J$208,"&gt;"&amp;$J177)+1)</f>
        <v/>
      </c>
      <c r="L177" s="10" t="str">
        <f aca="false">IF($K177="","",$D177&amp;"-"&amp;$K177)</f>
        <v/>
      </c>
    </row>
    <row r="178" customFormat="false" ht="15" hidden="false" customHeight="false" outlineLevel="0" collapsed="false">
      <c r="A178" s="10" t="str">
        <f aca="false">02_施策マスター!A178</f>
        <v>AIMF-RS-IRP-006</v>
      </c>
      <c r="B178" s="10" t="str">
        <f aca="false">02_施策マスター!B178</f>
        <v>AIシナリオの机上演習・実地訓練</v>
      </c>
      <c r="C178" s="10" t="str">
        <f aca="false">02_施策マスター!C178</f>
        <v>RS</v>
      </c>
      <c r="D178" s="10" t="str">
        <f aca="false">02_施策マスター!O178</f>
        <v>短期</v>
      </c>
      <c r="E178" s="10" t="n">
        <f aca="false">02_施策マスター!I178</f>
        <v>3</v>
      </c>
      <c r="F178" s="10" t="n">
        <f aca="false">02_施策マスター!H178</f>
        <v>2</v>
      </c>
      <c r="G178" s="10" t="n">
        <f aca="false">COUNTIFS(05_施策抽出!$E:$E,$A178,05_施策抽出!$B:$B,"○")</f>
        <v>0</v>
      </c>
      <c r="H178" s="10" t="str">
        <f aca="false">IF($G178&gt;0,"○","")</f>
        <v/>
      </c>
      <c r="I178" s="10" t="str">
        <f aca="false">IF($H178="","",ROUND(SUMIFS(05_施策抽出!$C:$C,05_施策抽出!$E:$E,$A178,05_施策抽出!$B:$B,"○")*02_施策マスター!$P178*02_施策マスター!$K178,1))</f>
        <v/>
      </c>
      <c r="J178" s="10" t="str">
        <f aca="false">IF($I178="","",$I178+(1000-ROW())/1000000)</f>
        <v/>
      </c>
      <c r="K178" s="10" t="str">
        <f aca="false">IF($H178="","",COUNTIFS($D$2:$D$208,$D178,$J$2:$J$208,"&gt;"&amp;$J178)+1)</f>
        <v/>
      </c>
      <c r="L178" s="10" t="str">
        <f aca="false">IF($K178="","",$D178&amp;"-"&amp;$K178)</f>
        <v/>
      </c>
    </row>
    <row r="179" customFormat="false" ht="26.85" hidden="false" customHeight="false" outlineLevel="0" collapsed="false">
      <c r="A179" s="10" t="str">
        <f aca="false">02_施策マスター!A179</f>
        <v>AIMF-RS-IRP-007</v>
      </c>
      <c r="B179" s="10" t="str">
        <f aca="false">02_施策マスター!B179</f>
        <v>プロバイダーとのインシデント連携体制</v>
      </c>
      <c r="C179" s="10" t="str">
        <f aca="false">02_施策マスター!C179</f>
        <v>RS</v>
      </c>
      <c r="D179" s="10" t="str">
        <f aca="false">02_施策マスター!O179</f>
        <v>短期</v>
      </c>
      <c r="E179" s="10" t="n">
        <f aca="false">02_施策マスター!I179</f>
        <v>3</v>
      </c>
      <c r="F179" s="10" t="n">
        <f aca="false">02_施策マスター!H179</f>
        <v>2</v>
      </c>
      <c r="G179" s="10" t="n">
        <f aca="false">COUNTIFS(05_施策抽出!$E:$E,$A179,05_施策抽出!$B:$B,"○")</f>
        <v>0</v>
      </c>
      <c r="H179" s="10" t="str">
        <f aca="false">IF($G179&gt;0,"○","")</f>
        <v/>
      </c>
      <c r="I179" s="10" t="str">
        <f aca="false">IF($H179="","",ROUND(SUMIFS(05_施策抽出!$C:$C,05_施策抽出!$E:$E,$A179,05_施策抽出!$B:$B,"○")*02_施策マスター!$P179*02_施策マスター!$K179,1))</f>
        <v/>
      </c>
      <c r="J179" s="10" t="str">
        <f aca="false">IF($I179="","",$I179+(1000-ROW())/1000000)</f>
        <v/>
      </c>
      <c r="K179" s="10" t="str">
        <f aca="false">IF($H179="","",COUNTIFS($D$2:$D$208,$D179,$J$2:$J$208,"&gt;"&amp;$J179)+1)</f>
        <v/>
      </c>
      <c r="L179" s="10" t="str">
        <f aca="false">IF($K179="","",$D179&amp;"-"&amp;$K179)</f>
        <v/>
      </c>
    </row>
    <row r="180" customFormat="false" ht="26.85" hidden="false" customHeight="false" outlineLevel="0" collapsed="false">
      <c r="A180" s="10" t="str">
        <f aca="false">02_施策マスター!A180</f>
        <v>AIMF-RS-IRP-008</v>
      </c>
      <c r="B180" s="10" t="str">
        <f aca="false">02_施策マスター!B180</f>
        <v>インシデント時のサービス停止判断権限</v>
      </c>
      <c r="C180" s="10" t="str">
        <f aca="false">02_施策マスター!C180</f>
        <v>RS</v>
      </c>
      <c r="D180" s="10" t="str">
        <f aca="false">02_施策マスター!O180</f>
        <v>短期</v>
      </c>
      <c r="E180" s="10" t="n">
        <f aca="false">02_施策マスター!I180</f>
        <v>3</v>
      </c>
      <c r="F180" s="10" t="n">
        <f aca="false">02_施策マスター!H180</f>
        <v>2</v>
      </c>
      <c r="G180" s="10" t="n">
        <f aca="false">COUNTIFS(05_施策抽出!$E:$E,$A180,05_施策抽出!$B:$B,"○")</f>
        <v>0</v>
      </c>
      <c r="H180" s="10" t="str">
        <f aca="false">IF($G180&gt;0,"○","")</f>
        <v/>
      </c>
      <c r="I180" s="10" t="str">
        <f aca="false">IF($H180="","",ROUND(SUMIFS(05_施策抽出!$C:$C,05_施策抽出!$E:$E,$A180,05_施策抽出!$B:$B,"○")*02_施策マスター!$P180*02_施策マスター!$K180,1))</f>
        <v/>
      </c>
      <c r="J180" s="10" t="str">
        <f aca="false">IF($I180="","",$I180+(1000-ROW())/1000000)</f>
        <v/>
      </c>
      <c r="K180" s="10" t="str">
        <f aca="false">IF($H180="","",COUNTIFS($D$2:$D$208,$D180,$J$2:$J$208,"&gt;"&amp;$J180)+1)</f>
        <v/>
      </c>
      <c r="L180" s="10" t="str">
        <f aca="false">IF($K180="","",$D180&amp;"-"&amp;$K180)</f>
        <v/>
      </c>
    </row>
    <row r="181" customFormat="false" ht="26.85" hidden="false" customHeight="false" outlineLevel="0" collapsed="false">
      <c r="A181" s="10" t="str">
        <f aca="false">02_施策マスター!A181</f>
        <v>AIMF-RS-CON-001</v>
      </c>
      <c r="B181" s="10" t="str">
        <f aca="false">02_施策マスター!B181</f>
        <v>AIエージェントのキルスイッチ実装</v>
      </c>
      <c r="C181" s="10" t="str">
        <f aca="false">02_施策マスター!C181</f>
        <v>RS</v>
      </c>
      <c r="D181" s="10" t="str">
        <f aca="false">02_施策マスター!O181</f>
        <v>長期</v>
      </c>
      <c r="E181" s="10" t="n">
        <f aca="false">02_施策マスター!I181</f>
        <v>9</v>
      </c>
      <c r="F181" s="10" t="n">
        <f aca="false">02_施策マスター!H181</f>
        <v>4</v>
      </c>
      <c r="G181" s="10" t="n">
        <f aca="false">COUNTIFS(05_施策抽出!$E:$E,$A181,05_施策抽出!$B:$B,"○")</f>
        <v>0</v>
      </c>
      <c r="H181" s="10" t="str">
        <f aca="false">IF($G181&gt;0,"○","")</f>
        <v/>
      </c>
      <c r="I181" s="10" t="str">
        <f aca="false">IF($H181="","",ROUND(SUMIFS(05_施策抽出!$C:$C,05_施策抽出!$E:$E,$A181,05_施策抽出!$B:$B,"○")*02_施策マスター!$P181*02_施策マスター!$K181,1))</f>
        <v/>
      </c>
      <c r="J181" s="10" t="str">
        <f aca="false">IF($I181="","",$I181+(1000-ROW())/1000000)</f>
        <v/>
      </c>
      <c r="K181" s="10" t="str">
        <f aca="false">IF($H181="","",COUNTIFS($D$2:$D$208,$D181,$J$2:$J$208,"&gt;"&amp;$J181)+1)</f>
        <v/>
      </c>
      <c r="L181" s="10" t="str">
        <f aca="false">IF($K181="","",$D181&amp;"-"&amp;$K181)</f>
        <v/>
      </c>
    </row>
    <row r="182" customFormat="false" ht="26.85" hidden="false" customHeight="false" outlineLevel="0" collapsed="false">
      <c r="A182" s="10" t="str">
        <f aca="false">02_施策マスター!A182</f>
        <v>AIMF-RS-CON-002</v>
      </c>
      <c r="B182" s="10" t="str">
        <f aca="false">02_施策マスター!B182</f>
        <v>インフラ通信・データアクセスの即時遮断</v>
      </c>
      <c r="C182" s="10" t="str">
        <f aca="false">02_施策マスター!C182</f>
        <v>RS</v>
      </c>
      <c r="D182" s="10" t="str">
        <f aca="false">02_施策マスター!O182</f>
        <v>短期</v>
      </c>
      <c r="E182" s="10" t="n">
        <f aca="false">02_施策マスター!I182</f>
        <v>3</v>
      </c>
      <c r="F182" s="10" t="n">
        <f aca="false">02_施策マスター!H182</f>
        <v>2</v>
      </c>
      <c r="G182" s="10" t="n">
        <f aca="false">COUNTIFS(05_施策抽出!$E:$E,$A182,05_施策抽出!$B:$B,"○")</f>
        <v>0</v>
      </c>
      <c r="H182" s="10" t="str">
        <f aca="false">IF($G182&gt;0,"○","")</f>
        <v/>
      </c>
      <c r="I182" s="10" t="str">
        <f aca="false">IF($H182="","",ROUND(SUMIFS(05_施策抽出!$C:$C,05_施策抽出!$E:$E,$A182,05_施策抽出!$B:$B,"○")*02_施策マスター!$P182*02_施策マスター!$K182,1))</f>
        <v/>
      </c>
      <c r="J182" s="10" t="str">
        <f aca="false">IF($I182="","",$I182+(1000-ROW())/1000000)</f>
        <v/>
      </c>
      <c r="K182" s="10" t="str">
        <f aca="false">IF($H182="","",COUNTIFS($D$2:$D$208,$D182,$J$2:$J$208,"&gt;"&amp;$J182)+1)</f>
        <v/>
      </c>
      <c r="L182" s="10" t="str">
        <f aca="false">IF($K182="","",$D182&amp;"-"&amp;$K182)</f>
        <v/>
      </c>
    </row>
    <row r="183" customFormat="false" ht="22.35" hidden="false" customHeight="false" outlineLevel="0" collapsed="false">
      <c r="A183" s="10" t="str">
        <f aca="false">02_施策マスター!A183</f>
        <v>AIMF-RS-CON-003</v>
      </c>
      <c r="B183" s="10" t="str">
        <f aca="false">02_施策マスター!B183</f>
        <v>侵害モデルのロールバック</v>
      </c>
      <c r="C183" s="10" t="str">
        <f aca="false">02_施策マスター!C183</f>
        <v>RS</v>
      </c>
      <c r="D183" s="10" t="str">
        <f aca="false">02_施策マスター!O183</f>
        <v>長期</v>
      </c>
      <c r="E183" s="10" t="n">
        <f aca="false">02_施策マスター!I183</f>
        <v>9</v>
      </c>
      <c r="F183" s="10" t="n">
        <f aca="false">02_施策マスター!H183</f>
        <v>4</v>
      </c>
      <c r="G183" s="10" t="n">
        <f aca="false">COUNTIFS(05_施策抽出!$E:$E,$A183,05_施策抽出!$B:$B,"○")</f>
        <v>0</v>
      </c>
      <c r="H183" s="10" t="str">
        <f aca="false">IF($G183&gt;0,"○","")</f>
        <v/>
      </c>
      <c r="I183" s="10" t="str">
        <f aca="false">IF($H183="","",ROUND(SUMIFS(05_施策抽出!$C:$C,05_施策抽出!$E:$E,$A183,05_施策抽出!$B:$B,"○")*02_施策マスター!$P183*02_施策マスター!$K183,1))</f>
        <v/>
      </c>
      <c r="J183" s="10" t="str">
        <f aca="false">IF($I183="","",$I183+(1000-ROW())/1000000)</f>
        <v/>
      </c>
      <c r="K183" s="10" t="str">
        <f aca="false">IF($H183="","",COUNTIFS($D$2:$D$208,$D183,$J$2:$J$208,"&gt;"&amp;$J183)+1)</f>
        <v/>
      </c>
      <c r="L183" s="10" t="str">
        <f aca="false">IF($K183="","",$D183&amp;"-"&amp;$K183)</f>
        <v/>
      </c>
    </row>
    <row r="184" customFormat="false" ht="26.85" hidden="false" customHeight="false" outlineLevel="0" collapsed="false">
      <c r="A184" s="10" t="str">
        <f aca="false">02_施策マスター!A184</f>
        <v>AIMF-RS-CON-004</v>
      </c>
      <c r="B184" s="10" t="str">
        <f aca="false">02_施策マスター!B184</f>
        <v>エージェント資格情報の即時失効・一括ローテーション</v>
      </c>
      <c r="C184" s="10" t="str">
        <f aca="false">02_施策マスター!C184</f>
        <v>RS</v>
      </c>
      <c r="D184" s="10" t="str">
        <f aca="false">02_施策マスター!O184</f>
        <v>長期</v>
      </c>
      <c r="E184" s="10" t="n">
        <f aca="false">02_施策マスター!I184</f>
        <v>9</v>
      </c>
      <c r="F184" s="10" t="n">
        <f aca="false">02_施策マスター!H184</f>
        <v>4</v>
      </c>
      <c r="G184" s="10" t="n">
        <f aca="false">COUNTIFS(05_施策抽出!$E:$E,$A184,05_施策抽出!$B:$B,"○")</f>
        <v>0</v>
      </c>
      <c r="H184" s="10" t="str">
        <f aca="false">IF($G184&gt;0,"○","")</f>
        <v/>
      </c>
      <c r="I184" s="10" t="str">
        <f aca="false">IF($H184="","",ROUND(SUMIFS(05_施策抽出!$C:$C,05_施策抽出!$E:$E,$A184,05_施策抽出!$B:$B,"○")*02_施策マスター!$P184*02_施策マスター!$K184,1))</f>
        <v/>
      </c>
      <c r="J184" s="10" t="str">
        <f aca="false">IF($I184="","",$I184+(1000-ROW())/1000000)</f>
        <v/>
      </c>
      <c r="K184" s="10" t="str">
        <f aca="false">IF($H184="","",COUNTIFS($D$2:$D$208,$D184,$J$2:$J$208,"&gt;"&amp;$J184)+1)</f>
        <v/>
      </c>
      <c r="L184" s="10" t="str">
        <f aca="false">IF($K184="","",$D184&amp;"-"&amp;$K184)</f>
        <v/>
      </c>
    </row>
    <row r="185" customFormat="false" ht="26.85" hidden="false" customHeight="false" outlineLevel="0" collapsed="false">
      <c r="A185" s="10" t="str">
        <f aca="false">02_施策マスター!A185</f>
        <v>AIMF-RS-CON-005</v>
      </c>
      <c r="B185" s="10" t="str">
        <f aca="false">02_施策マスター!B185</f>
        <v>汚染RAGソース・メモリの隔離・検疫</v>
      </c>
      <c r="C185" s="10" t="str">
        <f aca="false">02_施策マスター!C185</f>
        <v>RS</v>
      </c>
      <c r="D185" s="10" t="str">
        <f aca="false">02_施策マスター!O185</f>
        <v>長期</v>
      </c>
      <c r="E185" s="10" t="n">
        <f aca="false">02_施策マスター!I185</f>
        <v>9</v>
      </c>
      <c r="F185" s="10" t="n">
        <f aca="false">02_施策マスター!H185</f>
        <v>4</v>
      </c>
      <c r="G185" s="10" t="n">
        <f aca="false">COUNTIFS(05_施策抽出!$E:$E,$A185,05_施策抽出!$B:$B,"○")</f>
        <v>0</v>
      </c>
      <c r="H185" s="10" t="str">
        <f aca="false">IF($G185&gt;0,"○","")</f>
        <v/>
      </c>
      <c r="I185" s="10" t="str">
        <f aca="false">IF($H185="","",ROUND(SUMIFS(05_施策抽出!$C:$C,05_施策抽出!$E:$E,$A185,05_施策抽出!$B:$B,"○")*02_施策マスター!$P185*02_施策マスター!$K185,1))</f>
        <v/>
      </c>
      <c r="J185" s="10" t="str">
        <f aca="false">IF($I185="","",$I185+(1000-ROW())/1000000)</f>
        <v/>
      </c>
      <c r="K185" s="10" t="str">
        <f aca="false">IF($H185="","",COUNTIFS($D$2:$D$208,$D185,$J$2:$J$208,"&gt;"&amp;$J185)+1)</f>
        <v/>
      </c>
      <c r="L185" s="10" t="str">
        <f aca="false">IF($K185="","",$D185&amp;"-"&amp;$K185)</f>
        <v/>
      </c>
    </row>
    <row r="186" customFormat="false" ht="26.85" hidden="false" customHeight="false" outlineLevel="0" collapsed="false">
      <c r="A186" s="10" t="str">
        <f aca="false">02_施策マスター!A186</f>
        <v>AIMF-RS-RPT-001</v>
      </c>
      <c r="B186" s="10" t="str">
        <f aca="false">02_施策マスター!B186</f>
        <v>インシデントの外部報告・ステークホルダー通知</v>
      </c>
      <c r="C186" s="10" t="str">
        <f aca="false">02_施策マスター!C186</f>
        <v>RS</v>
      </c>
      <c r="D186" s="10" t="str">
        <f aca="false">02_施策マスター!O186</f>
        <v>短期</v>
      </c>
      <c r="E186" s="10" t="n">
        <f aca="false">02_施策マスター!I186</f>
        <v>3</v>
      </c>
      <c r="F186" s="10" t="n">
        <f aca="false">02_施策マスター!H186</f>
        <v>2</v>
      </c>
      <c r="G186" s="10" t="n">
        <f aca="false">COUNTIFS(05_施策抽出!$E:$E,$A186,05_施策抽出!$B:$B,"○")</f>
        <v>0</v>
      </c>
      <c r="H186" s="10" t="str">
        <f aca="false">IF($G186&gt;0,"○","")</f>
        <v/>
      </c>
      <c r="I186" s="10" t="str">
        <f aca="false">IF($H186="","",ROUND(SUMIFS(05_施策抽出!$C:$C,05_施策抽出!$E:$E,$A186,05_施策抽出!$B:$B,"○")*02_施策マスター!$P186*02_施策マスター!$K186,1))</f>
        <v/>
      </c>
      <c r="J186" s="10" t="str">
        <f aca="false">IF($I186="","",$I186+(1000-ROW())/1000000)</f>
        <v/>
      </c>
      <c r="K186" s="10" t="str">
        <f aca="false">IF($H186="","",COUNTIFS($D$2:$D$208,$D186,$J$2:$J$208,"&gt;"&amp;$J186)+1)</f>
        <v/>
      </c>
      <c r="L186" s="10" t="str">
        <f aca="false">IF($K186="","",$D186&amp;"-"&amp;$K186)</f>
        <v/>
      </c>
    </row>
    <row r="187" customFormat="false" ht="15" hidden="false" customHeight="false" outlineLevel="0" collapsed="false">
      <c r="A187" s="10" t="str">
        <f aca="false">02_施策マスター!A187</f>
        <v>AIMF-RS-RPT-002</v>
      </c>
      <c r="B187" s="10" t="str">
        <f aca="false">02_施策マスター!B187</f>
        <v>個人情報漏えい等の当局報告</v>
      </c>
      <c r="C187" s="10" t="str">
        <f aca="false">02_施策マスター!C187</f>
        <v>RS</v>
      </c>
      <c r="D187" s="10" t="str">
        <f aca="false">02_施策マスター!O187</f>
        <v>短期</v>
      </c>
      <c r="E187" s="10" t="n">
        <f aca="false">02_施策マスター!I187</f>
        <v>3</v>
      </c>
      <c r="F187" s="10" t="n">
        <f aca="false">02_施策マスター!H187</f>
        <v>2</v>
      </c>
      <c r="G187" s="10" t="n">
        <f aca="false">COUNTIFS(05_施策抽出!$E:$E,$A187,05_施策抽出!$B:$B,"○")</f>
        <v>0</v>
      </c>
      <c r="H187" s="10" t="str">
        <f aca="false">IF($G187&gt;0,"○","")</f>
        <v/>
      </c>
      <c r="I187" s="10" t="str">
        <f aca="false">IF($H187="","",ROUND(SUMIFS(05_施策抽出!$C:$C,05_施策抽出!$E:$E,$A187,05_施策抽出!$B:$B,"○")*02_施策マスター!$P187*02_施策マスター!$K187,1))</f>
        <v/>
      </c>
      <c r="J187" s="10" t="str">
        <f aca="false">IF($I187="","",$I187+(1000-ROW())/1000000)</f>
        <v/>
      </c>
      <c r="K187" s="10" t="str">
        <f aca="false">IF($H187="","",COUNTIFS($D$2:$D$208,$D187,$J$2:$J$208,"&gt;"&amp;$J187)+1)</f>
        <v/>
      </c>
      <c r="L187" s="10" t="str">
        <f aca="false">IF($K187="","",$D187&amp;"-"&amp;$K187)</f>
        <v/>
      </c>
    </row>
    <row r="188" customFormat="false" ht="15" hidden="false" customHeight="false" outlineLevel="0" collapsed="false">
      <c r="A188" s="10" t="str">
        <f aca="false">02_施策マスター!A188</f>
        <v>AIMF-RS-RPT-003</v>
      </c>
      <c r="B188" s="10" t="str">
        <f aca="false">02_施策マスター!B188</f>
        <v>顧客・利用者への通知計画</v>
      </c>
      <c r="C188" s="10" t="str">
        <f aca="false">02_施策マスター!C188</f>
        <v>RS</v>
      </c>
      <c r="D188" s="10" t="str">
        <f aca="false">02_施策マスター!O188</f>
        <v>短期</v>
      </c>
      <c r="E188" s="10" t="n">
        <f aca="false">02_施策マスター!I188</f>
        <v>3</v>
      </c>
      <c r="F188" s="10" t="n">
        <f aca="false">02_施策マスター!H188</f>
        <v>2</v>
      </c>
      <c r="G188" s="10" t="n">
        <f aca="false">COUNTIFS(05_施策抽出!$E:$E,$A188,05_施策抽出!$B:$B,"○")</f>
        <v>0</v>
      </c>
      <c r="H188" s="10" t="str">
        <f aca="false">IF($G188&gt;0,"○","")</f>
        <v/>
      </c>
      <c r="I188" s="10" t="str">
        <f aca="false">IF($H188="","",ROUND(SUMIFS(05_施策抽出!$C:$C,05_施策抽出!$E:$E,$A188,05_施策抽出!$B:$B,"○")*02_施策マスター!$P188*02_施策マスター!$K188,1))</f>
        <v/>
      </c>
      <c r="J188" s="10" t="str">
        <f aca="false">IF($I188="","",$I188+(1000-ROW())/1000000)</f>
        <v/>
      </c>
      <c r="K188" s="10" t="str">
        <f aca="false">IF($H188="","",COUNTIFS($D$2:$D$208,$D188,$J$2:$J$208,"&gt;"&amp;$J188)+1)</f>
        <v/>
      </c>
      <c r="L188" s="10" t="str">
        <f aca="false">IF($K188="","",$D188&amp;"-"&amp;$K188)</f>
        <v/>
      </c>
    </row>
    <row r="189" customFormat="false" ht="15" hidden="false" customHeight="false" outlineLevel="0" collapsed="false">
      <c r="A189" s="10" t="str">
        <f aca="false">02_施策マスター!A189</f>
        <v>AIMF-RS-RPT-004</v>
      </c>
      <c r="B189" s="10" t="str">
        <f aca="false">02_施策マスター!B189</f>
        <v>開示・広報対応の判断基準</v>
      </c>
      <c r="C189" s="10" t="str">
        <f aca="false">02_施策マスター!C189</f>
        <v>RS</v>
      </c>
      <c r="D189" s="10" t="str">
        <f aca="false">02_施策マスター!O189</f>
        <v>短期</v>
      </c>
      <c r="E189" s="10" t="n">
        <f aca="false">02_施策マスター!I189</f>
        <v>3</v>
      </c>
      <c r="F189" s="10" t="n">
        <f aca="false">02_施策マスター!H189</f>
        <v>2</v>
      </c>
      <c r="G189" s="10" t="n">
        <f aca="false">COUNTIFS(05_施策抽出!$E:$E,$A189,05_施策抽出!$B:$B,"○")</f>
        <v>0</v>
      </c>
      <c r="H189" s="10" t="str">
        <f aca="false">IF($G189&gt;0,"○","")</f>
        <v/>
      </c>
      <c r="I189" s="10" t="str">
        <f aca="false">IF($H189="","",ROUND(SUMIFS(05_施策抽出!$C:$C,05_施策抽出!$E:$E,$A189,05_施策抽出!$B:$B,"○")*02_施策マスター!$P189*02_施策マスター!$K189,1))</f>
        <v/>
      </c>
      <c r="J189" s="10" t="str">
        <f aca="false">IF($I189="","",$I189+(1000-ROW())/1000000)</f>
        <v/>
      </c>
      <c r="K189" s="10" t="str">
        <f aca="false">IF($H189="","",COUNTIFS($D$2:$D$208,$D189,$J$2:$J$208,"&gt;"&amp;$J189)+1)</f>
        <v/>
      </c>
      <c r="L189" s="10" t="str">
        <f aca="false">IF($K189="","",$D189&amp;"-"&amp;$K189)</f>
        <v/>
      </c>
    </row>
    <row r="190" customFormat="false" ht="22.35" hidden="false" customHeight="false" outlineLevel="0" collapsed="false">
      <c r="A190" s="10" t="str">
        <f aca="false">02_施策マスター!A190</f>
        <v>AIMF-RS-ANL-001</v>
      </c>
      <c r="B190" s="10" t="str">
        <f aca="false">02_施策マスター!B190</f>
        <v>AI固有の根本原因分析</v>
      </c>
      <c r="C190" s="10" t="str">
        <f aca="false">02_施策マスター!C190</f>
        <v>RS</v>
      </c>
      <c r="D190" s="10" t="str">
        <f aca="false">02_施策マスター!O190</f>
        <v>中期</v>
      </c>
      <c r="E190" s="10" t="n">
        <f aca="false">02_施策マスター!I190</f>
        <v>6</v>
      </c>
      <c r="F190" s="10" t="n">
        <f aca="false">02_施策マスター!H190</f>
        <v>3</v>
      </c>
      <c r="G190" s="10" t="n">
        <f aca="false">COUNTIFS(05_施策抽出!$E:$E,$A190,05_施策抽出!$B:$B,"○")</f>
        <v>0</v>
      </c>
      <c r="H190" s="10" t="str">
        <f aca="false">IF($G190&gt;0,"○","")</f>
        <v/>
      </c>
      <c r="I190" s="10" t="str">
        <f aca="false">IF($H190="","",ROUND(SUMIFS(05_施策抽出!$C:$C,05_施策抽出!$E:$E,$A190,05_施策抽出!$B:$B,"○")*02_施策マスター!$P190*02_施策マスター!$K190,1))</f>
        <v/>
      </c>
      <c r="J190" s="10" t="str">
        <f aca="false">IF($I190="","",$I190+(1000-ROW())/1000000)</f>
        <v/>
      </c>
      <c r="K190" s="10" t="str">
        <f aca="false">IF($H190="","",COUNTIFS($D$2:$D$208,$D190,$J$2:$J$208,"&gt;"&amp;$J190)+1)</f>
        <v/>
      </c>
      <c r="L190" s="10" t="str">
        <f aca="false">IF($K190="","",$D190&amp;"-"&amp;$K190)</f>
        <v/>
      </c>
    </row>
    <row r="191" customFormat="false" ht="22.35" hidden="false" customHeight="false" outlineLevel="0" collapsed="false">
      <c r="A191" s="10" t="str">
        <f aca="false">02_施策マスター!A191</f>
        <v>AIMF-RS-ANL-002</v>
      </c>
      <c r="B191" s="10" t="str">
        <f aca="false">02_施策マスター!B191</f>
        <v>インシデントのATLASマッピング</v>
      </c>
      <c r="C191" s="10" t="str">
        <f aca="false">02_施策マスター!C191</f>
        <v>RS</v>
      </c>
      <c r="D191" s="10" t="str">
        <f aca="false">02_施策マスター!O191</f>
        <v>中期</v>
      </c>
      <c r="E191" s="10" t="n">
        <f aca="false">02_施策マスター!I191</f>
        <v>6</v>
      </c>
      <c r="F191" s="10" t="n">
        <f aca="false">02_施策マスター!H191</f>
        <v>3</v>
      </c>
      <c r="G191" s="10" t="n">
        <f aca="false">COUNTIFS(05_施策抽出!$E:$E,$A191,05_施策抽出!$B:$B,"○")</f>
        <v>0</v>
      </c>
      <c r="H191" s="10" t="str">
        <f aca="false">IF($G191&gt;0,"○","")</f>
        <v/>
      </c>
      <c r="I191" s="10" t="str">
        <f aca="false">IF($H191="","",ROUND(SUMIFS(05_施策抽出!$C:$C,05_施策抽出!$E:$E,$A191,05_施策抽出!$B:$B,"○")*02_施策マスター!$P191*02_施策マスター!$K191,1))</f>
        <v/>
      </c>
      <c r="J191" s="10" t="str">
        <f aca="false">IF($I191="","",$I191+(1000-ROW())/1000000)</f>
        <v/>
      </c>
      <c r="K191" s="10" t="str">
        <f aca="false">IF($H191="","",COUNTIFS($D$2:$D$208,$D191,$J$2:$J$208,"&gt;"&amp;$J191)+1)</f>
        <v/>
      </c>
      <c r="L191" s="10" t="str">
        <f aca="false">IF($K191="","",$D191&amp;"-"&amp;$K191)</f>
        <v/>
      </c>
    </row>
    <row r="192" customFormat="false" ht="22.35" hidden="false" customHeight="false" outlineLevel="0" collapsed="false">
      <c r="A192" s="10" t="str">
        <f aca="false">02_施策マスター!A192</f>
        <v>AIMF-RS-ANL-003</v>
      </c>
      <c r="B192" s="10" t="str">
        <f aca="false">02_施策マスター!B192</f>
        <v>分析結果の防御・検知への反映</v>
      </c>
      <c r="C192" s="10" t="str">
        <f aca="false">02_施策マスター!C192</f>
        <v>RS</v>
      </c>
      <c r="D192" s="10" t="str">
        <f aca="false">02_施策マスター!O192</f>
        <v>短期</v>
      </c>
      <c r="E192" s="10" t="n">
        <f aca="false">02_施策マスター!I192</f>
        <v>3</v>
      </c>
      <c r="F192" s="10" t="n">
        <f aca="false">02_施策マスター!H192</f>
        <v>2</v>
      </c>
      <c r="G192" s="10" t="n">
        <f aca="false">COUNTIFS(05_施策抽出!$E:$E,$A192,05_施策抽出!$B:$B,"○")</f>
        <v>0</v>
      </c>
      <c r="H192" s="10" t="str">
        <f aca="false">IF($G192&gt;0,"○","")</f>
        <v/>
      </c>
      <c r="I192" s="10" t="str">
        <f aca="false">IF($H192="","",ROUND(SUMIFS(05_施策抽出!$C:$C,05_施策抽出!$E:$E,$A192,05_施策抽出!$B:$B,"○")*02_施策マスター!$P192*02_施策マスター!$K192,1))</f>
        <v/>
      </c>
      <c r="J192" s="10" t="str">
        <f aca="false">IF($I192="","",$I192+(1000-ROW())/1000000)</f>
        <v/>
      </c>
      <c r="K192" s="10" t="str">
        <f aca="false">IF($H192="","",COUNTIFS($D$2:$D$208,$D192,$J$2:$J$208,"&gt;"&amp;$J192)+1)</f>
        <v/>
      </c>
      <c r="L192" s="10" t="str">
        <f aca="false">IF($K192="","",$D192&amp;"-"&amp;$K192)</f>
        <v/>
      </c>
    </row>
    <row r="193" customFormat="false" ht="26.85" hidden="false" customHeight="false" outlineLevel="0" collapsed="false">
      <c r="A193" s="10" t="str">
        <f aca="false">02_施策マスター!A193</f>
        <v>AIMF-RC-RES-001</v>
      </c>
      <c r="B193" s="10" t="str">
        <f aca="false">02_施策マスター!B193</f>
        <v>CI/CD連動のゼロタッチ・パッチ適用</v>
      </c>
      <c r="C193" s="10" t="str">
        <f aca="false">02_施策マスター!C193</f>
        <v>RC</v>
      </c>
      <c r="D193" s="10" t="str">
        <f aca="false">02_施策マスター!O193</f>
        <v>中期</v>
      </c>
      <c r="E193" s="10" t="n">
        <f aca="false">02_施策マスター!I193</f>
        <v>6</v>
      </c>
      <c r="F193" s="10" t="n">
        <f aca="false">02_施策マスター!H193</f>
        <v>3</v>
      </c>
      <c r="G193" s="10" t="n">
        <f aca="false">COUNTIFS(05_施策抽出!$E:$E,$A193,05_施策抽出!$B:$B,"○")</f>
        <v>0</v>
      </c>
      <c r="H193" s="10" t="str">
        <f aca="false">IF($G193&gt;0,"○","")</f>
        <v/>
      </c>
      <c r="I193" s="10" t="str">
        <f aca="false">IF($H193="","",ROUND(SUMIFS(05_施策抽出!$C:$C,05_施策抽出!$E:$E,$A193,05_施策抽出!$B:$B,"○")*02_施策マスター!$P193*02_施策マスター!$K193,1))</f>
        <v/>
      </c>
      <c r="J193" s="10" t="str">
        <f aca="false">IF($I193="","",$I193+(1000-ROW())/1000000)</f>
        <v/>
      </c>
      <c r="K193" s="10" t="str">
        <f aca="false">IF($H193="","",COUNTIFS($D$2:$D$208,$D193,$J$2:$J$208,"&gt;"&amp;$J193)+1)</f>
        <v/>
      </c>
      <c r="L193" s="10" t="str">
        <f aca="false">IF($K193="","",$D193&amp;"-"&amp;$K193)</f>
        <v/>
      </c>
    </row>
    <row r="194" customFormat="false" ht="26.85" hidden="false" customHeight="false" outlineLevel="0" collapsed="false">
      <c r="A194" s="10" t="str">
        <f aca="false">02_施策マスター!A194</f>
        <v>AIMF-RC-RES-002</v>
      </c>
      <c r="B194" s="10" t="str">
        <f aca="false">02_施策マスター!B194</f>
        <v>RAG知識ベース・インフラ構成の高速復元</v>
      </c>
      <c r="C194" s="10" t="str">
        <f aca="false">02_施策マスター!C194</f>
        <v>RC</v>
      </c>
      <c r="D194" s="10" t="str">
        <f aca="false">02_施策マスター!O194</f>
        <v>中期</v>
      </c>
      <c r="E194" s="10" t="n">
        <f aca="false">02_施策マスター!I194</f>
        <v>6</v>
      </c>
      <c r="F194" s="10" t="n">
        <f aca="false">02_施策マスター!H194</f>
        <v>3</v>
      </c>
      <c r="G194" s="10" t="n">
        <f aca="false">COUNTIFS(05_施策抽出!$E:$E,$A194,05_施策抽出!$B:$B,"○")</f>
        <v>0</v>
      </c>
      <c r="H194" s="10" t="str">
        <f aca="false">IF($G194&gt;0,"○","")</f>
        <v/>
      </c>
      <c r="I194" s="10" t="str">
        <f aca="false">IF($H194="","",ROUND(SUMIFS(05_施策抽出!$C:$C,05_施策抽出!$E:$E,$A194,05_施策抽出!$B:$B,"○")*02_施策マスター!$P194*02_施策マスター!$K194,1))</f>
        <v/>
      </c>
      <c r="J194" s="10" t="str">
        <f aca="false">IF($I194="","",$I194+(1000-ROW())/1000000)</f>
        <v/>
      </c>
      <c r="K194" s="10" t="str">
        <f aca="false">IF($H194="","",COUNTIFS($D$2:$D$208,$D194,$J$2:$J$208,"&gt;"&amp;$J194)+1)</f>
        <v/>
      </c>
      <c r="L194" s="10" t="str">
        <f aca="false">IF($K194="","",$D194&amp;"-"&amp;$K194)</f>
        <v/>
      </c>
    </row>
    <row r="195" customFormat="false" ht="26.85" hidden="false" customHeight="false" outlineLevel="0" collapsed="false">
      <c r="A195" s="10" t="str">
        <f aca="false">02_施策マスター!A195</f>
        <v>AIMF-RC-RES-003</v>
      </c>
      <c r="B195" s="10" t="str">
        <f aca="false">02_施策マスター!B195</f>
        <v>AI説明責任のためのフォレンジック体制</v>
      </c>
      <c r="C195" s="10" t="str">
        <f aca="false">02_施策マスター!C195</f>
        <v>RC</v>
      </c>
      <c r="D195" s="10" t="str">
        <f aca="false">02_施策マスター!O195</f>
        <v>長期</v>
      </c>
      <c r="E195" s="10" t="n">
        <f aca="false">02_施策マスター!I195</f>
        <v>9</v>
      </c>
      <c r="F195" s="10" t="n">
        <f aca="false">02_施策マスター!H195</f>
        <v>4</v>
      </c>
      <c r="G195" s="10" t="n">
        <f aca="false">COUNTIFS(05_施策抽出!$E:$E,$A195,05_施策抽出!$B:$B,"○")</f>
        <v>0</v>
      </c>
      <c r="H195" s="10" t="str">
        <f aca="false">IF($G195&gt;0,"○","")</f>
        <v/>
      </c>
      <c r="I195" s="10" t="str">
        <f aca="false">IF($H195="","",ROUND(SUMIFS(05_施策抽出!$C:$C,05_施策抽出!$E:$E,$A195,05_施策抽出!$B:$B,"○")*02_施策マスター!$P195*02_施策マスター!$K195,1))</f>
        <v/>
      </c>
      <c r="J195" s="10" t="str">
        <f aca="false">IF($I195="","",$I195+(1000-ROW())/1000000)</f>
        <v/>
      </c>
      <c r="K195" s="10" t="str">
        <f aca="false">IF($H195="","",COUNTIFS($D$2:$D$208,$D195,$J$2:$J$208,"&gt;"&amp;$J195)+1)</f>
        <v/>
      </c>
      <c r="L195" s="10" t="str">
        <f aca="false">IF($K195="","",$D195&amp;"-"&amp;$K195)</f>
        <v/>
      </c>
    </row>
    <row r="196" customFormat="false" ht="26.85" hidden="false" customHeight="false" outlineLevel="0" collapsed="false">
      <c r="A196" s="10" t="str">
        <f aca="false">02_施策マスター!A196</f>
        <v>AIMF-RC-RES-004</v>
      </c>
      <c r="B196" s="10" t="str">
        <f aca="false">02_施策マスター!B196</f>
        <v>クリーンデータからのモデル再構築手順</v>
      </c>
      <c r="C196" s="10" t="str">
        <f aca="false">02_施策マスター!C196</f>
        <v>RC</v>
      </c>
      <c r="D196" s="10" t="str">
        <f aca="false">02_施策マスター!O196</f>
        <v>長期</v>
      </c>
      <c r="E196" s="10" t="n">
        <f aca="false">02_施策マスター!I196</f>
        <v>9</v>
      </c>
      <c r="F196" s="10" t="n">
        <f aca="false">02_施策マスター!H196</f>
        <v>4</v>
      </c>
      <c r="G196" s="10" t="n">
        <f aca="false">COUNTIFS(05_施策抽出!$E:$E,$A196,05_施策抽出!$B:$B,"○")</f>
        <v>0</v>
      </c>
      <c r="H196" s="10" t="str">
        <f aca="false">IF($G196&gt;0,"○","")</f>
        <v/>
      </c>
      <c r="I196" s="10" t="str">
        <f aca="false">IF($H196="","",ROUND(SUMIFS(05_施策抽出!$C:$C,05_施策抽出!$E:$E,$A196,05_施策抽出!$B:$B,"○")*02_施策マスター!$P196*02_施策マスター!$K196,1))</f>
        <v/>
      </c>
      <c r="J196" s="10" t="str">
        <f aca="false">IF($I196="","",$I196+(1000-ROW())/1000000)</f>
        <v/>
      </c>
      <c r="K196" s="10" t="str">
        <f aca="false">IF($H196="","",COUNTIFS($D$2:$D$208,$D196,$J$2:$J$208,"&gt;"&amp;$J196)+1)</f>
        <v/>
      </c>
      <c r="L196" s="10" t="str">
        <f aca="false">IF($K196="","",$D196&amp;"-"&amp;$K196)</f>
        <v/>
      </c>
    </row>
    <row r="197" customFormat="false" ht="26.85" hidden="false" customHeight="false" outlineLevel="0" collapsed="false">
      <c r="A197" s="10" t="str">
        <f aca="false">02_施策マスター!A197</f>
        <v>AIMF-RC-RES-005</v>
      </c>
      <c r="B197" s="10" t="str">
        <f aca="false">02_施策マスター!B197</f>
        <v>代替モデル・プロバイダーへのフェイルオーバー</v>
      </c>
      <c r="C197" s="10" t="str">
        <f aca="false">02_施策マスター!C197</f>
        <v>RC</v>
      </c>
      <c r="D197" s="10" t="str">
        <f aca="false">02_施策マスター!O197</f>
        <v>長期</v>
      </c>
      <c r="E197" s="10" t="n">
        <f aca="false">02_施策マスター!I197</f>
        <v>9</v>
      </c>
      <c r="F197" s="10" t="n">
        <f aca="false">02_施策マスター!H197</f>
        <v>4</v>
      </c>
      <c r="G197" s="10" t="n">
        <f aca="false">COUNTIFS(05_施策抽出!$E:$E,$A197,05_施策抽出!$B:$B,"○")</f>
        <v>0</v>
      </c>
      <c r="H197" s="10" t="str">
        <f aca="false">IF($G197&gt;0,"○","")</f>
        <v/>
      </c>
      <c r="I197" s="10" t="str">
        <f aca="false">IF($H197="","",ROUND(SUMIFS(05_施策抽出!$C:$C,05_施策抽出!$E:$E,$A197,05_施策抽出!$B:$B,"○")*02_施策マスター!$P197*02_施策マスター!$K197,1))</f>
        <v/>
      </c>
      <c r="J197" s="10" t="str">
        <f aca="false">IF($I197="","",$I197+(1000-ROW())/1000000)</f>
        <v/>
      </c>
      <c r="K197" s="10" t="str">
        <f aca="false">IF($H197="","",COUNTIFS($D$2:$D$208,$D197,$J$2:$J$208,"&gt;"&amp;$J197)+1)</f>
        <v/>
      </c>
      <c r="L197" s="10" t="str">
        <f aca="false">IF($K197="","",$D197&amp;"-"&amp;$K197)</f>
        <v/>
      </c>
    </row>
    <row r="198" customFormat="false" ht="22.35" hidden="false" customHeight="false" outlineLevel="0" collapsed="false">
      <c r="A198" s="10" t="str">
        <f aca="false">02_施策マスター!A198</f>
        <v>AIMF-RC-RES-006</v>
      </c>
      <c r="B198" s="10" t="str">
        <f aca="false">02_施策マスター!B198</f>
        <v>AI停止時の縮退運転手順</v>
      </c>
      <c r="C198" s="10" t="str">
        <f aca="false">02_施策マスター!C198</f>
        <v>RC</v>
      </c>
      <c r="D198" s="10" t="str">
        <f aca="false">02_施策マスター!O198</f>
        <v>長期</v>
      </c>
      <c r="E198" s="10" t="n">
        <f aca="false">02_施策マスター!I198</f>
        <v>9</v>
      </c>
      <c r="F198" s="10" t="n">
        <f aca="false">02_施策マスター!H198</f>
        <v>4</v>
      </c>
      <c r="G198" s="10" t="n">
        <f aca="false">COUNTIFS(05_施策抽出!$E:$E,$A198,05_施策抽出!$B:$B,"○")</f>
        <v>0</v>
      </c>
      <c r="H198" s="10" t="str">
        <f aca="false">IF($G198&gt;0,"○","")</f>
        <v/>
      </c>
      <c r="I198" s="10" t="str">
        <f aca="false">IF($H198="","",ROUND(SUMIFS(05_施策抽出!$C:$C,05_施策抽出!$E:$E,$A198,05_施策抽出!$B:$B,"○")*02_施策マスター!$P198*02_施策マスター!$K198,1))</f>
        <v/>
      </c>
      <c r="J198" s="10" t="str">
        <f aca="false">IF($I198="","",$I198+(1000-ROW())/1000000)</f>
        <v/>
      </c>
      <c r="K198" s="10" t="str">
        <f aca="false">IF($H198="","",COUNTIFS($D$2:$D$208,$D198,$J$2:$J$208,"&gt;"&amp;$J198)+1)</f>
        <v/>
      </c>
      <c r="L198" s="10" t="str">
        <f aca="false">IF($K198="","",$D198&amp;"-"&amp;$K198)</f>
        <v/>
      </c>
    </row>
    <row r="199" customFormat="false" ht="22.35" hidden="false" customHeight="false" outlineLevel="0" collapsed="false">
      <c r="A199" s="10" t="str">
        <f aca="false">02_施策マスター!A199</f>
        <v>AIMF-RC-RES-007</v>
      </c>
      <c r="B199" s="10" t="str">
        <f aca="false">02_施策マスター!B199</f>
        <v>AIシステムのBCP・DR統合</v>
      </c>
      <c r="C199" s="10" t="str">
        <f aca="false">02_施策マスター!C199</f>
        <v>RC</v>
      </c>
      <c r="D199" s="10" t="str">
        <f aca="false">02_施策マスター!O199</f>
        <v>中期</v>
      </c>
      <c r="E199" s="10" t="n">
        <f aca="false">02_施策マスター!I199</f>
        <v>6</v>
      </c>
      <c r="F199" s="10" t="n">
        <f aca="false">02_施策マスター!H199</f>
        <v>3</v>
      </c>
      <c r="G199" s="10" t="n">
        <f aca="false">COUNTIFS(05_施策抽出!$E:$E,$A199,05_施策抽出!$B:$B,"○")</f>
        <v>0</v>
      </c>
      <c r="H199" s="10" t="str">
        <f aca="false">IF($G199&gt;0,"○","")</f>
        <v/>
      </c>
      <c r="I199" s="10" t="str">
        <f aca="false">IF($H199="","",ROUND(SUMIFS(05_施策抽出!$C:$C,05_施策抽出!$E:$E,$A199,05_施策抽出!$B:$B,"○")*02_施策マスター!$P199*02_施策マスター!$K199,1))</f>
        <v/>
      </c>
      <c r="J199" s="10" t="str">
        <f aca="false">IF($I199="","",$I199+(1000-ROW())/1000000)</f>
        <v/>
      </c>
      <c r="K199" s="10" t="str">
        <f aca="false">IF($H199="","",COUNTIFS($D$2:$D$208,$D199,$J$2:$J$208,"&gt;"&amp;$J199)+1)</f>
        <v/>
      </c>
      <c r="L199" s="10" t="str">
        <f aca="false">IF($K199="","",$D199&amp;"-"&amp;$K199)</f>
        <v/>
      </c>
    </row>
    <row r="200" customFormat="false" ht="15" hidden="false" customHeight="false" outlineLevel="0" collapsed="false">
      <c r="A200" s="10" t="str">
        <f aca="false">02_施策マスター!A200</f>
        <v>AIMF-RC-CIM-001</v>
      </c>
      <c r="B200" s="10" t="str">
        <f aca="false">02_施策マスター!B200</f>
        <v>AIセキュリティKPIの設定と評価</v>
      </c>
      <c r="C200" s="10" t="str">
        <f aca="false">02_施策マスター!C200</f>
        <v>RC</v>
      </c>
      <c r="D200" s="10" t="str">
        <f aca="false">02_施策マスター!O200</f>
        <v>短期</v>
      </c>
      <c r="E200" s="10" t="n">
        <f aca="false">02_施策マスター!I200</f>
        <v>3</v>
      </c>
      <c r="F200" s="10" t="n">
        <f aca="false">02_施策マスター!H200</f>
        <v>2</v>
      </c>
      <c r="G200" s="10" t="n">
        <f aca="false">COUNTIFS(05_施策抽出!$E:$E,$A200,05_施策抽出!$B:$B,"○")</f>
        <v>0</v>
      </c>
      <c r="H200" s="10" t="str">
        <f aca="false">IF($G200&gt;0,"○","")</f>
        <v/>
      </c>
      <c r="I200" s="10" t="str">
        <f aca="false">IF($H200="","",ROUND(SUMIFS(05_施策抽出!$C:$C,05_施策抽出!$E:$E,$A200,05_施策抽出!$B:$B,"○")*02_施策マスター!$P200*02_施策マスター!$K200,1))</f>
        <v/>
      </c>
      <c r="J200" s="10" t="str">
        <f aca="false">IF($I200="","",$I200+(1000-ROW())/1000000)</f>
        <v/>
      </c>
      <c r="K200" s="10" t="str">
        <f aca="false">IF($H200="","",COUNTIFS($D$2:$D$208,$D200,$J$2:$J$208,"&gt;"&amp;$J200)+1)</f>
        <v/>
      </c>
      <c r="L200" s="10" t="str">
        <f aca="false">IF($K200="","",$D200&amp;"-"&amp;$K200)</f>
        <v/>
      </c>
    </row>
    <row r="201" customFormat="false" ht="26.85" hidden="false" customHeight="false" outlineLevel="0" collapsed="false">
      <c r="A201" s="10" t="str">
        <f aca="false">02_施策マスター!A201</f>
        <v>AIMF-RC-CIM-002</v>
      </c>
      <c r="B201" s="10" t="str">
        <f aca="false">02_施策マスター!B201</f>
        <v>ベストプラクティス・教訓のドキュメント化</v>
      </c>
      <c r="C201" s="10" t="str">
        <f aca="false">02_施策マスター!C201</f>
        <v>RC</v>
      </c>
      <c r="D201" s="10" t="str">
        <f aca="false">02_施策マスター!O201</f>
        <v>短期</v>
      </c>
      <c r="E201" s="10" t="n">
        <f aca="false">02_施策マスター!I201</f>
        <v>3</v>
      </c>
      <c r="F201" s="10" t="n">
        <f aca="false">02_施策マスター!H201</f>
        <v>2</v>
      </c>
      <c r="G201" s="10" t="n">
        <f aca="false">COUNTIFS(05_施策抽出!$E:$E,$A201,05_施策抽出!$B:$B,"○")</f>
        <v>0</v>
      </c>
      <c r="H201" s="10" t="str">
        <f aca="false">IF($G201&gt;0,"○","")</f>
        <v/>
      </c>
      <c r="I201" s="10" t="str">
        <f aca="false">IF($H201="","",ROUND(SUMIFS(05_施策抽出!$C:$C,05_施策抽出!$E:$E,$A201,05_施策抽出!$B:$B,"○")*02_施策マスター!$P201*02_施策マスター!$K201,1))</f>
        <v/>
      </c>
      <c r="J201" s="10" t="str">
        <f aca="false">IF($I201="","",$I201+(1000-ROW())/1000000)</f>
        <v/>
      </c>
      <c r="K201" s="10" t="str">
        <f aca="false">IF($H201="","",COUNTIFS($D$2:$D$208,$D201,$J$2:$J$208,"&gt;"&amp;$J201)+1)</f>
        <v/>
      </c>
      <c r="L201" s="10" t="str">
        <f aca="false">IF($K201="","",$D201&amp;"-"&amp;$K201)</f>
        <v/>
      </c>
    </row>
    <row r="202" customFormat="false" ht="26.85" hidden="false" customHeight="false" outlineLevel="0" collapsed="false">
      <c r="A202" s="10" t="str">
        <f aca="false">02_施策マスター!A202</f>
        <v>AIMF-RC-CIM-003</v>
      </c>
      <c r="B202" s="10" t="str">
        <f aca="false">02_施策マスター!B202</f>
        <v>AIセキュリティのトレンド分析と将来予測</v>
      </c>
      <c r="C202" s="10" t="str">
        <f aca="false">02_施策マスター!C202</f>
        <v>RC</v>
      </c>
      <c r="D202" s="10" t="str">
        <f aca="false">02_施策マスター!O202</f>
        <v>短期</v>
      </c>
      <c r="E202" s="10" t="n">
        <f aca="false">02_施策マスター!I202</f>
        <v>3</v>
      </c>
      <c r="F202" s="10" t="n">
        <f aca="false">02_施策マスター!H202</f>
        <v>2</v>
      </c>
      <c r="G202" s="10" t="n">
        <f aca="false">COUNTIFS(05_施策抽出!$E:$E,$A202,05_施策抽出!$B:$B,"○")</f>
        <v>0</v>
      </c>
      <c r="H202" s="10" t="str">
        <f aca="false">IF($G202&gt;0,"○","")</f>
        <v/>
      </c>
      <c r="I202" s="10" t="str">
        <f aca="false">IF($H202="","",ROUND(SUMIFS(05_施策抽出!$C:$C,05_施策抽出!$E:$E,$A202,05_施策抽出!$B:$B,"○")*02_施策マスター!$P202*02_施策マスター!$K202,1))</f>
        <v/>
      </c>
      <c r="J202" s="10" t="str">
        <f aca="false">IF($I202="","",$I202+(1000-ROW())/1000000)</f>
        <v/>
      </c>
      <c r="K202" s="10" t="str">
        <f aca="false">IF($H202="","",COUNTIFS($D$2:$D$208,$D202,$J$2:$J$208,"&gt;"&amp;$J202)+1)</f>
        <v/>
      </c>
      <c r="L202" s="10" t="str">
        <f aca="false">IF($K202="","",$D202&amp;"-"&amp;$K202)</f>
        <v/>
      </c>
    </row>
    <row r="203" customFormat="false" ht="26.85" hidden="false" customHeight="false" outlineLevel="0" collapsed="false">
      <c r="A203" s="10" t="str">
        <f aca="false">02_施策マスター!A203</f>
        <v>AIMF-RC-CIM-004</v>
      </c>
      <c r="B203" s="10" t="str">
        <f aca="false">02_施策マスター!B203</f>
        <v>セキュリティメトリクスによる定期ガバナンスレビュー</v>
      </c>
      <c r="C203" s="10" t="str">
        <f aca="false">02_施策マスター!C203</f>
        <v>RC</v>
      </c>
      <c r="D203" s="10" t="str">
        <f aca="false">02_施策マスター!O203</f>
        <v>短期</v>
      </c>
      <c r="E203" s="10" t="n">
        <f aca="false">02_施策マスター!I203</f>
        <v>3</v>
      </c>
      <c r="F203" s="10" t="n">
        <f aca="false">02_施策マスター!H203</f>
        <v>2</v>
      </c>
      <c r="G203" s="10" t="n">
        <f aca="false">COUNTIFS(05_施策抽出!$E:$E,$A203,05_施策抽出!$B:$B,"○")</f>
        <v>0</v>
      </c>
      <c r="H203" s="10" t="str">
        <f aca="false">IF($G203&gt;0,"○","")</f>
        <v/>
      </c>
      <c r="I203" s="10" t="str">
        <f aca="false">IF($H203="","",ROUND(SUMIFS(05_施策抽出!$C:$C,05_施策抽出!$E:$E,$A203,05_施策抽出!$B:$B,"○")*02_施策マスター!$P203*02_施策マスター!$K203,1))</f>
        <v/>
      </c>
      <c r="J203" s="10" t="str">
        <f aca="false">IF($I203="","",$I203+(1000-ROW())/1000000)</f>
        <v/>
      </c>
      <c r="K203" s="10" t="str">
        <f aca="false">IF($H203="","",COUNTIFS($D$2:$D$208,$D203,$J$2:$J$208,"&gt;"&amp;$J203)+1)</f>
        <v/>
      </c>
      <c r="L203" s="10" t="str">
        <f aca="false">IF($K203="","",$D203&amp;"-"&amp;$K203)</f>
        <v/>
      </c>
    </row>
    <row r="204" customFormat="false" ht="15" hidden="false" customHeight="false" outlineLevel="0" collapsed="false">
      <c r="A204" s="10" t="str">
        <f aca="false">02_施策マスター!A204</f>
        <v>AIMF-RC-CIM-005</v>
      </c>
      <c r="B204" s="10" t="str">
        <f aca="false">02_施策マスター!B204</f>
        <v>教訓の防御機構への自動反映</v>
      </c>
      <c r="C204" s="10" t="str">
        <f aca="false">02_施策マスター!C204</f>
        <v>RC</v>
      </c>
      <c r="D204" s="10" t="str">
        <f aca="false">02_施策マスター!O204</f>
        <v>長期</v>
      </c>
      <c r="E204" s="10" t="n">
        <f aca="false">02_施策マスター!I204</f>
        <v>9</v>
      </c>
      <c r="F204" s="10" t="n">
        <f aca="false">02_施策マスター!H204</f>
        <v>4</v>
      </c>
      <c r="G204" s="10" t="n">
        <f aca="false">COUNTIFS(05_施策抽出!$E:$E,$A204,05_施策抽出!$B:$B,"○")</f>
        <v>0</v>
      </c>
      <c r="H204" s="10" t="str">
        <f aca="false">IF($G204&gt;0,"○","")</f>
        <v/>
      </c>
      <c r="I204" s="10" t="str">
        <f aca="false">IF($H204="","",ROUND(SUMIFS(05_施策抽出!$C:$C,05_施策抽出!$E:$E,$A204,05_施策抽出!$B:$B,"○")*02_施策マスター!$P204*02_施策マスター!$K204,1))</f>
        <v/>
      </c>
      <c r="J204" s="10" t="str">
        <f aca="false">IF($I204="","",$I204+(1000-ROW())/1000000)</f>
        <v/>
      </c>
      <c r="K204" s="10" t="str">
        <f aca="false">IF($H204="","",COUNTIFS($D$2:$D$208,$D204,$J$2:$J$208,"&gt;"&amp;$J204)+1)</f>
        <v/>
      </c>
      <c r="L204" s="10" t="str">
        <f aca="false">IF($K204="","",$D204&amp;"-"&amp;$K204)</f>
        <v/>
      </c>
    </row>
    <row r="205" customFormat="false" ht="15" hidden="false" customHeight="false" outlineLevel="0" collapsed="false">
      <c r="A205" s="10" t="str">
        <f aca="false">02_施策マスター!A205</f>
        <v>AIMF-RC-CIM-006</v>
      </c>
      <c r="B205" s="10" t="str">
        <f aca="false">02_施策マスター!B205</f>
        <v>参照基準・脅威情報の改訂追随</v>
      </c>
      <c r="C205" s="10" t="str">
        <f aca="false">02_施策マスター!C205</f>
        <v>RC</v>
      </c>
      <c r="D205" s="10" t="str">
        <f aca="false">02_施策マスター!O205</f>
        <v>短期</v>
      </c>
      <c r="E205" s="10" t="n">
        <f aca="false">02_施策マスター!I205</f>
        <v>3</v>
      </c>
      <c r="F205" s="10" t="n">
        <f aca="false">02_施策マスター!H205</f>
        <v>2</v>
      </c>
      <c r="G205" s="10" t="n">
        <f aca="false">COUNTIFS(05_施策抽出!$E:$E,$A205,05_施策抽出!$B:$B,"○")</f>
        <v>0</v>
      </c>
      <c r="H205" s="10" t="str">
        <f aca="false">IF($G205&gt;0,"○","")</f>
        <v/>
      </c>
      <c r="I205" s="10" t="str">
        <f aca="false">IF($H205="","",ROUND(SUMIFS(05_施策抽出!$C:$C,05_施策抽出!$E:$E,$A205,05_施策抽出!$B:$B,"○")*02_施策マスター!$P205*02_施策マスター!$K205,1))</f>
        <v/>
      </c>
      <c r="J205" s="10" t="str">
        <f aca="false">IF($I205="","",$I205+(1000-ROW())/1000000)</f>
        <v/>
      </c>
      <c r="K205" s="10" t="str">
        <f aca="false">IF($H205="","",COUNTIFS($D$2:$D$208,$D205,$J$2:$J$208,"&gt;"&amp;$J205)+1)</f>
        <v/>
      </c>
      <c r="L205" s="10" t="str">
        <f aca="false">IF($K205="","",$D205&amp;"-"&amp;$K205)</f>
        <v/>
      </c>
    </row>
    <row r="206" customFormat="false" ht="26.85" hidden="false" customHeight="false" outlineLevel="0" collapsed="false">
      <c r="A206" s="10" t="str">
        <f aca="false">02_施策マスター!A206</f>
        <v>AIMF-RC-DCM-001</v>
      </c>
      <c r="B206" s="10" t="str">
        <f aca="false">02_施策マスター!B206</f>
        <v>モデル・データの安全な廃棄（デコミッション）</v>
      </c>
      <c r="C206" s="10" t="str">
        <f aca="false">02_施策マスター!C206</f>
        <v>RC</v>
      </c>
      <c r="D206" s="10" t="str">
        <f aca="false">02_施策マスター!O206</f>
        <v>長期</v>
      </c>
      <c r="E206" s="10" t="n">
        <f aca="false">02_施策マスター!I206</f>
        <v>9</v>
      </c>
      <c r="F206" s="10" t="n">
        <f aca="false">02_施策マスター!H206</f>
        <v>4</v>
      </c>
      <c r="G206" s="10" t="n">
        <f aca="false">COUNTIFS(05_施策抽出!$E:$E,$A206,05_施策抽出!$B:$B,"○")</f>
        <v>0</v>
      </c>
      <c r="H206" s="10" t="str">
        <f aca="false">IF($G206&gt;0,"○","")</f>
        <v/>
      </c>
      <c r="I206" s="10" t="str">
        <f aca="false">IF($H206="","",ROUND(SUMIFS(05_施策抽出!$C:$C,05_施策抽出!$E:$E,$A206,05_施策抽出!$B:$B,"○")*02_施策マスター!$P206*02_施策マスター!$K206,1))</f>
        <v/>
      </c>
      <c r="J206" s="10" t="str">
        <f aca="false">IF($I206="","",$I206+(1000-ROW())/1000000)</f>
        <v/>
      </c>
      <c r="K206" s="10" t="str">
        <f aca="false">IF($H206="","",COUNTIFS($D$2:$D$208,$D206,$J$2:$J$208,"&gt;"&amp;$J206)+1)</f>
        <v/>
      </c>
      <c r="L206" s="10" t="str">
        <f aca="false">IF($K206="","",$D206&amp;"-"&amp;$K206)</f>
        <v/>
      </c>
    </row>
    <row r="207" customFormat="false" ht="26.85" hidden="false" customHeight="false" outlineLevel="0" collapsed="false">
      <c r="A207" s="10" t="str">
        <f aca="false">02_施策マスター!A207</f>
        <v>AIMF-RC-DCM-002</v>
      </c>
      <c r="B207" s="10" t="str">
        <f aca="false">02_施策マスター!B207</f>
        <v>データ削除・機械的忘却（Unlearning）の実施と検証</v>
      </c>
      <c r="C207" s="10" t="str">
        <f aca="false">02_施策マスター!C207</f>
        <v>RC</v>
      </c>
      <c r="D207" s="10" t="str">
        <f aca="false">02_施策マスター!O207</f>
        <v>長期</v>
      </c>
      <c r="E207" s="10" t="n">
        <f aca="false">02_施策マスター!I207</f>
        <v>9</v>
      </c>
      <c r="F207" s="10" t="n">
        <f aca="false">02_施策マスター!H207</f>
        <v>4</v>
      </c>
      <c r="G207" s="10" t="n">
        <f aca="false">COUNTIFS(05_施策抽出!$E:$E,$A207,05_施策抽出!$B:$B,"○")</f>
        <v>0</v>
      </c>
      <c r="H207" s="10" t="str">
        <f aca="false">IF($G207&gt;0,"○","")</f>
        <v/>
      </c>
      <c r="I207" s="10" t="str">
        <f aca="false">IF($H207="","",ROUND(SUMIFS(05_施策抽出!$C:$C,05_施策抽出!$E:$E,$A207,05_施策抽出!$B:$B,"○")*02_施策マスター!$P207*02_施策マスター!$K207,1))</f>
        <v/>
      </c>
      <c r="J207" s="10" t="str">
        <f aca="false">IF($I207="","",$I207+(1000-ROW())/1000000)</f>
        <v/>
      </c>
      <c r="K207" s="10" t="str">
        <f aca="false">IF($H207="","",COUNTIFS($D$2:$D$208,$D207,$J$2:$J$208,"&gt;"&amp;$J207)+1)</f>
        <v/>
      </c>
      <c r="L207" s="10" t="str">
        <f aca="false">IF($K207="","",$D207&amp;"-"&amp;$K207)</f>
        <v/>
      </c>
    </row>
    <row r="208" customFormat="false" ht="26.85" hidden="false" customHeight="false" outlineLevel="0" collapsed="false">
      <c r="A208" s="10" t="str">
        <f aca="false">02_施策マスター!A208</f>
        <v>AIMF-RC-PMM-001</v>
      </c>
      <c r="B208" s="10" t="str">
        <f aca="false">02_施策マスター!B208</f>
        <v>市販後モニタリング計画（Post-market Monitoring）</v>
      </c>
      <c r="C208" s="10" t="str">
        <f aca="false">02_施策マスター!C208</f>
        <v>RC</v>
      </c>
      <c r="D208" s="10" t="str">
        <f aca="false">02_施策マスター!O208</f>
        <v>中期</v>
      </c>
      <c r="E208" s="10" t="n">
        <f aca="false">02_施策マスター!I208</f>
        <v>6</v>
      </c>
      <c r="F208" s="10" t="n">
        <f aca="false">02_施策マスター!H208</f>
        <v>3</v>
      </c>
      <c r="G208" s="10" t="n">
        <f aca="false">COUNTIFS(05_施策抽出!$E:$E,$A208,05_施策抽出!$B:$B,"○")</f>
        <v>0</v>
      </c>
      <c r="H208" s="10" t="str">
        <f aca="false">IF($G208&gt;0,"○","")</f>
        <v/>
      </c>
      <c r="I208" s="10" t="str">
        <f aca="false">IF($H208="","",ROUND(SUMIFS(05_施策抽出!$C:$C,05_施策抽出!$E:$E,$A208,05_施策抽出!$B:$B,"○")*02_施策マスター!$P208*02_施策マスター!$K208,1))</f>
        <v/>
      </c>
      <c r="J208" s="10" t="str">
        <f aca="false">IF($I208="","",$I208+(1000-ROW())/1000000)</f>
        <v/>
      </c>
      <c r="K208" s="10" t="str">
        <f aca="false">IF($H208="","",COUNTIFS($D$2:$D$208,$D208,$J$2:$J$208,"&gt;"&amp;$J208)+1)</f>
        <v/>
      </c>
      <c r="L208" s="10" t="str">
        <f aca="false">IF($K208="","",$D208&amp;"-"&amp;$K208)</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5"/>
    <col collapsed="false" customWidth="true" hidden="false" outlineLevel="0" max="3" min="3" style="0" width="28"/>
    <col collapsed="false" customWidth="true" hidden="false" outlineLevel="0" max="4" min="4" style="0" width="10"/>
    <col collapsed="false" customWidth="true" hidden="false" outlineLevel="0" max="5" min="5" style="0" width="2"/>
    <col collapsed="false" customWidth="true" hidden="false" outlineLevel="0" max="6" min="6" style="0" width="6"/>
    <col collapsed="false" customWidth="true" hidden="false" outlineLevel="0" max="7" min="7" style="0" width="15"/>
    <col collapsed="false" customWidth="true" hidden="false" outlineLevel="0" max="8" min="8" style="0" width="28"/>
    <col collapsed="false" customWidth="true" hidden="false" outlineLevel="0" max="9" min="9" style="0" width="10"/>
    <col collapsed="false" customWidth="true" hidden="false" outlineLevel="0" max="10" min="10" style="0" width="2"/>
    <col collapsed="false" customWidth="true" hidden="false" outlineLevel="0" max="11" min="11" style="0" width="6"/>
    <col collapsed="false" customWidth="true" hidden="false" outlineLevel="0" max="12" min="12" style="0" width="15"/>
    <col collapsed="false" customWidth="true" hidden="false" outlineLevel="0" max="13" min="13" style="0" width="28"/>
    <col collapsed="false" customWidth="true" hidden="false" outlineLevel="0" max="14" min="14" style="0" width="10"/>
  </cols>
  <sheetData>
    <row r="1" customFormat="false" ht="17.15" hidden="false" customHeight="false" outlineLevel="0" collapsed="false">
      <c r="A1" s="4" t="s">
        <v>1473</v>
      </c>
      <c r="F1" s="4" t="s">
        <v>1474</v>
      </c>
      <c r="K1" s="4" t="s">
        <v>1475</v>
      </c>
    </row>
    <row r="2" customFormat="false" ht="15" hidden="false" customHeight="false" outlineLevel="0" collapsed="false">
      <c r="A2" s="8" t="s">
        <v>1476</v>
      </c>
      <c r="B2" s="8" t="s">
        <v>768</v>
      </c>
      <c r="C2" s="8" t="s">
        <v>769</v>
      </c>
      <c r="D2" s="8" t="s">
        <v>1469</v>
      </c>
      <c r="F2" s="8" t="s">
        <v>1476</v>
      </c>
      <c r="G2" s="8" t="s">
        <v>768</v>
      </c>
      <c r="H2" s="8" t="s">
        <v>769</v>
      </c>
      <c r="I2" s="8" t="s">
        <v>1469</v>
      </c>
      <c r="K2" s="8" t="s">
        <v>1476</v>
      </c>
      <c r="L2" s="8" t="s">
        <v>768</v>
      </c>
      <c r="M2" s="8" t="s">
        <v>769</v>
      </c>
      <c r="N2" s="8" t="s">
        <v>1469</v>
      </c>
    </row>
    <row r="3" customFormat="false" ht="15" hidden="false" customHeight="false" outlineLevel="0" collapsed="false">
      <c r="A3" s="12" t="n">
        <v>1</v>
      </c>
      <c r="B3" s="10" t="str">
        <f aca="false">IFERROR(INDEX(06_重複排除後!$A:$A,MATCH("短期-"&amp;$A3,06_重複排除後!$L:$L,0)),"")</f>
        <v/>
      </c>
      <c r="C3" s="10" t="str">
        <f aca="false">IF($B3="","",VLOOKUP($B3,06_重複排除後!$A:$B,2,0))</f>
        <v/>
      </c>
      <c r="D3" s="12" t="str">
        <f aca="false">IF($B3="","",VLOOKUP($B3,06_重複排除後!$A:$I,9,0))</f>
        <v/>
      </c>
      <c r="F3" s="12" t="n">
        <v>1</v>
      </c>
      <c r="G3" s="10" t="str">
        <f aca="false">IFERROR(INDEX(06_重複排除後!$A:$A,MATCH("中期-"&amp;$F3,06_重複排除後!$L:$L,0)),"")</f>
        <v/>
      </c>
      <c r="H3" s="10" t="str">
        <f aca="false">IF($G3="","",VLOOKUP($G3,06_重複排除後!$A:$B,2,0))</f>
        <v/>
      </c>
      <c r="I3" s="12" t="str">
        <f aca="false">IF($G3="","",VLOOKUP($G3,06_重複排除後!$A:$I,9,0))</f>
        <v/>
      </c>
      <c r="K3" s="12" t="n">
        <v>1</v>
      </c>
      <c r="L3" s="10" t="str">
        <f aca="false">IFERROR(INDEX(06_重複排除後!$A:$A,MATCH("長期-"&amp;$K3,06_重複排除後!$L:$L,0)),"")</f>
        <v/>
      </c>
      <c r="M3" s="10" t="str">
        <f aca="false">IF($L3="","",VLOOKUP($L3,06_重複排除後!$A:$B,2,0))</f>
        <v/>
      </c>
      <c r="N3" s="12" t="str">
        <f aca="false">IF($L3="","",VLOOKUP($L3,06_重複排除後!$A:$I,9,0))</f>
        <v/>
      </c>
    </row>
    <row r="4" customFormat="false" ht="15" hidden="false" customHeight="false" outlineLevel="0" collapsed="false">
      <c r="A4" s="12" t="n">
        <v>2</v>
      </c>
      <c r="B4" s="10" t="str">
        <f aca="false">IFERROR(INDEX(06_重複排除後!$A:$A,MATCH("短期-"&amp;$A4,06_重複排除後!$L:$L,0)),"")</f>
        <v/>
      </c>
      <c r="C4" s="10" t="str">
        <f aca="false">IF($B4="","",VLOOKUP($B4,06_重複排除後!$A:$B,2,0))</f>
        <v/>
      </c>
      <c r="D4" s="12" t="str">
        <f aca="false">IF($B4="","",VLOOKUP($B4,06_重複排除後!$A:$I,9,0))</f>
        <v/>
      </c>
      <c r="F4" s="12" t="n">
        <v>2</v>
      </c>
      <c r="G4" s="10" t="str">
        <f aca="false">IFERROR(INDEX(06_重複排除後!$A:$A,MATCH("中期-"&amp;$F4,06_重複排除後!$L:$L,0)),"")</f>
        <v/>
      </c>
      <c r="H4" s="10" t="str">
        <f aca="false">IF($G4="","",VLOOKUP($G4,06_重複排除後!$A:$B,2,0))</f>
        <v/>
      </c>
      <c r="I4" s="12" t="str">
        <f aca="false">IF($G4="","",VLOOKUP($G4,06_重複排除後!$A:$I,9,0))</f>
        <v/>
      </c>
      <c r="K4" s="12" t="n">
        <v>2</v>
      </c>
      <c r="L4" s="10" t="str">
        <f aca="false">IFERROR(INDEX(06_重複排除後!$A:$A,MATCH("長期-"&amp;$K4,06_重複排除後!$L:$L,0)),"")</f>
        <v/>
      </c>
      <c r="M4" s="10" t="str">
        <f aca="false">IF($L4="","",VLOOKUP($L4,06_重複排除後!$A:$B,2,0))</f>
        <v/>
      </c>
      <c r="N4" s="12" t="str">
        <f aca="false">IF($L4="","",VLOOKUP($L4,06_重複排除後!$A:$I,9,0))</f>
        <v/>
      </c>
    </row>
    <row r="5" customFormat="false" ht="15" hidden="false" customHeight="false" outlineLevel="0" collapsed="false">
      <c r="A5" s="12" t="n">
        <v>3</v>
      </c>
      <c r="B5" s="10" t="str">
        <f aca="false">IFERROR(INDEX(06_重複排除後!$A:$A,MATCH("短期-"&amp;$A5,06_重複排除後!$L:$L,0)),"")</f>
        <v/>
      </c>
      <c r="C5" s="10" t="str">
        <f aca="false">IF($B5="","",VLOOKUP($B5,06_重複排除後!$A:$B,2,0))</f>
        <v/>
      </c>
      <c r="D5" s="12" t="str">
        <f aca="false">IF($B5="","",VLOOKUP($B5,06_重複排除後!$A:$I,9,0))</f>
        <v/>
      </c>
      <c r="F5" s="12" t="n">
        <v>3</v>
      </c>
      <c r="G5" s="10" t="str">
        <f aca="false">IFERROR(INDEX(06_重複排除後!$A:$A,MATCH("中期-"&amp;$F5,06_重複排除後!$L:$L,0)),"")</f>
        <v/>
      </c>
      <c r="H5" s="10" t="str">
        <f aca="false">IF($G5="","",VLOOKUP($G5,06_重複排除後!$A:$B,2,0))</f>
        <v/>
      </c>
      <c r="I5" s="12" t="str">
        <f aca="false">IF($G5="","",VLOOKUP($G5,06_重複排除後!$A:$I,9,0))</f>
        <v/>
      </c>
      <c r="K5" s="12" t="n">
        <v>3</v>
      </c>
      <c r="L5" s="10" t="str">
        <f aca="false">IFERROR(INDEX(06_重複排除後!$A:$A,MATCH("長期-"&amp;$K5,06_重複排除後!$L:$L,0)),"")</f>
        <v/>
      </c>
      <c r="M5" s="10" t="str">
        <f aca="false">IF($L5="","",VLOOKUP($L5,06_重複排除後!$A:$B,2,0))</f>
        <v/>
      </c>
      <c r="N5" s="12" t="str">
        <f aca="false">IF($L5="","",VLOOKUP($L5,06_重複排除後!$A:$I,9,0))</f>
        <v/>
      </c>
    </row>
    <row r="6" customFormat="false" ht="15" hidden="false" customHeight="false" outlineLevel="0" collapsed="false">
      <c r="A6" s="12" t="n">
        <v>4</v>
      </c>
      <c r="B6" s="10" t="str">
        <f aca="false">IFERROR(INDEX(06_重複排除後!$A:$A,MATCH("短期-"&amp;$A6,06_重複排除後!$L:$L,0)),"")</f>
        <v/>
      </c>
      <c r="C6" s="10" t="str">
        <f aca="false">IF($B6="","",VLOOKUP($B6,06_重複排除後!$A:$B,2,0))</f>
        <v/>
      </c>
      <c r="D6" s="12" t="str">
        <f aca="false">IF($B6="","",VLOOKUP($B6,06_重複排除後!$A:$I,9,0))</f>
        <v/>
      </c>
      <c r="F6" s="12" t="n">
        <v>4</v>
      </c>
      <c r="G6" s="10" t="str">
        <f aca="false">IFERROR(INDEX(06_重複排除後!$A:$A,MATCH("中期-"&amp;$F6,06_重複排除後!$L:$L,0)),"")</f>
        <v/>
      </c>
      <c r="H6" s="10" t="str">
        <f aca="false">IF($G6="","",VLOOKUP($G6,06_重複排除後!$A:$B,2,0))</f>
        <v/>
      </c>
      <c r="I6" s="12" t="str">
        <f aca="false">IF($G6="","",VLOOKUP($G6,06_重複排除後!$A:$I,9,0))</f>
        <v/>
      </c>
      <c r="K6" s="12" t="n">
        <v>4</v>
      </c>
      <c r="L6" s="10" t="str">
        <f aca="false">IFERROR(INDEX(06_重複排除後!$A:$A,MATCH("長期-"&amp;$K6,06_重複排除後!$L:$L,0)),"")</f>
        <v/>
      </c>
      <c r="M6" s="10" t="str">
        <f aca="false">IF($L6="","",VLOOKUP($L6,06_重複排除後!$A:$B,2,0))</f>
        <v/>
      </c>
      <c r="N6" s="12" t="str">
        <f aca="false">IF($L6="","",VLOOKUP($L6,06_重複排除後!$A:$I,9,0))</f>
        <v/>
      </c>
    </row>
    <row r="7" customFormat="false" ht="15" hidden="false" customHeight="false" outlineLevel="0" collapsed="false">
      <c r="A7" s="12" t="n">
        <v>5</v>
      </c>
      <c r="B7" s="10" t="str">
        <f aca="false">IFERROR(INDEX(06_重複排除後!$A:$A,MATCH("短期-"&amp;$A7,06_重複排除後!$L:$L,0)),"")</f>
        <v/>
      </c>
      <c r="C7" s="10" t="str">
        <f aca="false">IF($B7="","",VLOOKUP($B7,06_重複排除後!$A:$B,2,0))</f>
        <v/>
      </c>
      <c r="D7" s="12" t="str">
        <f aca="false">IF($B7="","",VLOOKUP($B7,06_重複排除後!$A:$I,9,0))</f>
        <v/>
      </c>
      <c r="F7" s="12" t="n">
        <v>5</v>
      </c>
      <c r="G7" s="10" t="str">
        <f aca="false">IFERROR(INDEX(06_重複排除後!$A:$A,MATCH("中期-"&amp;$F7,06_重複排除後!$L:$L,0)),"")</f>
        <v/>
      </c>
      <c r="H7" s="10" t="str">
        <f aca="false">IF($G7="","",VLOOKUP($G7,06_重複排除後!$A:$B,2,0))</f>
        <v/>
      </c>
      <c r="I7" s="12" t="str">
        <f aca="false">IF($G7="","",VLOOKUP($G7,06_重複排除後!$A:$I,9,0))</f>
        <v/>
      </c>
      <c r="K7" s="12" t="n">
        <v>5</v>
      </c>
      <c r="L7" s="10" t="str">
        <f aca="false">IFERROR(INDEX(06_重複排除後!$A:$A,MATCH("長期-"&amp;$K7,06_重複排除後!$L:$L,0)),"")</f>
        <v/>
      </c>
      <c r="M7" s="10" t="str">
        <f aca="false">IF($L7="","",VLOOKUP($L7,06_重複排除後!$A:$B,2,0))</f>
        <v/>
      </c>
      <c r="N7" s="12" t="str">
        <f aca="false">IF($L7="","",VLOOKUP($L7,06_重複排除後!$A:$I,9,0))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
    <col collapsed="false" customWidth="true" hidden="false" outlineLevel="0" max="3" min="3" style="0" width="15"/>
    <col collapsed="false" customWidth="true" hidden="false" outlineLevel="0" max="4" min="4" style="0" width="30"/>
    <col collapsed="false" customWidth="true" hidden="false" outlineLevel="0" max="5" min="5" style="0" width="8"/>
    <col collapsed="false" customWidth="true" hidden="false" outlineLevel="0" max="6" min="6" style="0" width="9"/>
    <col collapsed="false" customWidth="true" hidden="false" outlineLevel="0" max="7" min="7" style="0" width="10"/>
    <col collapsed="false" customWidth="true" hidden="false" outlineLevel="0" max="9" min="8" style="0" width="7"/>
  </cols>
  <sheetData>
    <row r="1" customFormat="false" ht="29.85" hidden="false" customHeight="false" outlineLevel="0" collapsed="false">
      <c r="A1" s="8" t="s">
        <v>70</v>
      </c>
      <c r="B1" s="8" t="s">
        <v>1476</v>
      </c>
      <c r="C1" s="8" t="s">
        <v>768</v>
      </c>
      <c r="D1" s="8" t="s">
        <v>769</v>
      </c>
      <c r="E1" s="9" t="s">
        <v>1477</v>
      </c>
      <c r="F1" s="8" t="s">
        <v>774</v>
      </c>
      <c r="G1" s="8" t="s">
        <v>1469</v>
      </c>
      <c r="H1" s="9" t="s">
        <v>1478</v>
      </c>
      <c r="I1" s="9" t="s">
        <v>1479</v>
      </c>
    </row>
    <row r="2" customFormat="false" ht="15" hidden="false" customHeight="false" outlineLevel="0" collapsed="false">
      <c r="A2" s="12" t="str">
        <f aca="false">IF($C2="","",$H2)</f>
        <v/>
      </c>
      <c r="B2" s="12" t="str">
        <f aca="false">IF($C2="","",$I2)</f>
        <v/>
      </c>
      <c r="C2" s="10" t="str">
        <f aca="false">IFERROR(INDEX(06_重複排除後!$A:$A,MATCH($H2&amp;"-"&amp;$I2,06_重複排除後!$L:$L,0)),"")</f>
        <v/>
      </c>
      <c r="D2" s="10" t="str">
        <f aca="false">IF($C2="","",VLOOKUP($C2,06_重複排除後!$A:$B,2,0))</f>
        <v/>
      </c>
      <c r="E2" s="12" t="str">
        <f aca="false">IF($C2="","",VLOOKUP($C2,06_重複排除後!$A:$C,3,0))</f>
        <v/>
      </c>
      <c r="F2" s="12" t="str">
        <f aca="false">IF($C2="","",VLOOKUP($C2,06_重複排除後!$A:$E,5,0))</f>
        <v/>
      </c>
      <c r="G2" s="12" t="str">
        <f aca="false">IF($C2="","",VLOOKUP($C2,06_重複排除後!$A:$I,9,0))</f>
        <v/>
      </c>
      <c r="H2" s="11" t="s">
        <v>791</v>
      </c>
      <c r="I2" s="10" t="n">
        <v>1</v>
      </c>
    </row>
    <row r="3" customFormat="false" ht="15" hidden="false" customHeight="false" outlineLevel="0" collapsed="false">
      <c r="A3" s="12" t="str">
        <f aca="false">IF($C3="","",$H3)</f>
        <v/>
      </c>
      <c r="B3" s="12" t="str">
        <f aca="false">IF($C3="","",$I3)</f>
        <v/>
      </c>
      <c r="C3" s="10" t="str">
        <f aca="false">IFERROR(INDEX(06_重複排除後!$A:$A,MATCH($H3&amp;"-"&amp;$I3,06_重複排除後!$L:$L,0)),"")</f>
        <v/>
      </c>
      <c r="D3" s="10" t="str">
        <f aca="false">IF($C3="","",VLOOKUP($C3,06_重複排除後!$A:$B,2,0))</f>
        <v/>
      </c>
      <c r="E3" s="12" t="str">
        <f aca="false">IF($C3="","",VLOOKUP($C3,06_重複排除後!$A:$C,3,0))</f>
        <v/>
      </c>
      <c r="F3" s="12" t="str">
        <f aca="false">IF($C3="","",VLOOKUP($C3,06_重複排除後!$A:$E,5,0))</f>
        <v/>
      </c>
      <c r="G3" s="12" t="str">
        <f aca="false">IF($C3="","",VLOOKUP($C3,06_重複排除後!$A:$I,9,0))</f>
        <v/>
      </c>
      <c r="H3" s="11" t="s">
        <v>791</v>
      </c>
      <c r="I3" s="10" t="n">
        <v>2</v>
      </c>
    </row>
    <row r="4" customFormat="false" ht="15" hidden="false" customHeight="false" outlineLevel="0" collapsed="false">
      <c r="A4" s="12" t="str">
        <f aca="false">IF($C4="","",$H4)</f>
        <v/>
      </c>
      <c r="B4" s="12" t="str">
        <f aca="false">IF($C4="","",$I4)</f>
        <v/>
      </c>
      <c r="C4" s="10" t="str">
        <f aca="false">IFERROR(INDEX(06_重複排除後!$A:$A,MATCH($H4&amp;"-"&amp;$I4,06_重複排除後!$L:$L,0)),"")</f>
        <v/>
      </c>
      <c r="D4" s="10" t="str">
        <f aca="false">IF($C4="","",VLOOKUP($C4,06_重複排除後!$A:$B,2,0))</f>
        <v/>
      </c>
      <c r="E4" s="12" t="str">
        <f aca="false">IF($C4="","",VLOOKUP($C4,06_重複排除後!$A:$C,3,0))</f>
        <v/>
      </c>
      <c r="F4" s="12" t="str">
        <f aca="false">IF($C4="","",VLOOKUP($C4,06_重複排除後!$A:$E,5,0))</f>
        <v/>
      </c>
      <c r="G4" s="12" t="str">
        <f aca="false">IF($C4="","",VLOOKUP($C4,06_重複排除後!$A:$I,9,0))</f>
        <v/>
      </c>
      <c r="H4" s="11" t="s">
        <v>791</v>
      </c>
      <c r="I4" s="10" t="n">
        <v>3</v>
      </c>
    </row>
    <row r="5" customFormat="false" ht="15" hidden="false" customHeight="false" outlineLevel="0" collapsed="false">
      <c r="A5" s="12" t="str">
        <f aca="false">IF($C5="","",$H5)</f>
        <v/>
      </c>
      <c r="B5" s="12" t="str">
        <f aca="false">IF($C5="","",$I5)</f>
        <v/>
      </c>
      <c r="C5" s="10" t="str">
        <f aca="false">IFERROR(INDEX(06_重複排除後!$A:$A,MATCH($H5&amp;"-"&amp;$I5,06_重複排除後!$L:$L,0)),"")</f>
        <v/>
      </c>
      <c r="D5" s="10" t="str">
        <f aca="false">IF($C5="","",VLOOKUP($C5,06_重複排除後!$A:$B,2,0))</f>
        <v/>
      </c>
      <c r="E5" s="12" t="str">
        <f aca="false">IF($C5="","",VLOOKUP($C5,06_重複排除後!$A:$C,3,0))</f>
        <v/>
      </c>
      <c r="F5" s="12" t="str">
        <f aca="false">IF($C5="","",VLOOKUP($C5,06_重複排除後!$A:$E,5,0))</f>
        <v/>
      </c>
      <c r="G5" s="12" t="str">
        <f aca="false">IF($C5="","",VLOOKUP($C5,06_重複排除後!$A:$I,9,0))</f>
        <v/>
      </c>
      <c r="H5" s="11" t="s">
        <v>791</v>
      </c>
      <c r="I5" s="10" t="n">
        <v>4</v>
      </c>
    </row>
    <row r="6" customFormat="false" ht="15" hidden="false" customHeight="false" outlineLevel="0" collapsed="false">
      <c r="A6" s="12" t="str">
        <f aca="false">IF($C6="","",$H6)</f>
        <v/>
      </c>
      <c r="B6" s="12" t="str">
        <f aca="false">IF($C6="","",$I6)</f>
        <v/>
      </c>
      <c r="C6" s="10" t="str">
        <f aca="false">IFERROR(INDEX(06_重複排除後!$A:$A,MATCH($H6&amp;"-"&amp;$I6,06_重複排除後!$L:$L,0)),"")</f>
        <v/>
      </c>
      <c r="D6" s="10" t="str">
        <f aca="false">IF($C6="","",VLOOKUP($C6,06_重複排除後!$A:$B,2,0))</f>
        <v/>
      </c>
      <c r="E6" s="12" t="str">
        <f aca="false">IF($C6="","",VLOOKUP($C6,06_重複排除後!$A:$C,3,0))</f>
        <v/>
      </c>
      <c r="F6" s="12" t="str">
        <f aca="false">IF($C6="","",VLOOKUP($C6,06_重複排除後!$A:$E,5,0))</f>
        <v/>
      </c>
      <c r="G6" s="12" t="str">
        <f aca="false">IF($C6="","",VLOOKUP($C6,06_重複排除後!$A:$I,9,0))</f>
        <v/>
      </c>
      <c r="H6" s="11" t="s">
        <v>791</v>
      </c>
      <c r="I6" s="10" t="n">
        <v>5</v>
      </c>
    </row>
    <row r="7" customFormat="false" ht="15" hidden="false" customHeight="false" outlineLevel="0" collapsed="false">
      <c r="A7" s="12" t="str">
        <f aca="false">IF($C7="","",$H7)</f>
        <v/>
      </c>
      <c r="B7" s="12" t="str">
        <f aca="false">IF($C7="","",$I7)</f>
        <v/>
      </c>
      <c r="C7" s="10" t="str">
        <f aca="false">IFERROR(INDEX(06_重複排除後!$A:$A,MATCH($H7&amp;"-"&amp;$I7,06_重複排除後!$L:$L,0)),"")</f>
        <v/>
      </c>
      <c r="D7" s="10" t="str">
        <f aca="false">IF($C7="","",VLOOKUP($C7,06_重複排除後!$A:$B,2,0))</f>
        <v/>
      </c>
      <c r="E7" s="12" t="str">
        <f aca="false">IF($C7="","",VLOOKUP($C7,06_重複排除後!$A:$C,3,0))</f>
        <v/>
      </c>
      <c r="F7" s="12" t="str">
        <f aca="false">IF($C7="","",VLOOKUP($C7,06_重複排除後!$A:$E,5,0))</f>
        <v/>
      </c>
      <c r="G7" s="12" t="str">
        <f aca="false">IF($C7="","",VLOOKUP($C7,06_重複排除後!$A:$I,9,0))</f>
        <v/>
      </c>
      <c r="H7" s="11" t="s">
        <v>791</v>
      </c>
      <c r="I7" s="10" t="n">
        <v>6</v>
      </c>
    </row>
    <row r="8" customFormat="false" ht="15" hidden="false" customHeight="false" outlineLevel="0" collapsed="false">
      <c r="A8" s="12" t="str">
        <f aca="false">IF($C8="","",$H8)</f>
        <v/>
      </c>
      <c r="B8" s="12" t="str">
        <f aca="false">IF($C8="","",$I8)</f>
        <v/>
      </c>
      <c r="C8" s="10" t="str">
        <f aca="false">IFERROR(INDEX(06_重複排除後!$A:$A,MATCH($H8&amp;"-"&amp;$I8,06_重複排除後!$L:$L,0)),"")</f>
        <v/>
      </c>
      <c r="D8" s="10" t="str">
        <f aca="false">IF($C8="","",VLOOKUP($C8,06_重複排除後!$A:$B,2,0))</f>
        <v/>
      </c>
      <c r="E8" s="12" t="str">
        <f aca="false">IF($C8="","",VLOOKUP($C8,06_重複排除後!$A:$C,3,0))</f>
        <v/>
      </c>
      <c r="F8" s="12" t="str">
        <f aca="false">IF($C8="","",VLOOKUP($C8,06_重複排除後!$A:$E,5,0))</f>
        <v/>
      </c>
      <c r="G8" s="12" t="str">
        <f aca="false">IF($C8="","",VLOOKUP($C8,06_重複排除後!$A:$I,9,0))</f>
        <v/>
      </c>
      <c r="H8" s="11" t="s">
        <v>791</v>
      </c>
      <c r="I8" s="10" t="n">
        <v>7</v>
      </c>
    </row>
    <row r="9" customFormat="false" ht="15" hidden="false" customHeight="false" outlineLevel="0" collapsed="false">
      <c r="A9" s="12" t="str">
        <f aca="false">IF($C9="","",$H9)</f>
        <v/>
      </c>
      <c r="B9" s="12" t="str">
        <f aca="false">IF($C9="","",$I9)</f>
        <v/>
      </c>
      <c r="C9" s="10" t="str">
        <f aca="false">IFERROR(INDEX(06_重複排除後!$A:$A,MATCH($H9&amp;"-"&amp;$I9,06_重複排除後!$L:$L,0)),"")</f>
        <v/>
      </c>
      <c r="D9" s="10" t="str">
        <f aca="false">IF($C9="","",VLOOKUP($C9,06_重複排除後!$A:$B,2,0))</f>
        <v/>
      </c>
      <c r="E9" s="12" t="str">
        <f aca="false">IF($C9="","",VLOOKUP($C9,06_重複排除後!$A:$C,3,0))</f>
        <v/>
      </c>
      <c r="F9" s="12" t="str">
        <f aca="false">IF($C9="","",VLOOKUP($C9,06_重複排除後!$A:$E,5,0))</f>
        <v/>
      </c>
      <c r="G9" s="12" t="str">
        <f aca="false">IF($C9="","",VLOOKUP($C9,06_重複排除後!$A:$I,9,0))</f>
        <v/>
      </c>
      <c r="H9" s="11" t="s">
        <v>791</v>
      </c>
      <c r="I9" s="10" t="n">
        <v>8</v>
      </c>
    </row>
    <row r="10" customFormat="false" ht="15" hidden="false" customHeight="false" outlineLevel="0" collapsed="false">
      <c r="A10" s="12" t="str">
        <f aca="false">IF($C10="","",$H10)</f>
        <v/>
      </c>
      <c r="B10" s="12" t="str">
        <f aca="false">IF($C10="","",$I10)</f>
        <v/>
      </c>
      <c r="C10" s="10" t="str">
        <f aca="false">IFERROR(INDEX(06_重複排除後!$A:$A,MATCH($H10&amp;"-"&amp;$I10,06_重複排除後!$L:$L,0)),"")</f>
        <v/>
      </c>
      <c r="D10" s="10" t="str">
        <f aca="false">IF($C10="","",VLOOKUP($C10,06_重複排除後!$A:$B,2,0))</f>
        <v/>
      </c>
      <c r="E10" s="12" t="str">
        <f aca="false">IF($C10="","",VLOOKUP($C10,06_重複排除後!$A:$C,3,0))</f>
        <v/>
      </c>
      <c r="F10" s="12" t="str">
        <f aca="false">IF($C10="","",VLOOKUP($C10,06_重複排除後!$A:$E,5,0))</f>
        <v/>
      </c>
      <c r="G10" s="12" t="str">
        <f aca="false">IF($C10="","",VLOOKUP($C10,06_重複排除後!$A:$I,9,0))</f>
        <v/>
      </c>
      <c r="H10" s="11" t="s">
        <v>791</v>
      </c>
      <c r="I10" s="10" t="n">
        <v>9</v>
      </c>
    </row>
    <row r="11" customFormat="false" ht="15" hidden="false" customHeight="false" outlineLevel="0" collapsed="false">
      <c r="A11" s="12" t="str">
        <f aca="false">IF($C11="","",$H11)</f>
        <v/>
      </c>
      <c r="B11" s="12" t="str">
        <f aca="false">IF($C11="","",$I11)</f>
        <v/>
      </c>
      <c r="C11" s="10" t="str">
        <f aca="false">IFERROR(INDEX(06_重複排除後!$A:$A,MATCH($H11&amp;"-"&amp;$I11,06_重複排除後!$L:$L,0)),"")</f>
        <v/>
      </c>
      <c r="D11" s="10" t="str">
        <f aca="false">IF($C11="","",VLOOKUP($C11,06_重複排除後!$A:$B,2,0))</f>
        <v/>
      </c>
      <c r="E11" s="12" t="str">
        <f aca="false">IF($C11="","",VLOOKUP($C11,06_重複排除後!$A:$C,3,0))</f>
        <v/>
      </c>
      <c r="F11" s="12" t="str">
        <f aca="false">IF($C11="","",VLOOKUP($C11,06_重複排除後!$A:$E,5,0))</f>
        <v/>
      </c>
      <c r="G11" s="12" t="str">
        <f aca="false">IF($C11="","",VLOOKUP($C11,06_重複排除後!$A:$I,9,0))</f>
        <v/>
      </c>
      <c r="H11" s="11" t="s">
        <v>791</v>
      </c>
      <c r="I11" s="10" t="n">
        <v>10</v>
      </c>
    </row>
    <row r="12" customFormat="false" ht="15" hidden="false" customHeight="false" outlineLevel="0" collapsed="false">
      <c r="A12" s="12" t="str">
        <f aca="false">IF($C12="","",$H12)</f>
        <v/>
      </c>
      <c r="B12" s="12" t="str">
        <f aca="false">IF($C12="","",$I12)</f>
        <v/>
      </c>
      <c r="C12" s="10" t="str">
        <f aca="false">IFERROR(INDEX(06_重複排除後!$A:$A,MATCH($H12&amp;"-"&amp;$I12,06_重複排除後!$L:$L,0)),"")</f>
        <v/>
      </c>
      <c r="D12" s="10" t="str">
        <f aca="false">IF($C12="","",VLOOKUP($C12,06_重複排除後!$A:$B,2,0))</f>
        <v/>
      </c>
      <c r="E12" s="12" t="str">
        <f aca="false">IF($C12="","",VLOOKUP($C12,06_重複排除後!$A:$C,3,0))</f>
        <v/>
      </c>
      <c r="F12" s="12" t="str">
        <f aca="false">IF($C12="","",VLOOKUP($C12,06_重複排除後!$A:$E,5,0))</f>
        <v/>
      </c>
      <c r="G12" s="12" t="str">
        <f aca="false">IF($C12="","",VLOOKUP($C12,06_重複排除後!$A:$I,9,0))</f>
        <v/>
      </c>
      <c r="H12" s="11" t="s">
        <v>791</v>
      </c>
      <c r="I12" s="10" t="n">
        <v>11</v>
      </c>
    </row>
    <row r="13" customFormat="false" ht="15" hidden="false" customHeight="false" outlineLevel="0" collapsed="false">
      <c r="A13" s="12" t="str">
        <f aca="false">IF($C13="","",$H13)</f>
        <v/>
      </c>
      <c r="B13" s="12" t="str">
        <f aca="false">IF($C13="","",$I13)</f>
        <v/>
      </c>
      <c r="C13" s="10" t="str">
        <f aca="false">IFERROR(INDEX(06_重複排除後!$A:$A,MATCH($H13&amp;"-"&amp;$I13,06_重複排除後!$L:$L,0)),"")</f>
        <v/>
      </c>
      <c r="D13" s="10" t="str">
        <f aca="false">IF($C13="","",VLOOKUP($C13,06_重複排除後!$A:$B,2,0))</f>
        <v/>
      </c>
      <c r="E13" s="12" t="str">
        <f aca="false">IF($C13="","",VLOOKUP($C13,06_重複排除後!$A:$C,3,0))</f>
        <v/>
      </c>
      <c r="F13" s="12" t="str">
        <f aca="false">IF($C13="","",VLOOKUP($C13,06_重複排除後!$A:$E,5,0))</f>
        <v/>
      </c>
      <c r="G13" s="12" t="str">
        <f aca="false">IF($C13="","",VLOOKUP($C13,06_重複排除後!$A:$I,9,0))</f>
        <v/>
      </c>
      <c r="H13" s="11" t="s">
        <v>791</v>
      </c>
      <c r="I13" s="10" t="n">
        <v>12</v>
      </c>
    </row>
    <row r="14" customFormat="false" ht="15" hidden="false" customHeight="false" outlineLevel="0" collapsed="false">
      <c r="A14" s="12" t="str">
        <f aca="false">IF($C14="","",$H14)</f>
        <v/>
      </c>
      <c r="B14" s="12" t="str">
        <f aca="false">IF($C14="","",$I14)</f>
        <v/>
      </c>
      <c r="C14" s="10" t="str">
        <f aca="false">IFERROR(INDEX(06_重複排除後!$A:$A,MATCH($H14&amp;"-"&amp;$I14,06_重複排除後!$L:$L,0)),"")</f>
        <v/>
      </c>
      <c r="D14" s="10" t="str">
        <f aca="false">IF($C14="","",VLOOKUP($C14,06_重複排除後!$A:$B,2,0))</f>
        <v/>
      </c>
      <c r="E14" s="12" t="str">
        <f aca="false">IF($C14="","",VLOOKUP($C14,06_重複排除後!$A:$C,3,0))</f>
        <v/>
      </c>
      <c r="F14" s="12" t="str">
        <f aca="false">IF($C14="","",VLOOKUP($C14,06_重複排除後!$A:$E,5,0))</f>
        <v/>
      </c>
      <c r="G14" s="12" t="str">
        <f aca="false">IF($C14="","",VLOOKUP($C14,06_重複排除後!$A:$I,9,0))</f>
        <v/>
      </c>
      <c r="H14" s="11" t="s">
        <v>791</v>
      </c>
      <c r="I14" s="10" t="n">
        <v>13</v>
      </c>
    </row>
    <row r="15" customFormat="false" ht="15" hidden="false" customHeight="false" outlineLevel="0" collapsed="false">
      <c r="A15" s="12" t="str">
        <f aca="false">IF($C15="","",$H15)</f>
        <v/>
      </c>
      <c r="B15" s="12" t="str">
        <f aca="false">IF($C15="","",$I15)</f>
        <v/>
      </c>
      <c r="C15" s="10" t="str">
        <f aca="false">IFERROR(INDEX(06_重複排除後!$A:$A,MATCH($H15&amp;"-"&amp;$I15,06_重複排除後!$L:$L,0)),"")</f>
        <v/>
      </c>
      <c r="D15" s="10" t="str">
        <f aca="false">IF($C15="","",VLOOKUP($C15,06_重複排除後!$A:$B,2,0))</f>
        <v/>
      </c>
      <c r="E15" s="12" t="str">
        <f aca="false">IF($C15="","",VLOOKUP($C15,06_重複排除後!$A:$C,3,0))</f>
        <v/>
      </c>
      <c r="F15" s="12" t="str">
        <f aca="false">IF($C15="","",VLOOKUP($C15,06_重複排除後!$A:$E,5,0))</f>
        <v/>
      </c>
      <c r="G15" s="12" t="str">
        <f aca="false">IF($C15="","",VLOOKUP($C15,06_重複排除後!$A:$I,9,0))</f>
        <v/>
      </c>
      <c r="H15" s="11" t="s">
        <v>791</v>
      </c>
      <c r="I15" s="10" t="n">
        <v>14</v>
      </c>
    </row>
    <row r="16" customFormat="false" ht="15" hidden="false" customHeight="false" outlineLevel="0" collapsed="false">
      <c r="A16" s="12" t="str">
        <f aca="false">IF($C16="","",$H16)</f>
        <v/>
      </c>
      <c r="B16" s="12" t="str">
        <f aca="false">IF($C16="","",$I16)</f>
        <v/>
      </c>
      <c r="C16" s="10" t="str">
        <f aca="false">IFERROR(INDEX(06_重複排除後!$A:$A,MATCH($H16&amp;"-"&amp;$I16,06_重複排除後!$L:$L,0)),"")</f>
        <v/>
      </c>
      <c r="D16" s="10" t="str">
        <f aca="false">IF($C16="","",VLOOKUP($C16,06_重複排除後!$A:$B,2,0))</f>
        <v/>
      </c>
      <c r="E16" s="12" t="str">
        <f aca="false">IF($C16="","",VLOOKUP($C16,06_重複排除後!$A:$C,3,0))</f>
        <v/>
      </c>
      <c r="F16" s="12" t="str">
        <f aca="false">IF($C16="","",VLOOKUP($C16,06_重複排除後!$A:$E,5,0))</f>
        <v/>
      </c>
      <c r="G16" s="12" t="str">
        <f aca="false">IF($C16="","",VLOOKUP($C16,06_重複排除後!$A:$I,9,0))</f>
        <v/>
      </c>
      <c r="H16" s="11" t="s">
        <v>791</v>
      </c>
      <c r="I16" s="10" t="n">
        <v>15</v>
      </c>
    </row>
    <row r="17" customFormat="false" ht="15" hidden="false" customHeight="false" outlineLevel="0" collapsed="false">
      <c r="A17" s="12" t="str">
        <f aca="false">IF($C17="","",$H17)</f>
        <v/>
      </c>
      <c r="B17" s="12" t="str">
        <f aca="false">IF($C17="","",$I17)</f>
        <v/>
      </c>
      <c r="C17" s="10" t="str">
        <f aca="false">IFERROR(INDEX(06_重複排除後!$A:$A,MATCH($H17&amp;"-"&amp;$I17,06_重複排除後!$L:$L,0)),"")</f>
        <v/>
      </c>
      <c r="D17" s="10" t="str">
        <f aca="false">IF($C17="","",VLOOKUP($C17,06_重複排除後!$A:$B,2,0))</f>
        <v/>
      </c>
      <c r="E17" s="12" t="str">
        <f aca="false">IF($C17="","",VLOOKUP($C17,06_重複排除後!$A:$C,3,0))</f>
        <v/>
      </c>
      <c r="F17" s="12" t="str">
        <f aca="false">IF($C17="","",VLOOKUP($C17,06_重複排除後!$A:$E,5,0))</f>
        <v/>
      </c>
      <c r="G17" s="12" t="str">
        <f aca="false">IF($C17="","",VLOOKUP($C17,06_重複排除後!$A:$I,9,0))</f>
        <v/>
      </c>
      <c r="H17" s="11" t="s">
        <v>791</v>
      </c>
      <c r="I17" s="10" t="n">
        <v>16</v>
      </c>
    </row>
    <row r="18" customFormat="false" ht="15" hidden="false" customHeight="false" outlineLevel="0" collapsed="false">
      <c r="A18" s="12" t="str">
        <f aca="false">IF($C18="","",$H18)</f>
        <v/>
      </c>
      <c r="B18" s="12" t="str">
        <f aca="false">IF($C18="","",$I18)</f>
        <v/>
      </c>
      <c r="C18" s="10" t="str">
        <f aca="false">IFERROR(INDEX(06_重複排除後!$A:$A,MATCH($H18&amp;"-"&amp;$I18,06_重複排除後!$L:$L,0)),"")</f>
        <v/>
      </c>
      <c r="D18" s="10" t="str">
        <f aca="false">IF($C18="","",VLOOKUP($C18,06_重複排除後!$A:$B,2,0))</f>
        <v/>
      </c>
      <c r="E18" s="12" t="str">
        <f aca="false">IF($C18="","",VLOOKUP($C18,06_重複排除後!$A:$C,3,0))</f>
        <v/>
      </c>
      <c r="F18" s="12" t="str">
        <f aca="false">IF($C18="","",VLOOKUP($C18,06_重複排除後!$A:$E,5,0))</f>
        <v/>
      </c>
      <c r="G18" s="12" t="str">
        <f aca="false">IF($C18="","",VLOOKUP($C18,06_重複排除後!$A:$I,9,0))</f>
        <v/>
      </c>
      <c r="H18" s="11" t="s">
        <v>791</v>
      </c>
      <c r="I18" s="10" t="n">
        <v>17</v>
      </c>
    </row>
    <row r="19" customFormat="false" ht="15" hidden="false" customHeight="false" outlineLevel="0" collapsed="false">
      <c r="A19" s="12" t="str">
        <f aca="false">IF($C19="","",$H19)</f>
        <v/>
      </c>
      <c r="B19" s="12" t="str">
        <f aca="false">IF($C19="","",$I19)</f>
        <v/>
      </c>
      <c r="C19" s="10" t="str">
        <f aca="false">IFERROR(INDEX(06_重複排除後!$A:$A,MATCH($H19&amp;"-"&amp;$I19,06_重複排除後!$L:$L,0)),"")</f>
        <v/>
      </c>
      <c r="D19" s="10" t="str">
        <f aca="false">IF($C19="","",VLOOKUP($C19,06_重複排除後!$A:$B,2,0))</f>
        <v/>
      </c>
      <c r="E19" s="12" t="str">
        <f aca="false">IF($C19="","",VLOOKUP($C19,06_重複排除後!$A:$C,3,0))</f>
        <v/>
      </c>
      <c r="F19" s="12" t="str">
        <f aca="false">IF($C19="","",VLOOKUP($C19,06_重複排除後!$A:$E,5,0))</f>
        <v/>
      </c>
      <c r="G19" s="12" t="str">
        <f aca="false">IF($C19="","",VLOOKUP($C19,06_重複排除後!$A:$I,9,0))</f>
        <v/>
      </c>
      <c r="H19" s="11" t="s">
        <v>791</v>
      </c>
      <c r="I19" s="10" t="n">
        <v>18</v>
      </c>
    </row>
    <row r="20" customFormat="false" ht="15" hidden="false" customHeight="false" outlineLevel="0" collapsed="false">
      <c r="A20" s="12" t="str">
        <f aca="false">IF($C20="","",$H20)</f>
        <v/>
      </c>
      <c r="B20" s="12" t="str">
        <f aca="false">IF($C20="","",$I20)</f>
        <v/>
      </c>
      <c r="C20" s="10" t="str">
        <f aca="false">IFERROR(INDEX(06_重複排除後!$A:$A,MATCH($H20&amp;"-"&amp;$I20,06_重複排除後!$L:$L,0)),"")</f>
        <v/>
      </c>
      <c r="D20" s="10" t="str">
        <f aca="false">IF($C20="","",VLOOKUP($C20,06_重複排除後!$A:$B,2,0))</f>
        <v/>
      </c>
      <c r="E20" s="12" t="str">
        <f aca="false">IF($C20="","",VLOOKUP($C20,06_重複排除後!$A:$C,3,0))</f>
        <v/>
      </c>
      <c r="F20" s="12" t="str">
        <f aca="false">IF($C20="","",VLOOKUP($C20,06_重複排除後!$A:$E,5,0))</f>
        <v/>
      </c>
      <c r="G20" s="12" t="str">
        <f aca="false">IF($C20="","",VLOOKUP($C20,06_重複排除後!$A:$I,9,0))</f>
        <v/>
      </c>
      <c r="H20" s="11" t="s">
        <v>791</v>
      </c>
      <c r="I20" s="10" t="n">
        <v>19</v>
      </c>
    </row>
    <row r="21" customFormat="false" ht="15" hidden="false" customHeight="false" outlineLevel="0" collapsed="false">
      <c r="A21" s="12" t="str">
        <f aca="false">IF($C21="","",$H21)</f>
        <v/>
      </c>
      <c r="B21" s="12" t="str">
        <f aca="false">IF($C21="","",$I21)</f>
        <v/>
      </c>
      <c r="C21" s="10" t="str">
        <f aca="false">IFERROR(INDEX(06_重複排除後!$A:$A,MATCH($H21&amp;"-"&amp;$I21,06_重複排除後!$L:$L,0)),"")</f>
        <v/>
      </c>
      <c r="D21" s="10" t="str">
        <f aca="false">IF($C21="","",VLOOKUP($C21,06_重複排除後!$A:$B,2,0))</f>
        <v/>
      </c>
      <c r="E21" s="12" t="str">
        <f aca="false">IF($C21="","",VLOOKUP($C21,06_重複排除後!$A:$C,3,0))</f>
        <v/>
      </c>
      <c r="F21" s="12" t="str">
        <f aca="false">IF($C21="","",VLOOKUP($C21,06_重複排除後!$A:$E,5,0))</f>
        <v/>
      </c>
      <c r="G21" s="12" t="str">
        <f aca="false">IF($C21="","",VLOOKUP($C21,06_重複排除後!$A:$I,9,0))</f>
        <v/>
      </c>
      <c r="H21" s="11" t="s">
        <v>791</v>
      </c>
      <c r="I21" s="10" t="n">
        <v>20</v>
      </c>
    </row>
    <row r="22" customFormat="false" ht="15" hidden="false" customHeight="false" outlineLevel="0" collapsed="false">
      <c r="A22" s="12" t="str">
        <f aca="false">IF($C22="","",$H22)</f>
        <v/>
      </c>
      <c r="B22" s="12" t="str">
        <f aca="false">IF($C22="","",$I22)</f>
        <v/>
      </c>
      <c r="C22" s="10" t="str">
        <f aca="false">IFERROR(INDEX(06_重複排除後!$A:$A,MATCH($H22&amp;"-"&amp;$I22,06_重複排除後!$L:$L,0)),"")</f>
        <v/>
      </c>
      <c r="D22" s="10" t="str">
        <f aca="false">IF($C22="","",VLOOKUP($C22,06_重複排除後!$A:$B,2,0))</f>
        <v/>
      </c>
      <c r="E22" s="12" t="str">
        <f aca="false">IF($C22="","",VLOOKUP($C22,06_重複排除後!$A:$C,3,0))</f>
        <v/>
      </c>
      <c r="F22" s="12" t="str">
        <f aca="false">IF($C22="","",VLOOKUP($C22,06_重複排除後!$A:$E,5,0))</f>
        <v/>
      </c>
      <c r="G22" s="12" t="str">
        <f aca="false">IF($C22="","",VLOOKUP($C22,06_重複排除後!$A:$I,9,0))</f>
        <v/>
      </c>
      <c r="H22" s="11" t="s">
        <v>791</v>
      </c>
      <c r="I22" s="10" t="n">
        <v>21</v>
      </c>
    </row>
    <row r="23" customFormat="false" ht="15" hidden="false" customHeight="false" outlineLevel="0" collapsed="false">
      <c r="A23" s="12" t="str">
        <f aca="false">IF($C23="","",$H23)</f>
        <v/>
      </c>
      <c r="B23" s="12" t="str">
        <f aca="false">IF($C23="","",$I23)</f>
        <v/>
      </c>
      <c r="C23" s="10" t="str">
        <f aca="false">IFERROR(INDEX(06_重複排除後!$A:$A,MATCH($H23&amp;"-"&amp;$I23,06_重複排除後!$L:$L,0)),"")</f>
        <v/>
      </c>
      <c r="D23" s="10" t="str">
        <f aca="false">IF($C23="","",VLOOKUP($C23,06_重複排除後!$A:$B,2,0))</f>
        <v/>
      </c>
      <c r="E23" s="12" t="str">
        <f aca="false">IF($C23="","",VLOOKUP($C23,06_重複排除後!$A:$C,3,0))</f>
        <v/>
      </c>
      <c r="F23" s="12" t="str">
        <f aca="false">IF($C23="","",VLOOKUP($C23,06_重複排除後!$A:$E,5,0))</f>
        <v/>
      </c>
      <c r="G23" s="12" t="str">
        <f aca="false">IF($C23="","",VLOOKUP($C23,06_重複排除後!$A:$I,9,0))</f>
        <v/>
      </c>
      <c r="H23" s="11" t="s">
        <v>791</v>
      </c>
      <c r="I23" s="10" t="n">
        <v>22</v>
      </c>
    </row>
    <row r="24" customFormat="false" ht="15" hidden="false" customHeight="false" outlineLevel="0" collapsed="false">
      <c r="A24" s="12" t="str">
        <f aca="false">IF($C24="","",$H24)</f>
        <v/>
      </c>
      <c r="B24" s="12" t="str">
        <f aca="false">IF($C24="","",$I24)</f>
        <v/>
      </c>
      <c r="C24" s="10" t="str">
        <f aca="false">IFERROR(INDEX(06_重複排除後!$A:$A,MATCH($H24&amp;"-"&amp;$I24,06_重複排除後!$L:$L,0)),"")</f>
        <v/>
      </c>
      <c r="D24" s="10" t="str">
        <f aca="false">IF($C24="","",VLOOKUP($C24,06_重複排除後!$A:$B,2,0))</f>
        <v/>
      </c>
      <c r="E24" s="12" t="str">
        <f aca="false">IF($C24="","",VLOOKUP($C24,06_重複排除後!$A:$C,3,0))</f>
        <v/>
      </c>
      <c r="F24" s="12" t="str">
        <f aca="false">IF($C24="","",VLOOKUP($C24,06_重複排除後!$A:$E,5,0))</f>
        <v/>
      </c>
      <c r="G24" s="12" t="str">
        <f aca="false">IF($C24="","",VLOOKUP($C24,06_重複排除後!$A:$I,9,0))</f>
        <v/>
      </c>
      <c r="H24" s="11" t="s">
        <v>791</v>
      </c>
      <c r="I24" s="10" t="n">
        <v>23</v>
      </c>
    </row>
    <row r="25" customFormat="false" ht="15" hidden="false" customHeight="false" outlineLevel="0" collapsed="false">
      <c r="A25" s="12" t="str">
        <f aca="false">IF($C25="","",$H25)</f>
        <v/>
      </c>
      <c r="B25" s="12" t="str">
        <f aca="false">IF($C25="","",$I25)</f>
        <v/>
      </c>
      <c r="C25" s="10" t="str">
        <f aca="false">IFERROR(INDEX(06_重複排除後!$A:$A,MATCH($H25&amp;"-"&amp;$I25,06_重複排除後!$L:$L,0)),"")</f>
        <v/>
      </c>
      <c r="D25" s="10" t="str">
        <f aca="false">IF($C25="","",VLOOKUP($C25,06_重複排除後!$A:$B,2,0))</f>
        <v/>
      </c>
      <c r="E25" s="12" t="str">
        <f aca="false">IF($C25="","",VLOOKUP($C25,06_重複排除後!$A:$C,3,0))</f>
        <v/>
      </c>
      <c r="F25" s="12" t="str">
        <f aca="false">IF($C25="","",VLOOKUP($C25,06_重複排除後!$A:$E,5,0))</f>
        <v/>
      </c>
      <c r="G25" s="12" t="str">
        <f aca="false">IF($C25="","",VLOOKUP($C25,06_重複排除後!$A:$I,9,0))</f>
        <v/>
      </c>
      <c r="H25" s="11" t="s">
        <v>791</v>
      </c>
      <c r="I25" s="10" t="n">
        <v>24</v>
      </c>
    </row>
    <row r="26" customFormat="false" ht="15" hidden="false" customHeight="false" outlineLevel="0" collapsed="false">
      <c r="A26" s="12" t="str">
        <f aca="false">IF($C26="","",$H26)</f>
        <v/>
      </c>
      <c r="B26" s="12" t="str">
        <f aca="false">IF($C26="","",$I26)</f>
        <v/>
      </c>
      <c r="C26" s="10" t="str">
        <f aca="false">IFERROR(INDEX(06_重複排除後!$A:$A,MATCH($H26&amp;"-"&amp;$I26,06_重複排除後!$L:$L,0)),"")</f>
        <v/>
      </c>
      <c r="D26" s="10" t="str">
        <f aca="false">IF($C26="","",VLOOKUP($C26,06_重複排除後!$A:$B,2,0))</f>
        <v/>
      </c>
      <c r="E26" s="12" t="str">
        <f aca="false">IF($C26="","",VLOOKUP($C26,06_重複排除後!$A:$C,3,0))</f>
        <v/>
      </c>
      <c r="F26" s="12" t="str">
        <f aca="false">IF($C26="","",VLOOKUP($C26,06_重複排除後!$A:$E,5,0))</f>
        <v/>
      </c>
      <c r="G26" s="12" t="str">
        <f aca="false">IF($C26="","",VLOOKUP($C26,06_重複排除後!$A:$I,9,0))</f>
        <v/>
      </c>
      <c r="H26" s="11" t="s">
        <v>791</v>
      </c>
      <c r="I26" s="10" t="n">
        <v>25</v>
      </c>
    </row>
    <row r="27" customFormat="false" ht="15" hidden="false" customHeight="false" outlineLevel="0" collapsed="false">
      <c r="A27" s="12" t="str">
        <f aca="false">IF($C27="","",$H27)</f>
        <v/>
      </c>
      <c r="B27" s="12" t="str">
        <f aca="false">IF($C27="","",$I27)</f>
        <v/>
      </c>
      <c r="C27" s="10" t="str">
        <f aca="false">IFERROR(INDEX(06_重複排除後!$A:$A,MATCH($H27&amp;"-"&amp;$I27,06_重複排除後!$L:$L,0)),"")</f>
        <v/>
      </c>
      <c r="D27" s="10" t="str">
        <f aca="false">IF($C27="","",VLOOKUP($C27,06_重複排除後!$A:$B,2,0))</f>
        <v/>
      </c>
      <c r="E27" s="12" t="str">
        <f aca="false">IF($C27="","",VLOOKUP($C27,06_重複排除後!$A:$C,3,0))</f>
        <v/>
      </c>
      <c r="F27" s="12" t="str">
        <f aca="false">IF($C27="","",VLOOKUP($C27,06_重複排除後!$A:$E,5,0))</f>
        <v/>
      </c>
      <c r="G27" s="12" t="str">
        <f aca="false">IF($C27="","",VLOOKUP($C27,06_重複排除後!$A:$I,9,0))</f>
        <v/>
      </c>
      <c r="H27" s="11" t="s">
        <v>791</v>
      </c>
      <c r="I27" s="10" t="n">
        <v>26</v>
      </c>
    </row>
    <row r="28" customFormat="false" ht="15" hidden="false" customHeight="false" outlineLevel="0" collapsed="false">
      <c r="A28" s="12" t="str">
        <f aca="false">IF($C28="","",$H28)</f>
        <v/>
      </c>
      <c r="B28" s="12" t="str">
        <f aca="false">IF($C28="","",$I28)</f>
        <v/>
      </c>
      <c r="C28" s="10" t="str">
        <f aca="false">IFERROR(INDEX(06_重複排除後!$A:$A,MATCH($H28&amp;"-"&amp;$I28,06_重複排除後!$L:$L,0)),"")</f>
        <v/>
      </c>
      <c r="D28" s="10" t="str">
        <f aca="false">IF($C28="","",VLOOKUP($C28,06_重複排除後!$A:$B,2,0))</f>
        <v/>
      </c>
      <c r="E28" s="12" t="str">
        <f aca="false">IF($C28="","",VLOOKUP($C28,06_重複排除後!$A:$C,3,0))</f>
        <v/>
      </c>
      <c r="F28" s="12" t="str">
        <f aca="false">IF($C28="","",VLOOKUP($C28,06_重複排除後!$A:$E,5,0))</f>
        <v/>
      </c>
      <c r="G28" s="12" t="str">
        <f aca="false">IF($C28="","",VLOOKUP($C28,06_重複排除後!$A:$I,9,0))</f>
        <v/>
      </c>
      <c r="H28" s="11" t="s">
        <v>791</v>
      </c>
      <c r="I28" s="10" t="n">
        <v>27</v>
      </c>
    </row>
    <row r="29" customFormat="false" ht="15" hidden="false" customHeight="false" outlineLevel="0" collapsed="false">
      <c r="A29" s="12" t="str">
        <f aca="false">IF($C29="","",$H29)</f>
        <v/>
      </c>
      <c r="B29" s="12" t="str">
        <f aca="false">IF($C29="","",$I29)</f>
        <v/>
      </c>
      <c r="C29" s="10" t="str">
        <f aca="false">IFERROR(INDEX(06_重複排除後!$A:$A,MATCH($H29&amp;"-"&amp;$I29,06_重複排除後!$L:$L,0)),"")</f>
        <v/>
      </c>
      <c r="D29" s="10" t="str">
        <f aca="false">IF($C29="","",VLOOKUP($C29,06_重複排除後!$A:$B,2,0))</f>
        <v/>
      </c>
      <c r="E29" s="12" t="str">
        <f aca="false">IF($C29="","",VLOOKUP($C29,06_重複排除後!$A:$C,3,0))</f>
        <v/>
      </c>
      <c r="F29" s="12" t="str">
        <f aca="false">IF($C29="","",VLOOKUP($C29,06_重複排除後!$A:$E,5,0))</f>
        <v/>
      </c>
      <c r="G29" s="12" t="str">
        <f aca="false">IF($C29="","",VLOOKUP($C29,06_重複排除後!$A:$I,9,0))</f>
        <v/>
      </c>
      <c r="H29" s="11" t="s">
        <v>791</v>
      </c>
      <c r="I29" s="10" t="n">
        <v>28</v>
      </c>
    </row>
    <row r="30" customFormat="false" ht="15" hidden="false" customHeight="false" outlineLevel="0" collapsed="false">
      <c r="A30" s="12" t="str">
        <f aca="false">IF($C30="","",$H30)</f>
        <v/>
      </c>
      <c r="B30" s="12" t="str">
        <f aca="false">IF($C30="","",$I30)</f>
        <v/>
      </c>
      <c r="C30" s="10" t="str">
        <f aca="false">IFERROR(INDEX(06_重複排除後!$A:$A,MATCH($H30&amp;"-"&amp;$I30,06_重複排除後!$L:$L,0)),"")</f>
        <v/>
      </c>
      <c r="D30" s="10" t="str">
        <f aca="false">IF($C30="","",VLOOKUP($C30,06_重複排除後!$A:$B,2,0))</f>
        <v/>
      </c>
      <c r="E30" s="12" t="str">
        <f aca="false">IF($C30="","",VLOOKUP($C30,06_重複排除後!$A:$C,3,0))</f>
        <v/>
      </c>
      <c r="F30" s="12" t="str">
        <f aca="false">IF($C30="","",VLOOKUP($C30,06_重複排除後!$A:$E,5,0))</f>
        <v/>
      </c>
      <c r="G30" s="12" t="str">
        <f aca="false">IF($C30="","",VLOOKUP($C30,06_重複排除後!$A:$I,9,0))</f>
        <v/>
      </c>
      <c r="H30" s="11" t="s">
        <v>791</v>
      </c>
      <c r="I30" s="10" t="n">
        <v>29</v>
      </c>
    </row>
    <row r="31" customFormat="false" ht="15" hidden="false" customHeight="false" outlineLevel="0" collapsed="false">
      <c r="A31" s="12" t="str">
        <f aca="false">IF($C31="","",$H31)</f>
        <v/>
      </c>
      <c r="B31" s="12" t="str">
        <f aca="false">IF($C31="","",$I31)</f>
        <v/>
      </c>
      <c r="C31" s="10" t="str">
        <f aca="false">IFERROR(INDEX(06_重複排除後!$A:$A,MATCH($H31&amp;"-"&amp;$I31,06_重複排除後!$L:$L,0)),"")</f>
        <v/>
      </c>
      <c r="D31" s="10" t="str">
        <f aca="false">IF($C31="","",VLOOKUP($C31,06_重複排除後!$A:$B,2,0))</f>
        <v/>
      </c>
      <c r="E31" s="12" t="str">
        <f aca="false">IF($C31="","",VLOOKUP($C31,06_重複排除後!$A:$C,3,0))</f>
        <v/>
      </c>
      <c r="F31" s="12" t="str">
        <f aca="false">IF($C31="","",VLOOKUP($C31,06_重複排除後!$A:$E,5,0))</f>
        <v/>
      </c>
      <c r="G31" s="12" t="str">
        <f aca="false">IF($C31="","",VLOOKUP($C31,06_重複排除後!$A:$I,9,0))</f>
        <v/>
      </c>
      <c r="H31" s="11" t="s">
        <v>791</v>
      </c>
      <c r="I31" s="10" t="n">
        <v>30</v>
      </c>
    </row>
    <row r="32" customFormat="false" ht="15" hidden="false" customHeight="false" outlineLevel="0" collapsed="false">
      <c r="A32" s="12" t="str">
        <f aca="false">IF($C32="","",$H32)</f>
        <v/>
      </c>
      <c r="B32" s="12" t="str">
        <f aca="false">IF($C32="","",$I32)</f>
        <v/>
      </c>
      <c r="C32" s="10" t="str">
        <f aca="false">IFERROR(INDEX(06_重複排除後!$A:$A,MATCH($H32&amp;"-"&amp;$I32,06_重複排除後!$L:$L,0)),"")</f>
        <v/>
      </c>
      <c r="D32" s="10" t="str">
        <f aca="false">IF($C32="","",VLOOKUP($C32,06_重複排除後!$A:$B,2,0))</f>
        <v/>
      </c>
      <c r="E32" s="12" t="str">
        <f aca="false">IF($C32="","",VLOOKUP($C32,06_重複排除後!$A:$C,3,0))</f>
        <v/>
      </c>
      <c r="F32" s="12" t="str">
        <f aca="false">IF($C32="","",VLOOKUP($C32,06_重複排除後!$A:$E,5,0))</f>
        <v/>
      </c>
      <c r="G32" s="12" t="str">
        <f aca="false">IF($C32="","",VLOOKUP($C32,06_重複排除後!$A:$I,9,0))</f>
        <v/>
      </c>
      <c r="H32" s="11" t="s">
        <v>791</v>
      </c>
      <c r="I32" s="10" t="n">
        <v>31</v>
      </c>
    </row>
    <row r="33" customFormat="false" ht="15" hidden="false" customHeight="false" outlineLevel="0" collapsed="false">
      <c r="A33" s="12" t="str">
        <f aca="false">IF($C33="","",$H33)</f>
        <v/>
      </c>
      <c r="B33" s="12" t="str">
        <f aca="false">IF($C33="","",$I33)</f>
        <v/>
      </c>
      <c r="C33" s="10" t="str">
        <f aca="false">IFERROR(INDEX(06_重複排除後!$A:$A,MATCH($H33&amp;"-"&amp;$I33,06_重複排除後!$L:$L,0)),"")</f>
        <v/>
      </c>
      <c r="D33" s="10" t="str">
        <f aca="false">IF($C33="","",VLOOKUP($C33,06_重複排除後!$A:$B,2,0))</f>
        <v/>
      </c>
      <c r="E33" s="12" t="str">
        <f aca="false">IF($C33="","",VLOOKUP($C33,06_重複排除後!$A:$C,3,0))</f>
        <v/>
      </c>
      <c r="F33" s="12" t="str">
        <f aca="false">IF($C33="","",VLOOKUP($C33,06_重複排除後!$A:$E,5,0))</f>
        <v/>
      </c>
      <c r="G33" s="12" t="str">
        <f aca="false">IF($C33="","",VLOOKUP($C33,06_重複排除後!$A:$I,9,0))</f>
        <v/>
      </c>
      <c r="H33" s="11" t="s">
        <v>791</v>
      </c>
      <c r="I33" s="10" t="n">
        <v>32</v>
      </c>
    </row>
    <row r="34" customFormat="false" ht="15" hidden="false" customHeight="false" outlineLevel="0" collapsed="false">
      <c r="A34" s="12" t="str">
        <f aca="false">IF($C34="","",$H34)</f>
        <v/>
      </c>
      <c r="B34" s="12" t="str">
        <f aca="false">IF($C34="","",$I34)</f>
        <v/>
      </c>
      <c r="C34" s="10" t="str">
        <f aca="false">IFERROR(INDEX(06_重複排除後!$A:$A,MATCH($H34&amp;"-"&amp;$I34,06_重複排除後!$L:$L,0)),"")</f>
        <v/>
      </c>
      <c r="D34" s="10" t="str">
        <f aca="false">IF($C34="","",VLOOKUP($C34,06_重複排除後!$A:$B,2,0))</f>
        <v/>
      </c>
      <c r="E34" s="12" t="str">
        <f aca="false">IF($C34="","",VLOOKUP($C34,06_重複排除後!$A:$C,3,0))</f>
        <v/>
      </c>
      <c r="F34" s="12" t="str">
        <f aca="false">IF($C34="","",VLOOKUP($C34,06_重複排除後!$A:$E,5,0))</f>
        <v/>
      </c>
      <c r="G34" s="12" t="str">
        <f aca="false">IF($C34="","",VLOOKUP($C34,06_重複排除後!$A:$I,9,0))</f>
        <v/>
      </c>
      <c r="H34" s="11" t="s">
        <v>791</v>
      </c>
      <c r="I34" s="10" t="n">
        <v>33</v>
      </c>
    </row>
    <row r="35" customFormat="false" ht="15" hidden="false" customHeight="false" outlineLevel="0" collapsed="false">
      <c r="A35" s="12" t="str">
        <f aca="false">IF($C35="","",$H35)</f>
        <v/>
      </c>
      <c r="B35" s="12" t="str">
        <f aca="false">IF($C35="","",$I35)</f>
        <v/>
      </c>
      <c r="C35" s="10" t="str">
        <f aca="false">IFERROR(INDEX(06_重複排除後!$A:$A,MATCH($H35&amp;"-"&amp;$I35,06_重複排除後!$L:$L,0)),"")</f>
        <v/>
      </c>
      <c r="D35" s="10" t="str">
        <f aca="false">IF($C35="","",VLOOKUP($C35,06_重複排除後!$A:$B,2,0))</f>
        <v/>
      </c>
      <c r="E35" s="12" t="str">
        <f aca="false">IF($C35="","",VLOOKUP($C35,06_重複排除後!$A:$C,3,0))</f>
        <v/>
      </c>
      <c r="F35" s="12" t="str">
        <f aca="false">IF($C35="","",VLOOKUP($C35,06_重複排除後!$A:$E,5,0))</f>
        <v/>
      </c>
      <c r="G35" s="12" t="str">
        <f aca="false">IF($C35="","",VLOOKUP($C35,06_重複排除後!$A:$I,9,0))</f>
        <v/>
      </c>
      <c r="H35" s="11" t="s">
        <v>791</v>
      </c>
      <c r="I35" s="10" t="n">
        <v>34</v>
      </c>
    </row>
    <row r="36" customFormat="false" ht="15" hidden="false" customHeight="false" outlineLevel="0" collapsed="false">
      <c r="A36" s="12" t="str">
        <f aca="false">IF($C36="","",$H36)</f>
        <v/>
      </c>
      <c r="B36" s="12" t="str">
        <f aca="false">IF($C36="","",$I36)</f>
        <v/>
      </c>
      <c r="C36" s="10" t="str">
        <f aca="false">IFERROR(INDEX(06_重複排除後!$A:$A,MATCH($H36&amp;"-"&amp;$I36,06_重複排除後!$L:$L,0)),"")</f>
        <v/>
      </c>
      <c r="D36" s="10" t="str">
        <f aca="false">IF($C36="","",VLOOKUP($C36,06_重複排除後!$A:$B,2,0))</f>
        <v/>
      </c>
      <c r="E36" s="12" t="str">
        <f aca="false">IF($C36="","",VLOOKUP($C36,06_重複排除後!$A:$C,3,0))</f>
        <v/>
      </c>
      <c r="F36" s="12" t="str">
        <f aca="false">IF($C36="","",VLOOKUP($C36,06_重複排除後!$A:$E,5,0))</f>
        <v/>
      </c>
      <c r="G36" s="12" t="str">
        <f aca="false">IF($C36="","",VLOOKUP($C36,06_重複排除後!$A:$I,9,0))</f>
        <v/>
      </c>
      <c r="H36" s="11" t="s">
        <v>791</v>
      </c>
      <c r="I36" s="10" t="n">
        <v>35</v>
      </c>
    </row>
    <row r="37" customFormat="false" ht="15" hidden="false" customHeight="false" outlineLevel="0" collapsed="false">
      <c r="A37" s="12" t="str">
        <f aca="false">IF($C37="","",$H37)</f>
        <v/>
      </c>
      <c r="B37" s="12" t="str">
        <f aca="false">IF($C37="","",$I37)</f>
        <v/>
      </c>
      <c r="C37" s="10" t="str">
        <f aca="false">IFERROR(INDEX(06_重複排除後!$A:$A,MATCH($H37&amp;"-"&amp;$I37,06_重複排除後!$L:$L,0)),"")</f>
        <v/>
      </c>
      <c r="D37" s="10" t="str">
        <f aca="false">IF($C37="","",VLOOKUP($C37,06_重複排除後!$A:$B,2,0))</f>
        <v/>
      </c>
      <c r="E37" s="12" t="str">
        <f aca="false">IF($C37="","",VLOOKUP($C37,06_重複排除後!$A:$C,3,0))</f>
        <v/>
      </c>
      <c r="F37" s="12" t="str">
        <f aca="false">IF($C37="","",VLOOKUP($C37,06_重複排除後!$A:$E,5,0))</f>
        <v/>
      </c>
      <c r="G37" s="12" t="str">
        <f aca="false">IF($C37="","",VLOOKUP($C37,06_重複排除後!$A:$I,9,0))</f>
        <v/>
      </c>
      <c r="H37" s="11" t="s">
        <v>791</v>
      </c>
      <c r="I37" s="10" t="n">
        <v>36</v>
      </c>
    </row>
    <row r="38" customFormat="false" ht="15" hidden="false" customHeight="false" outlineLevel="0" collapsed="false">
      <c r="A38" s="12" t="str">
        <f aca="false">IF($C38="","",$H38)</f>
        <v/>
      </c>
      <c r="B38" s="12" t="str">
        <f aca="false">IF($C38="","",$I38)</f>
        <v/>
      </c>
      <c r="C38" s="10" t="str">
        <f aca="false">IFERROR(INDEX(06_重複排除後!$A:$A,MATCH($H38&amp;"-"&amp;$I38,06_重複排除後!$L:$L,0)),"")</f>
        <v/>
      </c>
      <c r="D38" s="10" t="str">
        <f aca="false">IF($C38="","",VLOOKUP($C38,06_重複排除後!$A:$B,2,0))</f>
        <v/>
      </c>
      <c r="E38" s="12" t="str">
        <f aca="false">IF($C38="","",VLOOKUP($C38,06_重複排除後!$A:$C,3,0))</f>
        <v/>
      </c>
      <c r="F38" s="12" t="str">
        <f aca="false">IF($C38="","",VLOOKUP($C38,06_重複排除後!$A:$E,5,0))</f>
        <v/>
      </c>
      <c r="G38" s="12" t="str">
        <f aca="false">IF($C38="","",VLOOKUP($C38,06_重複排除後!$A:$I,9,0))</f>
        <v/>
      </c>
      <c r="H38" s="11" t="s">
        <v>791</v>
      </c>
      <c r="I38" s="10" t="n">
        <v>37</v>
      </c>
    </row>
    <row r="39" customFormat="false" ht="15" hidden="false" customHeight="false" outlineLevel="0" collapsed="false">
      <c r="A39" s="12" t="str">
        <f aca="false">IF($C39="","",$H39)</f>
        <v/>
      </c>
      <c r="B39" s="12" t="str">
        <f aca="false">IF($C39="","",$I39)</f>
        <v/>
      </c>
      <c r="C39" s="10" t="str">
        <f aca="false">IFERROR(INDEX(06_重複排除後!$A:$A,MATCH($H39&amp;"-"&amp;$I39,06_重複排除後!$L:$L,0)),"")</f>
        <v/>
      </c>
      <c r="D39" s="10" t="str">
        <f aca="false">IF($C39="","",VLOOKUP($C39,06_重複排除後!$A:$B,2,0))</f>
        <v/>
      </c>
      <c r="E39" s="12" t="str">
        <f aca="false">IF($C39="","",VLOOKUP($C39,06_重複排除後!$A:$C,3,0))</f>
        <v/>
      </c>
      <c r="F39" s="12" t="str">
        <f aca="false">IF($C39="","",VLOOKUP($C39,06_重複排除後!$A:$E,5,0))</f>
        <v/>
      </c>
      <c r="G39" s="12" t="str">
        <f aca="false">IF($C39="","",VLOOKUP($C39,06_重複排除後!$A:$I,9,0))</f>
        <v/>
      </c>
      <c r="H39" s="11" t="s">
        <v>791</v>
      </c>
      <c r="I39" s="10" t="n">
        <v>38</v>
      </c>
    </row>
    <row r="40" customFormat="false" ht="15" hidden="false" customHeight="false" outlineLevel="0" collapsed="false">
      <c r="A40" s="12" t="str">
        <f aca="false">IF($C40="","",$H40)</f>
        <v/>
      </c>
      <c r="B40" s="12" t="str">
        <f aca="false">IF($C40="","",$I40)</f>
        <v/>
      </c>
      <c r="C40" s="10" t="str">
        <f aca="false">IFERROR(INDEX(06_重複排除後!$A:$A,MATCH($H40&amp;"-"&amp;$I40,06_重複排除後!$L:$L,0)),"")</f>
        <v/>
      </c>
      <c r="D40" s="10" t="str">
        <f aca="false">IF($C40="","",VLOOKUP($C40,06_重複排除後!$A:$B,2,0))</f>
        <v/>
      </c>
      <c r="E40" s="12" t="str">
        <f aca="false">IF($C40="","",VLOOKUP($C40,06_重複排除後!$A:$C,3,0))</f>
        <v/>
      </c>
      <c r="F40" s="12" t="str">
        <f aca="false">IF($C40="","",VLOOKUP($C40,06_重複排除後!$A:$E,5,0))</f>
        <v/>
      </c>
      <c r="G40" s="12" t="str">
        <f aca="false">IF($C40="","",VLOOKUP($C40,06_重複排除後!$A:$I,9,0))</f>
        <v/>
      </c>
      <c r="H40" s="11" t="s">
        <v>791</v>
      </c>
      <c r="I40" s="10" t="n">
        <v>39</v>
      </c>
    </row>
    <row r="41" customFormat="false" ht="15" hidden="false" customHeight="false" outlineLevel="0" collapsed="false">
      <c r="A41" s="12" t="str">
        <f aca="false">IF($C41="","",$H41)</f>
        <v/>
      </c>
      <c r="B41" s="12" t="str">
        <f aca="false">IF($C41="","",$I41)</f>
        <v/>
      </c>
      <c r="C41" s="10" t="str">
        <f aca="false">IFERROR(INDEX(06_重複排除後!$A:$A,MATCH($H41&amp;"-"&amp;$I41,06_重複排除後!$L:$L,0)),"")</f>
        <v/>
      </c>
      <c r="D41" s="10" t="str">
        <f aca="false">IF($C41="","",VLOOKUP($C41,06_重複排除後!$A:$B,2,0))</f>
        <v/>
      </c>
      <c r="E41" s="12" t="str">
        <f aca="false">IF($C41="","",VLOOKUP($C41,06_重複排除後!$A:$C,3,0))</f>
        <v/>
      </c>
      <c r="F41" s="12" t="str">
        <f aca="false">IF($C41="","",VLOOKUP($C41,06_重複排除後!$A:$E,5,0))</f>
        <v/>
      </c>
      <c r="G41" s="12" t="str">
        <f aca="false">IF($C41="","",VLOOKUP($C41,06_重複排除後!$A:$I,9,0))</f>
        <v/>
      </c>
      <c r="H41" s="11" t="s">
        <v>791</v>
      </c>
      <c r="I41" s="10" t="n">
        <v>40</v>
      </c>
    </row>
    <row r="42" customFormat="false" ht="15" hidden="false" customHeight="false" outlineLevel="0" collapsed="false">
      <c r="A42" s="12" t="str">
        <f aca="false">IF($C42="","",$H42)</f>
        <v/>
      </c>
      <c r="B42" s="12" t="str">
        <f aca="false">IF($C42="","",$I42)</f>
        <v/>
      </c>
      <c r="C42" s="10" t="str">
        <f aca="false">IFERROR(INDEX(06_重複排除後!$A:$A,MATCH($H42&amp;"-"&amp;$I42,06_重複排除後!$L:$L,0)),"")</f>
        <v/>
      </c>
      <c r="D42" s="10" t="str">
        <f aca="false">IF($C42="","",VLOOKUP($C42,06_重複排除後!$A:$B,2,0))</f>
        <v/>
      </c>
      <c r="E42" s="12" t="str">
        <f aca="false">IF($C42="","",VLOOKUP($C42,06_重複排除後!$A:$C,3,0))</f>
        <v/>
      </c>
      <c r="F42" s="12" t="str">
        <f aca="false">IF($C42="","",VLOOKUP($C42,06_重複排除後!$A:$E,5,0))</f>
        <v/>
      </c>
      <c r="G42" s="12" t="str">
        <f aca="false">IF($C42="","",VLOOKUP($C42,06_重複排除後!$A:$I,9,0))</f>
        <v/>
      </c>
      <c r="H42" s="11" t="s">
        <v>791</v>
      </c>
      <c r="I42" s="10" t="n">
        <v>41</v>
      </c>
    </row>
    <row r="43" customFormat="false" ht="15" hidden="false" customHeight="false" outlineLevel="0" collapsed="false">
      <c r="A43" s="12" t="str">
        <f aca="false">IF($C43="","",$H43)</f>
        <v/>
      </c>
      <c r="B43" s="12" t="str">
        <f aca="false">IF($C43="","",$I43)</f>
        <v/>
      </c>
      <c r="C43" s="10" t="str">
        <f aca="false">IFERROR(INDEX(06_重複排除後!$A:$A,MATCH($H43&amp;"-"&amp;$I43,06_重複排除後!$L:$L,0)),"")</f>
        <v/>
      </c>
      <c r="D43" s="10" t="str">
        <f aca="false">IF($C43="","",VLOOKUP($C43,06_重複排除後!$A:$B,2,0))</f>
        <v/>
      </c>
      <c r="E43" s="12" t="str">
        <f aca="false">IF($C43="","",VLOOKUP($C43,06_重複排除後!$A:$C,3,0))</f>
        <v/>
      </c>
      <c r="F43" s="12" t="str">
        <f aca="false">IF($C43="","",VLOOKUP($C43,06_重複排除後!$A:$E,5,0))</f>
        <v/>
      </c>
      <c r="G43" s="12" t="str">
        <f aca="false">IF($C43="","",VLOOKUP($C43,06_重複排除後!$A:$I,9,0))</f>
        <v/>
      </c>
      <c r="H43" s="11" t="s">
        <v>791</v>
      </c>
      <c r="I43" s="10" t="n">
        <v>42</v>
      </c>
    </row>
    <row r="44" customFormat="false" ht="15" hidden="false" customHeight="false" outlineLevel="0" collapsed="false">
      <c r="A44" s="12" t="str">
        <f aca="false">IF($C44="","",$H44)</f>
        <v/>
      </c>
      <c r="B44" s="12" t="str">
        <f aca="false">IF($C44="","",$I44)</f>
        <v/>
      </c>
      <c r="C44" s="10" t="str">
        <f aca="false">IFERROR(INDEX(06_重複排除後!$A:$A,MATCH($H44&amp;"-"&amp;$I44,06_重複排除後!$L:$L,0)),"")</f>
        <v/>
      </c>
      <c r="D44" s="10" t="str">
        <f aca="false">IF($C44="","",VLOOKUP($C44,06_重複排除後!$A:$B,2,0))</f>
        <v/>
      </c>
      <c r="E44" s="12" t="str">
        <f aca="false">IF($C44="","",VLOOKUP($C44,06_重複排除後!$A:$C,3,0))</f>
        <v/>
      </c>
      <c r="F44" s="12" t="str">
        <f aca="false">IF($C44="","",VLOOKUP($C44,06_重複排除後!$A:$E,5,0))</f>
        <v/>
      </c>
      <c r="G44" s="12" t="str">
        <f aca="false">IF($C44="","",VLOOKUP($C44,06_重複排除後!$A:$I,9,0))</f>
        <v/>
      </c>
      <c r="H44" s="11" t="s">
        <v>791</v>
      </c>
      <c r="I44" s="10" t="n">
        <v>43</v>
      </c>
    </row>
    <row r="45" customFormat="false" ht="15" hidden="false" customHeight="false" outlineLevel="0" collapsed="false">
      <c r="A45" s="12" t="str">
        <f aca="false">IF($C45="","",$H45)</f>
        <v/>
      </c>
      <c r="B45" s="12" t="str">
        <f aca="false">IF($C45="","",$I45)</f>
        <v/>
      </c>
      <c r="C45" s="10" t="str">
        <f aca="false">IFERROR(INDEX(06_重複排除後!$A:$A,MATCH($H45&amp;"-"&amp;$I45,06_重複排除後!$L:$L,0)),"")</f>
        <v/>
      </c>
      <c r="D45" s="10" t="str">
        <f aca="false">IF($C45="","",VLOOKUP($C45,06_重複排除後!$A:$B,2,0))</f>
        <v/>
      </c>
      <c r="E45" s="12" t="str">
        <f aca="false">IF($C45="","",VLOOKUP($C45,06_重複排除後!$A:$C,3,0))</f>
        <v/>
      </c>
      <c r="F45" s="12" t="str">
        <f aca="false">IF($C45="","",VLOOKUP($C45,06_重複排除後!$A:$E,5,0))</f>
        <v/>
      </c>
      <c r="G45" s="12" t="str">
        <f aca="false">IF($C45="","",VLOOKUP($C45,06_重複排除後!$A:$I,9,0))</f>
        <v/>
      </c>
      <c r="H45" s="11" t="s">
        <v>791</v>
      </c>
      <c r="I45" s="10" t="n">
        <v>44</v>
      </c>
    </row>
    <row r="46" customFormat="false" ht="15" hidden="false" customHeight="false" outlineLevel="0" collapsed="false">
      <c r="A46" s="12" t="str">
        <f aca="false">IF($C46="","",$H46)</f>
        <v/>
      </c>
      <c r="B46" s="12" t="str">
        <f aca="false">IF($C46="","",$I46)</f>
        <v/>
      </c>
      <c r="C46" s="10" t="str">
        <f aca="false">IFERROR(INDEX(06_重複排除後!$A:$A,MATCH($H46&amp;"-"&amp;$I46,06_重複排除後!$L:$L,0)),"")</f>
        <v/>
      </c>
      <c r="D46" s="10" t="str">
        <f aca="false">IF($C46="","",VLOOKUP($C46,06_重複排除後!$A:$B,2,0))</f>
        <v/>
      </c>
      <c r="E46" s="12" t="str">
        <f aca="false">IF($C46="","",VLOOKUP($C46,06_重複排除後!$A:$C,3,0))</f>
        <v/>
      </c>
      <c r="F46" s="12" t="str">
        <f aca="false">IF($C46="","",VLOOKUP($C46,06_重複排除後!$A:$E,5,0))</f>
        <v/>
      </c>
      <c r="G46" s="12" t="str">
        <f aca="false">IF($C46="","",VLOOKUP($C46,06_重複排除後!$A:$I,9,0))</f>
        <v/>
      </c>
      <c r="H46" s="11" t="s">
        <v>791</v>
      </c>
      <c r="I46" s="10" t="n">
        <v>45</v>
      </c>
    </row>
    <row r="47" customFormat="false" ht="15" hidden="false" customHeight="false" outlineLevel="0" collapsed="false">
      <c r="A47" s="12" t="str">
        <f aca="false">IF($C47="","",$H47)</f>
        <v/>
      </c>
      <c r="B47" s="12" t="str">
        <f aca="false">IF($C47="","",$I47)</f>
        <v/>
      </c>
      <c r="C47" s="10" t="str">
        <f aca="false">IFERROR(INDEX(06_重複排除後!$A:$A,MATCH($H47&amp;"-"&amp;$I47,06_重複排除後!$L:$L,0)),"")</f>
        <v/>
      </c>
      <c r="D47" s="10" t="str">
        <f aca="false">IF($C47="","",VLOOKUP($C47,06_重複排除後!$A:$B,2,0))</f>
        <v/>
      </c>
      <c r="E47" s="12" t="str">
        <f aca="false">IF($C47="","",VLOOKUP($C47,06_重複排除後!$A:$C,3,0))</f>
        <v/>
      </c>
      <c r="F47" s="12" t="str">
        <f aca="false">IF($C47="","",VLOOKUP($C47,06_重複排除後!$A:$E,5,0))</f>
        <v/>
      </c>
      <c r="G47" s="12" t="str">
        <f aca="false">IF($C47="","",VLOOKUP($C47,06_重複排除後!$A:$I,9,0))</f>
        <v/>
      </c>
      <c r="H47" s="11" t="s">
        <v>791</v>
      </c>
      <c r="I47" s="10" t="n">
        <v>46</v>
      </c>
    </row>
    <row r="48" customFormat="false" ht="15" hidden="false" customHeight="false" outlineLevel="0" collapsed="false">
      <c r="A48" s="12" t="str">
        <f aca="false">IF($C48="","",$H48)</f>
        <v/>
      </c>
      <c r="B48" s="12" t="str">
        <f aca="false">IF($C48="","",$I48)</f>
        <v/>
      </c>
      <c r="C48" s="10" t="str">
        <f aca="false">IFERROR(INDEX(06_重複排除後!$A:$A,MATCH($H48&amp;"-"&amp;$I48,06_重複排除後!$L:$L,0)),"")</f>
        <v/>
      </c>
      <c r="D48" s="10" t="str">
        <f aca="false">IF($C48="","",VLOOKUP($C48,06_重複排除後!$A:$B,2,0))</f>
        <v/>
      </c>
      <c r="E48" s="12" t="str">
        <f aca="false">IF($C48="","",VLOOKUP($C48,06_重複排除後!$A:$C,3,0))</f>
        <v/>
      </c>
      <c r="F48" s="12" t="str">
        <f aca="false">IF($C48="","",VLOOKUP($C48,06_重複排除後!$A:$E,5,0))</f>
        <v/>
      </c>
      <c r="G48" s="12" t="str">
        <f aca="false">IF($C48="","",VLOOKUP($C48,06_重複排除後!$A:$I,9,0))</f>
        <v/>
      </c>
      <c r="H48" s="11" t="s">
        <v>791</v>
      </c>
      <c r="I48" s="10" t="n">
        <v>47</v>
      </c>
    </row>
    <row r="49" customFormat="false" ht="15" hidden="false" customHeight="false" outlineLevel="0" collapsed="false">
      <c r="A49" s="12" t="str">
        <f aca="false">IF($C49="","",$H49)</f>
        <v/>
      </c>
      <c r="B49" s="12" t="str">
        <f aca="false">IF($C49="","",$I49)</f>
        <v/>
      </c>
      <c r="C49" s="10" t="str">
        <f aca="false">IFERROR(INDEX(06_重複排除後!$A:$A,MATCH($H49&amp;"-"&amp;$I49,06_重複排除後!$L:$L,0)),"")</f>
        <v/>
      </c>
      <c r="D49" s="10" t="str">
        <f aca="false">IF($C49="","",VLOOKUP($C49,06_重複排除後!$A:$B,2,0))</f>
        <v/>
      </c>
      <c r="E49" s="12" t="str">
        <f aca="false">IF($C49="","",VLOOKUP($C49,06_重複排除後!$A:$C,3,0))</f>
        <v/>
      </c>
      <c r="F49" s="12" t="str">
        <f aca="false">IF($C49="","",VLOOKUP($C49,06_重複排除後!$A:$E,5,0))</f>
        <v/>
      </c>
      <c r="G49" s="12" t="str">
        <f aca="false">IF($C49="","",VLOOKUP($C49,06_重複排除後!$A:$I,9,0))</f>
        <v/>
      </c>
      <c r="H49" s="11" t="s">
        <v>791</v>
      </c>
      <c r="I49" s="10" t="n">
        <v>48</v>
      </c>
    </row>
    <row r="50" customFormat="false" ht="15" hidden="false" customHeight="false" outlineLevel="0" collapsed="false">
      <c r="A50" s="12" t="str">
        <f aca="false">IF($C50="","",$H50)</f>
        <v/>
      </c>
      <c r="B50" s="12" t="str">
        <f aca="false">IF($C50="","",$I50)</f>
        <v/>
      </c>
      <c r="C50" s="10" t="str">
        <f aca="false">IFERROR(INDEX(06_重複排除後!$A:$A,MATCH($H50&amp;"-"&amp;$I50,06_重複排除後!$L:$L,0)),"")</f>
        <v/>
      </c>
      <c r="D50" s="10" t="str">
        <f aca="false">IF($C50="","",VLOOKUP($C50,06_重複排除後!$A:$B,2,0))</f>
        <v/>
      </c>
      <c r="E50" s="12" t="str">
        <f aca="false">IF($C50="","",VLOOKUP($C50,06_重複排除後!$A:$C,3,0))</f>
        <v/>
      </c>
      <c r="F50" s="12" t="str">
        <f aca="false">IF($C50="","",VLOOKUP($C50,06_重複排除後!$A:$E,5,0))</f>
        <v/>
      </c>
      <c r="G50" s="12" t="str">
        <f aca="false">IF($C50="","",VLOOKUP($C50,06_重複排除後!$A:$I,9,0))</f>
        <v/>
      </c>
      <c r="H50" s="11" t="s">
        <v>791</v>
      </c>
      <c r="I50" s="10" t="n">
        <v>49</v>
      </c>
    </row>
    <row r="51" customFormat="false" ht="15" hidden="false" customHeight="false" outlineLevel="0" collapsed="false">
      <c r="A51" s="12" t="str">
        <f aca="false">IF($C51="","",$H51)</f>
        <v/>
      </c>
      <c r="B51" s="12" t="str">
        <f aca="false">IF($C51="","",$I51)</f>
        <v/>
      </c>
      <c r="C51" s="10" t="str">
        <f aca="false">IFERROR(INDEX(06_重複排除後!$A:$A,MATCH($H51&amp;"-"&amp;$I51,06_重複排除後!$L:$L,0)),"")</f>
        <v/>
      </c>
      <c r="D51" s="10" t="str">
        <f aca="false">IF($C51="","",VLOOKUP($C51,06_重複排除後!$A:$B,2,0))</f>
        <v/>
      </c>
      <c r="E51" s="12" t="str">
        <f aca="false">IF($C51="","",VLOOKUP($C51,06_重複排除後!$A:$C,3,0))</f>
        <v/>
      </c>
      <c r="F51" s="12" t="str">
        <f aca="false">IF($C51="","",VLOOKUP($C51,06_重複排除後!$A:$E,5,0))</f>
        <v/>
      </c>
      <c r="G51" s="12" t="str">
        <f aca="false">IF($C51="","",VLOOKUP($C51,06_重複排除後!$A:$I,9,0))</f>
        <v/>
      </c>
      <c r="H51" s="11" t="s">
        <v>791</v>
      </c>
      <c r="I51" s="10" t="n">
        <v>50</v>
      </c>
    </row>
    <row r="52" customFormat="false" ht="15" hidden="false" customHeight="false" outlineLevel="0" collapsed="false">
      <c r="A52" s="12" t="str">
        <f aca="false">IF($C52="","",$H52)</f>
        <v/>
      </c>
      <c r="B52" s="12" t="str">
        <f aca="false">IF($C52="","",$I52)</f>
        <v/>
      </c>
      <c r="C52" s="10" t="str">
        <f aca="false">IFERROR(INDEX(06_重複排除後!$A:$A,MATCH($H52&amp;"-"&amp;$I52,06_重複排除後!$L:$L,0)),"")</f>
        <v/>
      </c>
      <c r="D52" s="10" t="str">
        <f aca="false">IF($C52="","",VLOOKUP($C52,06_重複排除後!$A:$B,2,0))</f>
        <v/>
      </c>
      <c r="E52" s="12" t="str">
        <f aca="false">IF($C52="","",VLOOKUP($C52,06_重複排除後!$A:$C,3,0))</f>
        <v/>
      </c>
      <c r="F52" s="12" t="str">
        <f aca="false">IF($C52="","",VLOOKUP($C52,06_重複排除後!$A:$E,5,0))</f>
        <v/>
      </c>
      <c r="G52" s="12" t="str">
        <f aca="false">IF($C52="","",VLOOKUP($C52,06_重複排除後!$A:$I,9,0))</f>
        <v/>
      </c>
      <c r="H52" s="11" t="s">
        <v>791</v>
      </c>
      <c r="I52" s="10" t="n">
        <v>51</v>
      </c>
    </row>
    <row r="53" customFormat="false" ht="15" hidden="false" customHeight="false" outlineLevel="0" collapsed="false">
      <c r="A53" s="12" t="str">
        <f aca="false">IF($C53="","",$H53)</f>
        <v/>
      </c>
      <c r="B53" s="12" t="str">
        <f aca="false">IF($C53="","",$I53)</f>
        <v/>
      </c>
      <c r="C53" s="10" t="str">
        <f aca="false">IFERROR(INDEX(06_重複排除後!$A:$A,MATCH($H53&amp;"-"&amp;$I53,06_重複排除後!$L:$L,0)),"")</f>
        <v/>
      </c>
      <c r="D53" s="10" t="str">
        <f aca="false">IF($C53="","",VLOOKUP($C53,06_重複排除後!$A:$B,2,0))</f>
        <v/>
      </c>
      <c r="E53" s="12" t="str">
        <f aca="false">IF($C53="","",VLOOKUP($C53,06_重複排除後!$A:$C,3,0))</f>
        <v/>
      </c>
      <c r="F53" s="12" t="str">
        <f aca="false">IF($C53="","",VLOOKUP($C53,06_重複排除後!$A:$E,5,0))</f>
        <v/>
      </c>
      <c r="G53" s="12" t="str">
        <f aca="false">IF($C53="","",VLOOKUP($C53,06_重複排除後!$A:$I,9,0))</f>
        <v/>
      </c>
      <c r="H53" s="11" t="s">
        <v>791</v>
      </c>
      <c r="I53" s="10" t="n">
        <v>52</v>
      </c>
    </row>
    <row r="54" customFormat="false" ht="15" hidden="false" customHeight="false" outlineLevel="0" collapsed="false">
      <c r="A54" s="12" t="str">
        <f aca="false">IF($C54="","",$H54)</f>
        <v/>
      </c>
      <c r="B54" s="12" t="str">
        <f aca="false">IF($C54="","",$I54)</f>
        <v/>
      </c>
      <c r="C54" s="10" t="str">
        <f aca="false">IFERROR(INDEX(06_重複排除後!$A:$A,MATCH($H54&amp;"-"&amp;$I54,06_重複排除後!$L:$L,0)),"")</f>
        <v/>
      </c>
      <c r="D54" s="10" t="str">
        <f aca="false">IF($C54="","",VLOOKUP($C54,06_重複排除後!$A:$B,2,0))</f>
        <v/>
      </c>
      <c r="E54" s="12" t="str">
        <f aca="false">IF($C54="","",VLOOKUP($C54,06_重複排除後!$A:$C,3,0))</f>
        <v/>
      </c>
      <c r="F54" s="12" t="str">
        <f aca="false">IF($C54="","",VLOOKUP($C54,06_重複排除後!$A:$E,5,0))</f>
        <v/>
      </c>
      <c r="G54" s="12" t="str">
        <f aca="false">IF($C54="","",VLOOKUP($C54,06_重複排除後!$A:$I,9,0))</f>
        <v/>
      </c>
      <c r="H54" s="11" t="s">
        <v>791</v>
      </c>
      <c r="I54" s="10" t="n">
        <v>53</v>
      </c>
    </row>
    <row r="55" customFormat="false" ht="15" hidden="false" customHeight="false" outlineLevel="0" collapsed="false">
      <c r="A55" s="12" t="str">
        <f aca="false">IF($C55="","",$H55)</f>
        <v/>
      </c>
      <c r="B55" s="12" t="str">
        <f aca="false">IF($C55="","",$I55)</f>
        <v/>
      </c>
      <c r="C55" s="10" t="str">
        <f aca="false">IFERROR(INDEX(06_重複排除後!$A:$A,MATCH($H55&amp;"-"&amp;$I55,06_重複排除後!$L:$L,0)),"")</f>
        <v/>
      </c>
      <c r="D55" s="10" t="str">
        <f aca="false">IF($C55="","",VLOOKUP($C55,06_重複排除後!$A:$B,2,0))</f>
        <v/>
      </c>
      <c r="E55" s="12" t="str">
        <f aca="false">IF($C55="","",VLOOKUP($C55,06_重複排除後!$A:$C,3,0))</f>
        <v/>
      </c>
      <c r="F55" s="12" t="str">
        <f aca="false">IF($C55="","",VLOOKUP($C55,06_重複排除後!$A:$E,5,0))</f>
        <v/>
      </c>
      <c r="G55" s="12" t="str">
        <f aca="false">IF($C55="","",VLOOKUP($C55,06_重複排除後!$A:$I,9,0))</f>
        <v/>
      </c>
      <c r="H55" s="11" t="s">
        <v>791</v>
      </c>
      <c r="I55" s="10" t="n">
        <v>54</v>
      </c>
    </row>
    <row r="56" customFormat="false" ht="15" hidden="false" customHeight="false" outlineLevel="0" collapsed="false">
      <c r="A56" s="12" t="str">
        <f aca="false">IF($C56="","",$H56)</f>
        <v/>
      </c>
      <c r="B56" s="12" t="str">
        <f aca="false">IF($C56="","",$I56)</f>
        <v/>
      </c>
      <c r="C56" s="10" t="str">
        <f aca="false">IFERROR(INDEX(06_重複排除後!$A:$A,MATCH($H56&amp;"-"&amp;$I56,06_重複排除後!$L:$L,0)),"")</f>
        <v/>
      </c>
      <c r="D56" s="10" t="str">
        <f aca="false">IF($C56="","",VLOOKUP($C56,06_重複排除後!$A:$B,2,0))</f>
        <v/>
      </c>
      <c r="E56" s="12" t="str">
        <f aca="false">IF($C56="","",VLOOKUP($C56,06_重複排除後!$A:$C,3,0))</f>
        <v/>
      </c>
      <c r="F56" s="12" t="str">
        <f aca="false">IF($C56="","",VLOOKUP($C56,06_重複排除後!$A:$E,5,0))</f>
        <v/>
      </c>
      <c r="G56" s="12" t="str">
        <f aca="false">IF($C56="","",VLOOKUP($C56,06_重複排除後!$A:$I,9,0))</f>
        <v/>
      </c>
      <c r="H56" s="11" t="s">
        <v>827</v>
      </c>
      <c r="I56" s="10" t="n">
        <v>1</v>
      </c>
    </row>
    <row r="57" customFormat="false" ht="15" hidden="false" customHeight="false" outlineLevel="0" collapsed="false">
      <c r="A57" s="12" t="str">
        <f aca="false">IF($C57="","",$H57)</f>
        <v/>
      </c>
      <c r="B57" s="12" t="str">
        <f aca="false">IF($C57="","",$I57)</f>
        <v/>
      </c>
      <c r="C57" s="10" t="str">
        <f aca="false">IFERROR(INDEX(06_重複排除後!$A:$A,MATCH($H57&amp;"-"&amp;$I57,06_重複排除後!$L:$L,0)),"")</f>
        <v/>
      </c>
      <c r="D57" s="10" t="str">
        <f aca="false">IF($C57="","",VLOOKUP($C57,06_重複排除後!$A:$B,2,0))</f>
        <v/>
      </c>
      <c r="E57" s="12" t="str">
        <f aca="false">IF($C57="","",VLOOKUP($C57,06_重複排除後!$A:$C,3,0))</f>
        <v/>
      </c>
      <c r="F57" s="12" t="str">
        <f aca="false">IF($C57="","",VLOOKUP($C57,06_重複排除後!$A:$E,5,0))</f>
        <v/>
      </c>
      <c r="G57" s="12" t="str">
        <f aca="false">IF($C57="","",VLOOKUP($C57,06_重複排除後!$A:$I,9,0))</f>
        <v/>
      </c>
      <c r="H57" s="11" t="s">
        <v>827</v>
      </c>
      <c r="I57" s="10" t="n">
        <v>2</v>
      </c>
    </row>
    <row r="58" customFormat="false" ht="15" hidden="false" customHeight="false" outlineLevel="0" collapsed="false">
      <c r="A58" s="12" t="str">
        <f aca="false">IF($C58="","",$H58)</f>
        <v/>
      </c>
      <c r="B58" s="12" t="str">
        <f aca="false">IF($C58="","",$I58)</f>
        <v/>
      </c>
      <c r="C58" s="10" t="str">
        <f aca="false">IFERROR(INDEX(06_重複排除後!$A:$A,MATCH($H58&amp;"-"&amp;$I58,06_重複排除後!$L:$L,0)),"")</f>
        <v/>
      </c>
      <c r="D58" s="10" t="str">
        <f aca="false">IF($C58="","",VLOOKUP($C58,06_重複排除後!$A:$B,2,0))</f>
        <v/>
      </c>
      <c r="E58" s="12" t="str">
        <f aca="false">IF($C58="","",VLOOKUP($C58,06_重複排除後!$A:$C,3,0))</f>
        <v/>
      </c>
      <c r="F58" s="12" t="str">
        <f aca="false">IF($C58="","",VLOOKUP($C58,06_重複排除後!$A:$E,5,0))</f>
        <v/>
      </c>
      <c r="G58" s="12" t="str">
        <f aca="false">IF($C58="","",VLOOKUP($C58,06_重複排除後!$A:$I,9,0))</f>
        <v/>
      </c>
      <c r="H58" s="11" t="s">
        <v>827</v>
      </c>
      <c r="I58" s="10" t="n">
        <v>3</v>
      </c>
    </row>
    <row r="59" customFormat="false" ht="15" hidden="false" customHeight="false" outlineLevel="0" collapsed="false">
      <c r="A59" s="12" t="str">
        <f aca="false">IF($C59="","",$H59)</f>
        <v/>
      </c>
      <c r="B59" s="12" t="str">
        <f aca="false">IF($C59="","",$I59)</f>
        <v/>
      </c>
      <c r="C59" s="10" t="str">
        <f aca="false">IFERROR(INDEX(06_重複排除後!$A:$A,MATCH($H59&amp;"-"&amp;$I59,06_重複排除後!$L:$L,0)),"")</f>
        <v/>
      </c>
      <c r="D59" s="10" t="str">
        <f aca="false">IF($C59="","",VLOOKUP($C59,06_重複排除後!$A:$B,2,0))</f>
        <v/>
      </c>
      <c r="E59" s="12" t="str">
        <f aca="false">IF($C59="","",VLOOKUP($C59,06_重複排除後!$A:$C,3,0))</f>
        <v/>
      </c>
      <c r="F59" s="12" t="str">
        <f aca="false">IF($C59="","",VLOOKUP($C59,06_重複排除後!$A:$E,5,0))</f>
        <v/>
      </c>
      <c r="G59" s="12" t="str">
        <f aca="false">IF($C59="","",VLOOKUP($C59,06_重複排除後!$A:$I,9,0))</f>
        <v/>
      </c>
      <c r="H59" s="11" t="s">
        <v>827</v>
      </c>
      <c r="I59" s="10" t="n">
        <v>4</v>
      </c>
    </row>
    <row r="60" customFormat="false" ht="15" hidden="false" customHeight="false" outlineLevel="0" collapsed="false">
      <c r="A60" s="12" t="str">
        <f aca="false">IF($C60="","",$H60)</f>
        <v/>
      </c>
      <c r="B60" s="12" t="str">
        <f aca="false">IF($C60="","",$I60)</f>
        <v/>
      </c>
      <c r="C60" s="10" t="str">
        <f aca="false">IFERROR(INDEX(06_重複排除後!$A:$A,MATCH($H60&amp;"-"&amp;$I60,06_重複排除後!$L:$L,0)),"")</f>
        <v/>
      </c>
      <c r="D60" s="10" t="str">
        <f aca="false">IF($C60="","",VLOOKUP($C60,06_重複排除後!$A:$B,2,0))</f>
        <v/>
      </c>
      <c r="E60" s="12" t="str">
        <f aca="false">IF($C60="","",VLOOKUP($C60,06_重複排除後!$A:$C,3,0))</f>
        <v/>
      </c>
      <c r="F60" s="12" t="str">
        <f aca="false">IF($C60="","",VLOOKUP($C60,06_重複排除後!$A:$E,5,0))</f>
        <v/>
      </c>
      <c r="G60" s="12" t="str">
        <f aca="false">IF($C60="","",VLOOKUP($C60,06_重複排除後!$A:$I,9,0))</f>
        <v/>
      </c>
      <c r="H60" s="11" t="s">
        <v>827</v>
      </c>
      <c r="I60" s="10" t="n">
        <v>5</v>
      </c>
    </row>
    <row r="61" customFormat="false" ht="15" hidden="false" customHeight="false" outlineLevel="0" collapsed="false">
      <c r="A61" s="12" t="str">
        <f aca="false">IF($C61="","",$H61)</f>
        <v/>
      </c>
      <c r="B61" s="12" t="str">
        <f aca="false">IF($C61="","",$I61)</f>
        <v/>
      </c>
      <c r="C61" s="10" t="str">
        <f aca="false">IFERROR(INDEX(06_重複排除後!$A:$A,MATCH($H61&amp;"-"&amp;$I61,06_重複排除後!$L:$L,0)),"")</f>
        <v/>
      </c>
      <c r="D61" s="10" t="str">
        <f aca="false">IF($C61="","",VLOOKUP($C61,06_重複排除後!$A:$B,2,0))</f>
        <v/>
      </c>
      <c r="E61" s="12" t="str">
        <f aca="false">IF($C61="","",VLOOKUP($C61,06_重複排除後!$A:$C,3,0))</f>
        <v/>
      </c>
      <c r="F61" s="12" t="str">
        <f aca="false">IF($C61="","",VLOOKUP($C61,06_重複排除後!$A:$E,5,0))</f>
        <v/>
      </c>
      <c r="G61" s="12" t="str">
        <f aca="false">IF($C61="","",VLOOKUP($C61,06_重複排除後!$A:$I,9,0))</f>
        <v/>
      </c>
      <c r="H61" s="11" t="s">
        <v>827</v>
      </c>
      <c r="I61" s="10" t="n">
        <v>6</v>
      </c>
    </row>
    <row r="62" customFormat="false" ht="15" hidden="false" customHeight="false" outlineLevel="0" collapsed="false">
      <c r="A62" s="12" t="str">
        <f aca="false">IF($C62="","",$H62)</f>
        <v/>
      </c>
      <c r="B62" s="12" t="str">
        <f aca="false">IF($C62="","",$I62)</f>
        <v/>
      </c>
      <c r="C62" s="10" t="str">
        <f aca="false">IFERROR(INDEX(06_重複排除後!$A:$A,MATCH($H62&amp;"-"&amp;$I62,06_重複排除後!$L:$L,0)),"")</f>
        <v/>
      </c>
      <c r="D62" s="10" t="str">
        <f aca="false">IF($C62="","",VLOOKUP($C62,06_重複排除後!$A:$B,2,0))</f>
        <v/>
      </c>
      <c r="E62" s="12" t="str">
        <f aca="false">IF($C62="","",VLOOKUP($C62,06_重複排除後!$A:$C,3,0))</f>
        <v/>
      </c>
      <c r="F62" s="12" t="str">
        <f aca="false">IF($C62="","",VLOOKUP($C62,06_重複排除後!$A:$E,5,0))</f>
        <v/>
      </c>
      <c r="G62" s="12" t="str">
        <f aca="false">IF($C62="","",VLOOKUP($C62,06_重複排除後!$A:$I,9,0))</f>
        <v/>
      </c>
      <c r="H62" s="11" t="s">
        <v>827</v>
      </c>
      <c r="I62" s="10" t="n">
        <v>7</v>
      </c>
    </row>
    <row r="63" customFormat="false" ht="15" hidden="false" customHeight="false" outlineLevel="0" collapsed="false">
      <c r="A63" s="12" t="str">
        <f aca="false">IF($C63="","",$H63)</f>
        <v/>
      </c>
      <c r="B63" s="12" t="str">
        <f aca="false">IF($C63="","",$I63)</f>
        <v/>
      </c>
      <c r="C63" s="10" t="str">
        <f aca="false">IFERROR(INDEX(06_重複排除後!$A:$A,MATCH($H63&amp;"-"&amp;$I63,06_重複排除後!$L:$L,0)),"")</f>
        <v/>
      </c>
      <c r="D63" s="10" t="str">
        <f aca="false">IF($C63="","",VLOOKUP($C63,06_重複排除後!$A:$B,2,0))</f>
        <v/>
      </c>
      <c r="E63" s="12" t="str">
        <f aca="false">IF($C63="","",VLOOKUP($C63,06_重複排除後!$A:$C,3,0))</f>
        <v/>
      </c>
      <c r="F63" s="12" t="str">
        <f aca="false">IF($C63="","",VLOOKUP($C63,06_重複排除後!$A:$E,5,0))</f>
        <v/>
      </c>
      <c r="G63" s="12" t="str">
        <f aca="false">IF($C63="","",VLOOKUP($C63,06_重複排除後!$A:$I,9,0))</f>
        <v/>
      </c>
      <c r="H63" s="11" t="s">
        <v>827</v>
      </c>
      <c r="I63" s="10" t="n">
        <v>8</v>
      </c>
    </row>
    <row r="64" customFormat="false" ht="15" hidden="false" customHeight="false" outlineLevel="0" collapsed="false">
      <c r="A64" s="12" t="str">
        <f aca="false">IF($C64="","",$H64)</f>
        <v/>
      </c>
      <c r="B64" s="12" t="str">
        <f aca="false">IF($C64="","",$I64)</f>
        <v/>
      </c>
      <c r="C64" s="10" t="str">
        <f aca="false">IFERROR(INDEX(06_重複排除後!$A:$A,MATCH($H64&amp;"-"&amp;$I64,06_重複排除後!$L:$L,0)),"")</f>
        <v/>
      </c>
      <c r="D64" s="10" t="str">
        <f aca="false">IF($C64="","",VLOOKUP($C64,06_重複排除後!$A:$B,2,0))</f>
        <v/>
      </c>
      <c r="E64" s="12" t="str">
        <f aca="false">IF($C64="","",VLOOKUP($C64,06_重複排除後!$A:$C,3,0))</f>
        <v/>
      </c>
      <c r="F64" s="12" t="str">
        <f aca="false">IF($C64="","",VLOOKUP($C64,06_重複排除後!$A:$E,5,0))</f>
        <v/>
      </c>
      <c r="G64" s="12" t="str">
        <f aca="false">IF($C64="","",VLOOKUP($C64,06_重複排除後!$A:$I,9,0))</f>
        <v/>
      </c>
      <c r="H64" s="11" t="s">
        <v>827</v>
      </c>
      <c r="I64" s="10" t="n">
        <v>9</v>
      </c>
    </row>
    <row r="65" customFormat="false" ht="15" hidden="false" customHeight="false" outlineLevel="0" collapsed="false">
      <c r="A65" s="12" t="str">
        <f aca="false">IF($C65="","",$H65)</f>
        <v/>
      </c>
      <c r="B65" s="12" t="str">
        <f aca="false">IF($C65="","",$I65)</f>
        <v/>
      </c>
      <c r="C65" s="10" t="str">
        <f aca="false">IFERROR(INDEX(06_重複排除後!$A:$A,MATCH($H65&amp;"-"&amp;$I65,06_重複排除後!$L:$L,0)),"")</f>
        <v/>
      </c>
      <c r="D65" s="10" t="str">
        <f aca="false">IF($C65="","",VLOOKUP($C65,06_重複排除後!$A:$B,2,0))</f>
        <v/>
      </c>
      <c r="E65" s="12" t="str">
        <f aca="false">IF($C65="","",VLOOKUP($C65,06_重複排除後!$A:$C,3,0))</f>
        <v/>
      </c>
      <c r="F65" s="12" t="str">
        <f aca="false">IF($C65="","",VLOOKUP($C65,06_重複排除後!$A:$E,5,0))</f>
        <v/>
      </c>
      <c r="G65" s="12" t="str">
        <f aca="false">IF($C65="","",VLOOKUP($C65,06_重複排除後!$A:$I,9,0))</f>
        <v/>
      </c>
      <c r="H65" s="11" t="s">
        <v>827</v>
      </c>
      <c r="I65" s="10" t="n">
        <v>10</v>
      </c>
    </row>
    <row r="66" customFormat="false" ht="15" hidden="false" customHeight="false" outlineLevel="0" collapsed="false">
      <c r="A66" s="12" t="str">
        <f aca="false">IF($C66="","",$H66)</f>
        <v/>
      </c>
      <c r="B66" s="12" t="str">
        <f aca="false">IF($C66="","",$I66)</f>
        <v/>
      </c>
      <c r="C66" s="10" t="str">
        <f aca="false">IFERROR(INDEX(06_重複排除後!$A:$A,MATCH($H66&amp;"-"&amp;$I66,06_重複排除後!$L:$L,0)),"")</f>
        <v/>
      </c>
      <c r="D66" s="10" t="str">
        <f aca="false">IF($C66="","",VLOOKUP($C66,06_重複排除後!$A:$B,2,0))</f>
        <v/>
      </c>
      <c r="E66" s="12" t="str">
        <f aca="false">IF($C66="","",VLOOKUP($C66,06_重複排除後!$A:$C,3,0))</f>
        <v/>
      </c>
      <c r="F66" s="12" t="str">
        <f aca="false">IF($C66="","",VLOOKUP($C66,06_重複排除後!$A:$E,5,0))</f>
        <v/>
      </c>
      <c r="G66" s="12" t="str">
        <f aca="false">IF($C66="","",VLOOKUP($C66,06_重複排除後!$A:$I,9,0))</f>
        <v/>
      </c>
      <c r="H66" s="11" t="s">
        <v>827</v>
      </c>
      <c r="I66" s="10" t="n">
        <v>11</v>
      </c>
    </row>
    <row r="67" customFormat="false" ht="15" hidden="false" customHeight="false" outlineLevel="0" collapsed="false">
      <c r="A67" s="12" t="str">
        <f aca="false">IF($C67="","",$H67)</f>
        <v/>
      </c>
      <c r="B67" s="12" t="str">
        <f aca="false">IF($C67="","",$I67)</f>
        <v/>
      </c>
      <c r="C67" s="10" t="str">
        <f aca="false">IFERROR(INDEX(06_重複排除後!$A:$A,MATCH($H67&amp;"-"&amp;$I67,06_重複排除後!$L:$L,0)),"")</f>
        <v/>
      </c>
      <c r="D67" s="10" t="str">
        <f aca="false">IF($C67="","",VLOOKUP($C67,06_重複排除後!$A:$B,2,0))</f>
        <v/>
      </c>
      <c r="E67" s="12" t="str">
        <f aca="false">IF($C67="","",VLOOKUP($C67,06_重複排除後!$A:$C,3,0))</f>
        <v/>
      </c>
      <c r="F67" s="12" t="str">
        <f aca="false">IF($C67="","",VLOOKUP($C67,06_重複排除後!$A:$E,5,0))</f>
        <v/>
      </c>
      <c r="G67" s="12" t="str">
        <f aca="false">IF($C67="","",VLOOKUP($C67,06_重複排除後!$A:$I,9,0))</f>
        <v/>
      </c>
      <c r="H67" s="11" t="s">
        <v>827</v>
      </c>
      <c r="I67" s="10" t="n">
        <v>12</v>
      </c>
    </row>
    <row r="68" customFormat="false" ht="15" hidden="false" customHeight="false" outlineLevel="0" collapsed="false">
      <c r="A68" s="12" t="str">
        <f aca="false">IF($C68="","",$H68)</f>
        <v/>
      </c>
      <c r="B68" s="12" t="str">
        <f aca="false">IF($C68="","",$I68)</f>
        <v/>
      </c>
      <c r="C68" s="10" t="str">
        <f aca="false">IFERROR(INDEX(06_重複排除後!$A:$A,MATCH($H68&amp;"-"&amp;$I68,06_重複排除後!$L:$L,0)),"")</f>
        <v/>
      </c>
      <c r="D68" s="10" t="str">
        <f aca="false">IF($C68="","",VLOOKUP($C68,06_重複排除後!$A:$B,2,0))</f>
        <v/>
      </c>
      <c r="E68" s="12" t="str">
        <f aca="false">IF($C68="","",VLOOKUP($C68,06_重複排除後!$A:$C,3,0))</f>
        <v/>
      </c>
      <c r="F68" s="12" t="str">
        <f aca="false">IF($C68="","",VLOOKUP($C68,06_重複排除後!$A:$E,5,0))</f>
        <v/>
      </c>
      <c r="G68" s="12" t="str">
        <f aca="false">IF($C68="","",VLOOKUP($C68,06_重複排除後!$A:$I,9,0))</f>
        <v/>
      </c>
      <c r="H68" s="11" t="s">
        <v>827</v>
      </c>
      <c r="I68" s="10" t="n">
        <v>13</v>
      </c>
    </row>
    <row r="69" customFormat="false" ht="15" hidden="false" customHeight="false" outlineLevel="0" collapsed="false">
      <c r="A69" s="12" t="str">
        <f aca="false">IF($C69="","",$H69)</f>
        <v/>
      </c>
      <c r="B69" s="12" t="str">
        <f aca="false">IF($C69="","",$I69)</f>
        <v/>
      </c>
      <c r="C69" s="10" t="str">
        <f aca="false">IFERROR(INDEX(06_重複排除後!$A:$A,MATCH($H69&amp;"-"&amp;$I69,06_重複排除後!$L:$L,0)),"")</f>
        <v/>
      </c>
      <c r="D69" s="10" t="str">
        <f aca="false">IF($C69="","",VLOOKUP($C69,06_重複排除後!$A:$B,2,0))</f>
        <v/>
      </c>
      <c r="E69" s="12" t="str">
        <f aca="false">IF($C69="","",VLOOKUP($C69,06_重複排除後!$A:$C,3,0))</f>
        <v/>
      </c>
      <c r="F69" s="12" t="str">
        <f aca="false">IF($C69="","",VLOOKUP($C69,06_重複排除後!$A:$E,5,0))</f>
        <v/>
      </c>
      <c r="G69" s="12" t="str">
        <f aca="false">IF($C69="","",VLOOKUP($C69,06_重複排除後!$A:$I,9,0))</f>
        <v/>
      </c>
      <c r="H69" s="11" t="s">
        <v>827</v>
      </c>
      <c r="I69" s="10" t="n">
        <v>14</v>
      </c>
    </row>
    <row r="70" customFormat="false" ht="15" hidden="false" customHeight="false" outlineLevel="0" collapsed="false">
      <c r="A70" s="12" t="str">
        <f aca="false">IF($C70="","",$H70)</f>
        <v/>
      </c>
      <c r="B70" s="12" t="str">
        <f aca="false">IF($C70="","",$I70)</f>
        <v/>
      </c>
      <c r="C70" s="10" t="str">
        <f aca="false">IFERROR(INDEX(06_重複排除後!$A:$A,MATCH($H70&amp;"-"&amp;$I70,06_重複排除後!$L:$L,0)),"")</f>
        <v/>
      </c>
      <c r="D70" s="10" t="str">
        <f aca="false">IF($C70="","",VLOOKUP($C70,06_重複排除後!$A:$B,2,0))</f>
        <v/>
      </c>
      <c r="E70" s="12" t="str">
        <f aca="false">IF($C70="","",VLOOKUP($C70,06_重複排除後!$A:$C,3,0))</f>
        <v/>
      </c>
      <c r="F70" s="12" t="str">
        <f aca="false">IF($C70="","",VLOOKUP($C70,06_重複排除後!$A:$E,5,0))</f>
        <v/>
      </c>
      <c r="G70" s="12" t="str">
        <f aca="false">IF($C70="","",VLOOKUP($C70,06_重複排除後!$A:$I,9,0))</f>
        <v/>
      </c>
      <c r="H70" s="11" t="s">
        <v>827</v>
      </c>
      <c r="I70" s="10" t="n">
        <v>15</v>
      </c>
    </row>
    <row r="71" customFormat="false" ht="15" hidden="false" customHeight="false" outlineLevel="0" collapsed="false">
      <c r="A71" s="12" t="str">
        <f aca="false">IF($C71="","",$H71)</f>
        <v/>
      </c>
      <c r="B71" s="12" t="str">
        <f aca="false">IF($C71="","",$I71)</f>
        <v/>
      </c>
      <c r="C71" s="10" t="str">
        <f aca="false">IFERROR(INDEX(06_重複排除後!$A:$A,MATCH($H71&amp;"-"&amp;$I71,06_重複排除後!$L:$L,0)),"")</f>
        <v/>
      </c>
      <c r="D71" s="10" t="str">
        <f aca="false">IF($C71="","",VLOOKUP($C71,06_重複排除後!$A:$B,2,0))</f>
        <v/>
      </c>
      <c r="E71" s="12" t="str">
        <f aca="false">IF($C71="","",VLOOKUP($C71,06_重複排除後!$A:$C,3,0))</f>
        <v/>
      </c>
      <c r="F71" s="12" t="str">
        <f aca="false">IF($C71="","",VLOOKUP($C71,06_重複排除後!$A:$E,5,0))</f>
        <v/>
      </c>
      <c r="G71" s="12" t="str">
        <f aca="false">IF($C71="","",VLOOKUP($C71,06_重複排除後!$A:$I,9,0))</f>
        <v/>
      </c>
      <c r="H71" s="11" t="s">
        <v>827</v>
      </c>
      <c r="I71" s="10" t="n">
        <v>16</v>
      </c>
    </row>
    <row r="72" customFormat="false" ht="15" hidden="false" customHeight="false" outlineLevel="0" collapsed="false">
      <c r="A72" s="12" t="str">
        <f aca="false">IF($C72="","",$H72)</f>
        <v/>
      </c>
      <c r="B72" s="12" t="str">
        <f aca="false">IF($C72="","",$I72)</f>
        <v/>
      </c>
      <c r="C72" s="10" t="str">
        <f aca="false">IFERROR(INDEX(06_重複排除後!$A:$A,MATCH($H72&amp;"-"&amp;$I72,06_重複排除後!$L:$L,0)),"")</f>
        <v/>
      </c>
      <c r="D72" s="10" t="str">
        <f aca="false">IF($C72="","",VLOOKUP($C72,06_重複排除後!$A:$B,2,0))</f>
        <v/>
      </c>
      <c r="E72" s="12" t="str">
        <f aca="false">IF($C72="","",VLOOKUP($C72,06_重複排除後!$A:$C,3,0))</f>
        <v/>
      </c>
      <c r="F72" s="12" t="str">
        <f aca="false">IF($C72="","",VLOOKUP($C72,06_重複排除後!$A:$E,5,0))</f>
        <v/>
      </c>
      <c r="G72" s="12" t="str">
        <f aca="false">IF($C72="","",VLOOKUP($C72,06_重複排除後!$A:$I,9,0))</f>
        <v/>
      </c>
      <c r="H72" s="11" t="s">
        <v>827</v>
      </c>
      <c r="I72" s="10" t="n">
        <v>17</v>
      </c>
    </row>
    <row r="73" customFormat="false" ht="15" hidden="false" customHeight="false" outlineLevel="0" collapsed="false">
      <c r="A73" s="12" t="str">
        <f aca="false">IF($C73="","",$H73)</f>
        <v/>
      </c>
      <c r="B73" s="12" t="str">
        <f aca="false">IF($C73="","",$I73)</f>
        <v/>
      </c>
      <c r="C73" s="10" t="str">
        <f aca="false">IFERROR(INDEX(06_重複排除後!$A:$A,MATCH($H73&amp;"-"&amp;$I73,06_重複排除後!$L:$L,0)),"")</f>
        <v/>
      </c>
      <c r="D73" s="10" t="str">
        <f aca="false">IF($C73="","",VLOOKUP($C73,06_重複排除後!$A:$B,2,0))</f>
        <v/>
      </c>
      <c r="E73" s="12" t="str">
        <f aca="false">IF($C73="","",VLOOKUP($C73,06_重複排除後!$A:$C,3,0))</f>
        <v/>
      </c>
      <c r="F73" s="12" t="str">
        <f aca="false">IF($C73="","",VLOOKUP($C73,06_重複排除後!$A:$E,5,0))</f>
        <v/>
      </c>
      <c r="G73" s="12" t="str">
        <f aca="false">IF($C73="","",VLOOKUP($C73,06_重複排除後!$A:$I,9,0))</f>
        <v/>
      </c>
      <c r="H73" s="11" t="s">
        <v>827</v>
      </c>
      <c r="I73" s="10" t="n">
        <v>18</v>
      </c>
    </row>
    <row r="74" customFormat="false" ht="15" hidden="false" customHeight="false" outlineLevel="0" collapsed="false">
      <c r="A74" s="12" t="str">
        <f aca="false">IF($C74="","",$H74)</f>
        <v/>
      </c>
      <c r="B74" s="12" t="str">
        <f aca="false">IF($C74="","",$I74)</f>
        <v/>
      </c>
      <c r="C74" s="10" t="str">
        <f aca="false">IFERROR(INDEX(06_重複排除後!$A:$A,MATCH($H74&amp;"-"&amp;$I74,06_重複排除後!$L:$L,0)),"")</f>
        <v/>
      </c>
      <c r="D74" s="10" t="str">
        <f aca="false">IF($C74="","",VLOOKUP($C74,06_重複排除後!$A:$B,2,0))</f>
        <v/>
      </c>
      <c r="E74" s="12" t="str">
        <f aca="false">IF($C74="","",VLOOKUP($C74,06_重複排除後!$A:$C,3,0))</f>
        <v/>
      </c>
      <c r="F74" s="12" t="str">
        <f aca="false">IF($C74="","",VLOOKUP($C74,06_重複排除後!$A:$E,5,0))</f>
        <v/>
      </c>
      <c r="G74" s="12" t="str">
        <f aca="false">IF($C74="","",VLOOKUP($C74,06_重複排除後!$A:$I,9,0))</f>
        <v/>
      </c>
      <c r="H74" s="11" t="s">
        <v>827</v>
      </c>
      <c r="I74" s="10" t="n">
        <v>19</v>
      </c>
    </row>
    <row r="75" customFormat="false" ht="15" hidden="false" customHeight="false" outlineLevel="0" collapsed="false">
      <c r="A75" s="12" t="str">
        <f aca="false">IF($C75="","",$H75)</f>
        <v/>
      </c>
      <c r="B75" s="12" t="str">
        <f aca="false">IF($C75="","",$I75)</f>
        <v/>
      </c>
      <c r="C75" s="10" t="str">
        <f aca="false">IFERROR(INDEX(06_重複排除後!$A:$A,MATCH($H75&amp;"-"&amp;$I75,06_重複排除後!$L:$L,0)),"")</f>
        <v/>
      </c>
      <c r="D75" s="10" t="str">
        <f aca="false">IF($C75="","",VLOOKUP($C75,06_重複排除後!$A:$B,2,0))</f>
        <v/>
      </c>
      <c r="E75" s="12" t="str">
        <f aca="false">IF($C75="","",VLOOKUP($C75,06_重複排除後!$A:$C,3,0))</f>
        <v/>
      </c>
      <c r="F75" s="12" t="str">
        <f aca="false">IF($C75="","",VLOOKUP($C75,06_重複排除後!$A:$E,5,0))</f>
        <v/>
      </c>
      <c r="G75" s="12" t="str">
        <f aca="false">IF($C75="","",VLOOKUP($C75,06_重複排除後!$A:$I,9,0))</f>
        <v/>
      </c>
      <c r="H75" s="11" t="s">
        <v>827</v>
      </c>
      <c r="I75" s="10" t="n">
        <v>20</v>
      </c>
    </row>
    <row r="76" customFormat="false" ht="15" hidden="false" customHeight="false" outlineLevel="0" collapsed="false">
      <c r="A76" s="12" t="str">
        <f aca="false">IF($C76="","",$H76)</f>
        <v/>
      </c>
      <c r="B76" s="12" t="str">
        <f aca="false">IF($C76="","",$I76)</f>
        <v/>
      </c>
      <c r="C76" s="10" t="str">
        <f aca="false">IFERROR(INDEX(06_重複排除後!$A:$A,MATCH($H76&amp;"-"&amp;$I76,06_重複排除後!$L:$L,0)),"")</f>
        <v/>
      </c>
      <c r="D76" s="10" t="str">
        <f aca="false">IF($C76="","",VLOOKUP($C76,06_重複排除後!$A:$B,2,0))</f>
        <v/>
      </c>
      <c r="E76" s="12" t="str">
        <f aca="false">IF($C76="","",VLOOKUP($C76,06_重複排除後!$A:$C,3,0))</f>
        <v/>
      </c>
      <c r="F76" s="12" t="str">
        <f aca="false">IF($C76="","",VLOOKUP($C76,06_重複排除後!$A:$E,5,0))</f>
        <v/>
      </c>
      <c r="G76" s="12" t="str">
        <f aca="false">IF($C76="","",VLOOKUP($C76,06_重複排除後!$A:$I,9,0))</f>
        <v/>
      </c>
      <c r="H76" s="11" t="s">
        <v>827</v>
      </c>
      <c r="I76" s="10" t="n">
        <v>21</v>
      </c>
    </row>
    <row r="77" customFormat="false" ht="15" hidden="false" customHeight="false" outlineLevel="0" collapsed="false">
      <c r="A77" s="12" t="str">
        <f aca="false">IF($C77="","",$H77)</f>
        <v/>
      </c>
      <c r="B77" s="12" t="str">
        <f aca="false">IF($C77="","",$I77)</f>
        <v/>
      </c>
      <c r="C77" s="10" t="str">
        <f aca="false">IFERROR(INDEX(06_重複排除後!$A:$A,MATCH($H77&amp;"-"&amp;$I77,06_重複排除後!$L:$L,0)),"")</f>
        <v/>
      </c>
      <c r="D77" s="10" t="str">
        <f aca="false">IF($C77="","",VLOOKUP($C77,06_重複排除後!$A:$B,2,0))</f>
        <v/>
      </c>
      <c r="E77" s="12" t="str">
        <f aca="false">IF($C77="","",VLOOKUP($C77,06_重複排除後!$A:$C,3,0))</f>
        <v/>
      </c>
      <c r="F77" s="12" t="str">
        <f aca="false">IF($C77="","",VLOOKUP($C77,06_重複排除後!$A:$E,5,0))</f>
        <v/>
      </c>
      <c r="G77" s="12" t="str">
        <f aca="false">IF($C77="","",VLOOKUP($C77,06_重複排除後!$A:$I,9,0))</f>
        <v/>
      </c>
      <c r="H77" s="11" t="s">
        <v>827</v>
      </c>
      <c r="I77" s="10" t="n">
        <v>22</v>
      </c>
    </row>
    <row r="78" customFormat="false" ht="15" hidden="false" customHeight="false" outlineLevel="0" collapsed="false">
      <c r="A78" s="12" t="str">
        <f aca="false">IF($C78="","",$H78)</f>
        <v/>
      </c>
      <c r="B78" s="12" t="str">
        <f aca="false">IF($C78="","",$I78)</f>
        <v/>
      </c>
      <c r="C78" s="10" t="str">
        <f aca="false">IFERROR(INDEX(06_重複排除後!$A:$A,MATCH($H78&amp;"-"&amp;$I78,06_重複排除後!$L:$L,0)),"")</f>
        <v/>
      </c>
      <c r="D78" s="10" t="str">
        <f aca="false">IF($C78="","",VLOOKUP($C78,06_重複排除後!$A:$B,2,0))</f>
        <v/>
      </c>
      <c r="E78" s="12" t="str">
        <f aca="false">IF($C78="","",VLOOKUP($C78,06_重複排除後!$A:$C,3,0))</f>
        <v/>
      </c>
      <c r="F78" s="12" t="str">
        <f aca="false">IF($C78="","",VLOOKUP($C78,06_重複排除後!$A:$E,5,0))</f>
        <v/>
      </c>
      <c r="G78" s="12" t="str">
        <f aca="false">IF($C78="","",VLOOKUP($C78,06_重複排除後!$A:$I,9,0))</f>
        <v/>
      </c>
      <c r="H78" s="11" t="s">
        <v>827</v>
      </c>
      <c r="I78" s="10" t="n">
        <v>23</v>
      </c>
    </row>
    <row r="79" customFormat="false" ht="15" hidden="false" customHeight="false" outlineLevel="0" collapsed="false">
      <c r="A79" s="12" t="str">
        <f aca="false">IF($C79="","",$H79)</f>
        <v/>
      </c>
      <c r="B79" s="12" t="str">
        <f aca="false">IF($C79="","",$I79)</f>
        <v/>
      </c>
      <c r="C79" s="10" t="str">
        <f aca="false">IFERROR(INDEX(06_重複排除後!$A:$A,MATCH($H79&amp;"-"&amp;$I79,06_重複排除後!$L:$L,0)),"")</f>
        <v/>
      </c>
      <c r="D79" s="10" t="str">
        <f aca="false">IF($C79="","",VLOOKUP($C79,06_重複排除後!$A:$B,2,0))</f>
        <v/>
      </c>
      <c r="E79" s="12" t="str">
        <f aca="false">IF($C79="","",VLOOKUP($C79,06_重複排除後!$A:$C,3,0))</f>
        <v/>
      </c>
      <c r="F79" s="12" t="str">
        <f aca="false">IF($C79="","",VLOOKUP($C79,06_重複排除後!$A:$E,5,0))</f>
        <v/>
      </c>
      <c r="G79" s="12" t="str">
        <f aca="false">IF($C79="","",VLOOKUP($C79,06_重複排除後!$A:$I,9,0))</f>
        <v/>
      </c>
      <c r="H79" s="11" t="s">
        <v>827</v>
      </c>
      <c r="I79" s="10" t="n">
        <v>24</v>
      </c>
    </row>
    <row r="80" customFormat="false" ht="15" hidden="false" customHeight="false" outlineLevel="0" collapsed="false">
      <c r="A80" s="12" t="str">
        <f aca="false">IF($C80="","",$H80)</f>
        <v/>
      </c>
      <c r="B80" s="12" t="str">
        <f aca="false">IF($C80="","",$I80)</f>
        <v/>
      </c>
      <c r="C80" s="10" t="str">
        <f aca="false">IFERROR(INDEX(06_重複排除後!$A:$A,MATCH($H80&amp;"-"&amp;$I80,06_重複排除後!$L:$L,0)),"")</f>
        <v/>
      </c>
      <c r="D80" s="10" t="str">
        <f aca="false">IF($C80="","",VLOOKUP($C80,06_重複排除後!$A:$B,2,0))</f>
        <v/>
      </c>
      <c r="E80" s="12" t="str">
        <f aca="false">IF($C80="","",VLOOKUP($C80,06_重複排除後!$A:$C,3,0))</f>
        <v/>
      </c>
      <c r="F80" s="12" t="str">
        <f aca="false">IF($C80="","",VLOOKUP($C80,06_重複排除後!$A:$E,5,0))</f>
        <v/>
      </c>
      <c r="G80" s="12" t="str">
        <f aca="false">IF($C80="","",VLOOKUP($C80,06_重複排除後!$A:$I,9,0))</f>
        <v/>
      </c>
      <c r="H80" s="11" t="s">
        <v>827</v>
      </c>
      <c r="I80" s="10" t="n">
        <v>25</v>
      </c>
    </row>
    <row r="81" customFormat="false" ht="15" hidden="false" customHeight="false" outlineLevel="0" collapsed="false">
      <c r="A81" s="12" t="str">
        <f aca="false">IF($C81="","",$H81)</f>
        <v/>
      </c>
      <c r="B81" s="12" t="str">
        <f aca="false">IF($C81="","",$I81)</f>
        <v/>
      </c>
      <c r="C81" s="10" t="str">
        <f aca="false">IFERROR(INDEX(06_重複排除後!$A:$A,MATCH($H81&amp;"-"&amp;$I81,06_重複排除後!$L:$L,0)),"")</f>
        <v/>
      </c>
      <c r="D81" s="10" t="str">
        <f aca="false">IF($C81="","",VLOOKUP($C81,06_重複排除後!$A:$B,2,0))</f>
        <v/>
      </c>
      <c r="E81" s="12" t="str">
        <f aca="false">IF($C81="","",VLOOKUP($C81,06_重複排除後!$A:$C,3,0))</f>
        <v/>
      </c>
      <c r="F81" s="12" t="str">
        <f aca="false">IF($C81="","",VLOOKUP($C81,06_重複排除後!$A:$E,5,0))</f>
        <v/>
      </c>
      <c r="G81" s="12" t="str">
        <f aca="false">IF($C81="","",VLOOKUP($C81,06_重複排除後!$A:$I,9,0))</f>
        <v/>
      </c>
      <c r="H81" s="11" t="s">
        <v>827</v>
      </c>
      <c r="I81" s="10" t="n">
        <v>26</v>
      </c>
    </row>
    <row r="82" customFormat="false" ht="15" hidden="false" customHeight="false" outlineLevel="0" collapsed="false">
      <c r="A82" s="12" t="str">
        <f aca="false">IF($C82="","",$H82)</f>
        <v/>
      </c>
      <c r="B82" s="12" t="str">
        <f aca="false">IF($C82="","",$I82)</f>
        <v/>
      </c>
      <c r="C82" s="10" t="str">
        <f aca="false">IFERROR(INDEX(06_重複排除後!$A:$A,MATCH($H82&amp;"-"&amp;$I82,06_重複排除後!$L:$L,0)),"")</f>
        <v/>
      </c>
      <c r="D82" s="10" t="str">
        <f aca="false">IF($C82="","",VLOOKUP($C82,06_重複排除後!$A:$B,2,0))</f>
        <v/>
      </c>
      <c r="E82" s="12" t="str">
        <f aca="false">IF($C82="","",VLOOKUP($C82,06_重複排除後!$A:$C,3,0))</f>
        <v/>
      </c>
      <c r="F82" s="12" t="str">
        <f aca="false">IF($C82="","",VLOOKUP($C82,06_重複排除後!$A:$E,5,0))</f>
        <v/>
      </c>
      <c r="G82" s="12" t="str">
        <f aca="false">IF($C82="","",VLOOKUP($C82,06_重複排除後!$A:$I,9,0))</f>
        <v/>
      </c>
      <c r="H82" s="11" t="s">
        <v>827</v>
      </c>
      <c r="I82" s="10" t="n">
        <v>27</v>
      </c>
    </row>
    <row r="83" customFormat="false" ht="15" hidden="false" customHeight="false" outlineLevel="0" collapsed="false">
      <c r="A83" s="12" t="str">
        <f aca="false">IF($C83="","",$H83)</f>
        <v/>
      </c>
      <c r="B83" s="12" t="str">
        <f aca="false">IF($C83="","",$I83)</f>
        <v/>
      </c>
      <c r="C83" s="10" t="str">
        <f aca="false">IFERROR(INDEX(06_重複排除後!$A:$A,MATCH($H83&amp;"-"&amp;$I83,06_重複排除後!$L:$L,0)),"")</f>
        <v/>
      </c>
      <c r="D83" s="10" t="str">
        <f aca="false">IF($C83="","",VLOOKUP($C83,06_重複排除後!$A:$B,2,0))</f>
        <v/>
      </c>
      <c r="E83" s="12" t="str">
        <f aca="false">IF($C83="","",VLOOKUP($C83,06_重複排除後!$A:$C,3,0))</f>
        <v/>
      </c>
      <c r="F83" s="12" t="str">
        <f aca="false">IF($C83="","",VLOOKUP($C83,06_重複排除後!$A:$E,5,0))</f>
        <v/>
      </c>
      <c r="G83" s="12" t="str">
        <f aca="false">IF($C83="","",VLOOKUP($C83,06_重複排除後!$A:$I,9,0))</f>
        <v/>
      </c>
      <c r="H83" s="11" t="s">
        <v>827</v>
      </c>
      <c r="I83" s="10" t="n">
        <v>28</v>
      </c>
    </row>
    <row r="84" customFormat="false" ht="15" hidden="false" customHeight="false" outlineLevel="0" collapsed="false">
      <c r="A84" s="12" t="str">
        <f aca="false">IF($C84="","",$H84)</f>
        <v/>
      </c>
      <c r="B84" s="12" t="str">
        <f aca="false">IF($C84="","",$I84)</f>
        <v/>
      </c>
      <c r="C84" s="10" t="str">
        <f aca="false">IFERROR(INDEX(06_重複排除後!$A:$A,MATCH($H84&amp;"-"&amp;$I84,06_重複排除後!$L:$L,0)),"")</f>
        <v/>
      </c>
      <c r="D84" s="10" t="str">
        <f aca="false">IF($C84="","",VLOOKUP($C84,06_重複排除後!$A:$B,2,0))</f>
        <v/>
      </c>
      <c r="E84" s="12" t="str">
        <f aca="false">IF($C84="","",VLOOKUP($C84,06_重複排除後!$A:$C,3,0))</f>
        <v/>
      </c>
      <c r="F84" s="12" t="str">
        <f aca="false">IF($C84="","",VLOOKUP($C84,06_重複排除後!$A:$E,5,0))</f>
        <v/>
      </c>
      <c r="G84" s="12" t="str">
        <f aca="false">IF($C84="","",VLOOKUP($C84,06_重複排除後!$A:$I,9,0))</f>
        <v/>
      </c>
      <c r="H84" s="11" t="s">
        <v>827</v>
      </c>
      <c r="I84" s="10" t="n">
        <v>29</v>
      </c>
    </row>
    <row r="85" customFormat="false" ht="15" hidden="false" customHeight="false" outlineLevel="0" collapsed="false">
      <c r="A85" s="12" t="str">
        <f aca="false">IF($C85="","",$H85)</f>
        <v/>
      </c>
      <c r="B85" s="12" t="str">
        <f aca="false">IF($C85="","",$I85)</f>
        <v/>
      </c>
      <c r="C85" s="10" t="str">
        <f aca="false">IFERROR(INDEX(06_重複排除後!$A:$A,MATCH($H85&amp;"-"&amp;$I85,06_重複排除後!$L:$L,0)),"")</f>
        <v/>
      </c>
      <c r="D85" s="10" t="str">
        <f aca="false">IF($C85="","",VLOOKUP($C85,06_重複排除後!$A:$B,2,0))</f>
        <v/>
      </c>
      <c r="E85" s="12" t="str">
        <f aca="false">IF($C85="","",VLOOKUP($C85,06_重複排除後!$A:$C,3,0))</f>
        <v/>
      </c>
      <c r="F85" s="12" t="str">
        <f aca="false">IF($C85="","",VLOOKUP($C85,06_重複排除後!$A:$E,5,0))</f>
        <v/>
      </c>
      <c r="G85" s="12" t="str">
        <f aca="false">IF($C85="","",VLOOKUP($C85,06_重複排除後!$A:$I,9,0))</f>
        <v/>
      </c>
      <c r="H85" s="11" t="s">
        <v>827</v>
      </c>
      <c r="I85" s="10" t="n">
        <v>30</v>
      </c>
    </row>
    <row r="86" customFormat="false" ht="15" hidden="false" customHeight="false" outlineLevel="0" collapsed="false">
      <c r="A86" s="12" t="str">
        <f aca="false">IF($C86="","",$H86)</f>
        <v/>
      </c>
      <c r="B86" s="12" t="str">
        <f aca="false">IF($C86="","",$I86)</f>
        <v/>
      </c>
      <c r="C86" s="10" t="str">
        <f aca="false">IFERROR(INDEX(06_重複排除後!$A:$A,MATCH($H86&amp;"-"&amp;$I86,06_重複排除後!$L:$L,0)),"")</f>
        <v/>
      </c>
      <c r="D86" s="10" t="str">
        <f aca="false">IF($C86="","",VLOOKUP($C86,06_重複排除後!$A:$B,2,0))</f>
        <v/>
      </c>
      <c r="E86" s="12" t="str">
        <f aca="false">IF($C86="","",VLOOKUP($C86,06_重複排除後!$A:$C,3,0))</f>
        <v/>
      </c>
      <c r="F86" s="12" t="str">
        <f aca="false">IF($C86="","",VLOOKUP($C86,06_重複排除後!$A:$E,5,0))</f>
        <v/>
      </c>
      <c r="G86" s="12" t="str">
        <f aca="false">IF($C86="","",VLOOKUP($C86,06_重複排除後!$A:$I,9,0))</f>
        <v/>
      </c>
      <c r="H86" s="11" t="s">
        <v>827</v>
      </c>
      <c r="I86" s="10" t="n">
        <v>31</v>
      </c>
    </row>
    <row r="87" customFormat="false" ht="15" hidden="false" customHeight="false" outlineLevel="0" collapsed="false">
      <c r="A87" s="12" t="str">
        <f aca="false">IF($C87="","",$H87)</f>
        <v/>
      </c>
      <c r="B87" s="12" t="str">
        <f aca="false">IF($C87="","",$I87)</f>
        <v/>
      </c>
      <c r="C87" s="10" t="str">
        <f aca="false">IFERROR(INDEX(06_重複排除後!$A:$A,MATCH($H87&amp;"-"&amp;$I87,06_重複排除後!$L:$L,0)),"")</f>
        <v/>
      </c>
      <c r="D87" s="10" t="str">
        <f aca="false">IF($C87="","",VLOOKUP($C87,06_重複排除後!$A:$B,2,0))</f>
        <v/>
      </c>
      <c r="E87" s="12" t="str">
        <f aca="false">IF($C87="","",VLOOKUP($C87,06_重複排除後!$A:$C,3,0))</f>
        <v/>
      </c>
      <c r="F87" s="12" t="str">
        <f aca="false">IF($C87="","",VLOOKUP($C87,06_重複排除後!$A:$E,5,0))</f>
        <v/>
      </c>
      <c r="G87" s="12" t="str">
        <f aca="false">IF($C87="","",VLOOKUP($C87,06_重複排除後!$A:$I,9,0))</f>
        <v/>
      </c>
      <c r="H87" s="11" t="s">
        <v>827</v>
      </c>
      <c r="I87" s="10" t="n">
        <v>32</v>
      </c>
    </row>
    <row r="88" customFormat="false" ht="15" hidden="false" customHeight="false" outlineLevel="0" collapsed="false">
      <c r="A88" s="12" t="str">
        <f aca="false">IF($C88="","",$H88)</f>
        <v/>
      </c>
      <c r="B88" s="12" t="str">
        <f aca="false">IF($C88="","",$I88)</f>
        <v/>
      </c>
      <c r="C88" s="10" t="str">
        <f aca="false">IFERROR(INDEX(06_重複排除後!$A:$A,MATCH($H88&amp;"-"&amp;$I88,06_重複排除後!$L:$L,0)),"")</f>
        <v/>
      </c>
      <c r="D88" s="10" t="str">
        <f aca="false">IF($C88="","",VLOOKUP($C88,06_重複排除後!$A:$B,2,0))</f>
        <v/>
      </c>
      <c r="E88" s="12" t="str">
        <f aca="false">IF($C88="","",VLOOKUP($C88,06_重複排除後!$A:$C,3,0))</f>
        <v/>
      </c>
      <c r="F88" s="12" t="str">
        <f aca="false">IF($C88="","",VLOOKUP($C88,06_重複排除後!$A:$E,5,0))</f>
        <v/>
      </c>
      <c r="G88" s="12" t="str">
        <f aca="false">IF($C88="","",VLOOKUP($C88,06_重複排除後!$A:$I,9,0))</f>
        <v/>
      </c>
      <c r="H88" s="11" t="s">
        <v>827</v>
      </c>
      <c r="I88" s="10" t="n">
        <v>33</v>
      </c>
    </row>
    <row r="89" customFormat="false" ht="15" hidden="false" customHeight="false" outlineLevel="0" collapsed="false">
      <c r="A89" s="12" t="str">
        <f aca="false">IF($C89="","",$H89)</f>
        <v/>
      </c>
      <c r="B89" s="12" t="str">
        <f aca="false">IF($C89="","",$I89)</f>
        <v/>
      </c>
      <c r="C89" s="10" t="str">
        <f aca="false">IFERROR(INDEX(06_重複排除後!$A:$A,MATCH($H89&amp;"-"&amp;$I89,06_重複排除後!$L:$L,0)),"")</f>
        <v/>
      </c>
      <c r="D89" s="10" t="str">
        <f aca="false">IF($C89="","",VLOOKUP($C89,06_重複排除後!$A:$B,2,0))</f>
        <v/>
      </c>
      <c r="E89" s="12" t="str">
        <f aca="false">IF($C89="","",VLOOKUP($C89,06_重複排除後!$A:$C,3,0))</f>
        <v/>
      </c>
      <c r="F89" s="12" t="str">
        <f aca="false">IF($C89="","",VLOOKUP($C89,06_重複排除後!$A:$E,5,0))</f>
        <v/>
      </c>
      <c r="G89" s="12" t="str">
        <f aca="false">IF($C89="","",VLOOKUP($C89,06_重複排除後!$A:$I,9,0))</f>
        <v/>
      </c>
      <c r="H89" s="11" t="s">
        <v>827</v>
      </c>
      <c r="I89" s="10" t="n">
        <v>34</v>
      </c>
    </row>
    <row r="90" customFormat="false" ht="15" hidden="false" customHeight="false" outlineLevel="0" collapsed="false">
      <c r="A90" s="12" t="str">
        <f aca="false">IF($C90="","",$H90)</f>
        <v/>
      </c>
      <c r="B90" s="12" t="str">
        <f aca="false">IF($C90="","",$I90)</f>
        <v/>
      </c>
      <c r="C90" s="10" t="str">
        <f aca="false">IFERROR(INDEX(06_重複排除後!$A:$A,MATCH($H90&amp;"-"&amp;$I90,06_重複排除後!$L:$L,0)),"")</f>
        <v/>
      </c>
      <c r="D90" s="10" t="str">
        <f aca="false">IF($C90="","",VLOOKUP($C90,06_重複排除後!$A:$B,2,0))</f>
        <v/>
      </c>
      <c r="E90" s="12" t="str">
        <f aca="false">IF($C90="","",VLOOKUP($C90,06_重複排除後!$A:$C,3,0))</f>
        <v/>
      </c>
      <c r="F90" s="12" t="str">
        <f aca="false">IF($C90="","",VLOOKUP($C90,06_重複排除後!$A:$E,5,0))</f>
        <v/>
      </c>
      <c r="G90" s="12" t="str">
        <f aca="false">IF($C90="","",VLOOKUP($C90,06_重複排除後!$A:$I,9,0))</f>
        <v/>
      </c>
      <c r="H90" s="11" t="s">
        <v>827</v>
      </c>
      <c r="I90" s="10" t="n">
        <v>35</v>
      </c>
    </row>
    <row r="91" customFormat="false" ht="15" hidden="false" customHeight="false" outlineLevel="0" collapsed="false">
      <c r="A91" s="12" t="str">
        <f aca="false">IF($C91="","",$H91)</f>
        <v/>
      </c>
      <c r="B91" s="12" t="str">
        <f aca="false">IF($C91="","",$I91)</f>
        <v/>
      </c>
      <c r="C91" s="10" t="str">
        <f aca="false">IFERROR(INDEX(06_重複排除後!$A:$A,MATCH($H91&amp;"-"&amp;$I91,06_重複排除後!$L:$L,0)),"")</f>
        <v/>
      </c>
      <c r="D91" s="10" t="str">
        <f aca="false">IF($C91="","",VLOOKUP($C91,06_重複排除後!$A:$B,2,0))</f>
        <v/>
      </c>
      <c r="E91" s="12" t="str">
        <f aca="false">IF($C91="","",VLOOKUP($C91,06_重複排除後!$A:$C,3,0))</f>
        <v/>
      </c>
      <c r="F91" s="12" t="str">
        <f aca="false">IF($C91="","",VLOOKUP($C91,06_重複排除後!$A:$E,5,0))</f>
        <v/>
      </c>
      <c r="G91" s="12" t="str">
        <f aca="false">IF($C91="","",VLOOKUP($C91,06_重複排除後!$A:$I,9,0))</f>
        <v/>
      </c>
      <c r="H91" s="11" t="s">
        <v>827</v>
      </c>
      <c r="I91" s="10" t="n">
        <v>36</v>
      </c>
    </row>
    <row r="92" customFormat="false" ht="15" hidden="false" customHeight="false" outlineLevel="0" collapsed="false">
      <c r="A92" s="12" t="str">
        <f aca="false">IF($C92="","",$H92)</f>
        <v/>
      </c>
      <c r="B92" s="12" t="str">
        <f aca="false">IF($C92="","",$I92)</f>
        <v/>
      </c>
      <c r="C92" s="10" t="str">
        <f aca="false">IFERROR(INDEX(06_重複排除後!$A:$A,MATCH($H92&amp;"-"&amp;$I92,06_重複排除後!$L:$L,0)),"")</f>
        <v/>
      </c>
      <c r="D92" s="10" t="str">
        <f aca="false">IF($C92="","",VLOOKUP($C92,06_重複排除後!$A:$B,2,0))</f>
        <v/>
      </c>
      <c r="E92" s="12" t="str">
        <f aca="false">IF($C92="","",VLOOKUP($C92,06_重複排除後!$A:$C,3,0))</f>
        <v/>
      </c>
      <c r="F92" s="12" t="str">
        <f aca="false">IF($C92="","",VLOOKUP($C92,06_重複排除後!$A:$E,5,0))</f>
        <v/>
      </c>
      <c r="G92" s="12" t="str">
        <f aca="false">IF($C92="","",VLOOKUP($C92,06_重複排除後!$A:$I,9,0))</f>
        <v/>
      </c>
      <c r="H92" s="11" t="s">
        <v>827</v>
      </c>
      <c r="I92" s="10" t="n">
        <v>37</v>
      </c>
    </row>
    <row r="93" customFormat="false" ht="15" hidden="false" customHeight="false" outlineLevel="0" collapsed="false">
      <c r="A93" s="12" t="str">
        <f aca="false">IF($C93="","",$H93)</f>
        <v/>
      </c>
      <c r="B93" s="12" t="str">
        <f aca="false">IF($C93="","",$I93)</f>
        <v/>
      </c>
      <c r="C93" s="10" t="str">
        <f aca="false">IFERROR(INDEX(06_重複排除後!$A:$A,MATCH($H93&amp;"-"&amp;$I93,06_重複排除後!$L:$L,0)),"")</f>
        <v/>
      </c>
      <c r="D93" s="10" t="str">
        <f aca="false">IF($C93="","",VLOOKUP($C93,06_重複排除後!$A:$B,2,0))</f>
        <v/>
      </c>
      <c r="E93" s="12" t="str">
        <f aca="false">IF($C93="","",VLOOKUP($C93,06_重複排除後!$A:$C,3,0))</f>
        <v/>
      </c>
      <c r="F93" s="12" t="str">
        <f aca="false">IF($C93="","",VLOOKUP($C93,06_重複排除後!$A:$E,5,0))</f>
        <v/>
      </c>
      <c r="G93" s="12" t="str">
        <f aca="false">IF($C93="","",VLOOKUP($C93,06_重複排除後!$A:$I,9,0))</f>
        <v/>
      </c>
      <c r="H93" s="11" t="s">
        <v>827</v>
      </c>
      <c r="I93" s="10" t="n">
        <v>38</v>
      </c>
    </row>
    <row r="94" customFormat="false" ht="15" hidden="false" customHeight="false" outlineLevel="0" collapsed="false">
      <c r="A94" s="12" t="str">
        <f aca="false">IF($C94="","",$H94)</f>
        <v/>
      </c>
      <c r="B94" s="12" t="str">
        <f aca="false">IF($C94="","",$I94)</f>
        <v/>
      </c>
      <c r="C94" s="10" t="str">
        <f aca="false">IFERROR(INDEX(06_重複排除後!$A:$A,MATCH($H94&amp;"-"&amp;$I94,06_重複排除後!$L:$L,0)),"")</f>
        <v/>
      </c>
      <c r="D94" s="10" t="str">
        <f aca="false">IF($C94="","",VLOOKUP($C94,06_重複排除後!$A:$B,2,0))</f>
        <v/>
      </c>
      <c r="E94" s="12" t="str">
        <f aca="false">IF($C94="","",VLOOKUP($C94,06_重複排除後!$A:$C,3,0))</f>
        <v/>
      </c>
      <c r="F94" s="12" t="str">
        <f aca="false">IF($C94="","",VLOOKUP($C94,06_重複排除後!$A:$E,5,0))</f>
        <v/>
      </c>
      <c r="G94" s="12" t="str">
        <f aca="false">IF($C94="","",VLOOKUP($C94,06_重複排除後!$A:$I,9,0))</f>
        <v/>
      </c>
      <c r="H94" s="11" t="s">
        <v>827</v>
      </c>
      <c r="I94" s="10" t="n">
        <v>39</v>
      </c>
    </row>
    <row r="95" customFormat="false" ht="15" hidden="false" customHeight="false" outlineLevel="0" collapsed="false">
      <c r="A95" s="12" t="str">
        <f aca="false">IF($C95="","",$H95)</f>
        <v/>
      </c>
      <c r="B95" s="12" t="str">
        <f aca="false">IF($C95="","",$I95)</f>
        <v/>
      </c>
      <c r="C95" s="10" t="str">
        <f aca="false">IFERROR(INDEX(06_重複排除後!$A:$A,MATCH($H95&amp;"-"&amp;$I95,06_重複排除後!$L:$L,0)),"")</f>
        <v/>
      </c>
      <c r="D95" s="10" t="str">
        <f aca="false">IF($C95="","",VLOOKUP($C95,06_重複排除後!$A:$B,2,0))</f>
        <v/>
      </c>
      <c r="E95" s="12" t="str">
        <f aca="false">IF($C95="","",VLOOKUP($C95,06_重複排除後!$A:$C,3,0))</f>
        <v/>
      </c>
      <c r="F95" s="12" t="str">
        <f aca="false">IF($C95="","",VLOOKUP($C95,06_重複排除後!$A:$E,5,0))</f>
        <v/>
      </c>
      <c r="G95" s="12" t="str">
        <f aca="false">IF($C95="","",VLOOKUP($C95,06_重複排除後!$A:$I,9,0))</f>
        <v/>
      </c>
      <c r="H95" s="11" t="s">
        <v>827</v>
      </c>
      <c r="I95" s="10" t="n">
        <v>40</v>
      </c>
    </row>
    <row r="96" customFormat="false" ht="15" hidden="false" customHeight="false" outlineLevel="0" collapsed="false">
      <c r="A96" s="12" t="str">
        <f aca="false">IF($C96="","",$H96)</f>
        <v/>
      </c>
      <c r="B96" s="12" t="str">
        <f aca="false">IF($C96="","",$I96)</f>
        <v/>
      </c>
      <c r="C96" s="10" t="str">
        <f aca="false">IFERROR(INDEX(06_重複排除後!$A:$A,MATCH($H96&amp;"-"&amp;$I96,06_重複排除後!$L:$L,0)),"")</f>
        <v/>
      </c>
      <c r="D96" s="10" t="str">
        <f aca="false">IF($C96="","",VLOOKUP($C96,06_重複排除後!$A:$B,2,0))</f>
        <v/>
      </c>
      <c r="E96" s="12" t="str">
        <f aca="false">IF($C96="","",VLOOKUP($C96,06_重複排除後!$A:$C,3,0))</f>
        <v/>
      </c>
      <c r="F96" s="12" t="str">
        <f aca="false">IF($C96="","",VLOOKUP($C96,06_重複排除後!$A:$E,5,0))</f>
        <v/>
      </c>
      <c r="G96" s="12" t="str">
        <f aca="false">IF($C96="","",VLOOKUP($C96,06_重複排除後!$A:$I,9,0))</f>
        <v/>
      </c>
      <c r="H96" s="11" t="s">
        <v>827</v>
      </c>
      <c r="I96" s="10" t="n">
        <v>41</v>
      </c>
    </row>
    <row r="97" customFormat="false" ht="15" hidden="false" customHeight="false" outlineLevel="0" collapsed="false">
      <c r="A97" s="12" t="str">
        <f aca="false">IF($C97="","",$H97)</f>
        <v/>
      </c>
      <c r="B97" s="12" t="str">
        <f aca="false">IF($C97="","",$I97)</f>
        <v/>
      </c>
      <c r="C97" s="10" t="str">
        <f aca="false">IFERROR(INDEX(06_重複排除後!$A:$A,MATCH($H97&amp;"-"&amp;$I97,06_重複排除後!$L:$L,0)),"")</f>
        <v/>
      </c>
      <c r="D97" s="10" t="str">
        <f aca="false">IF($C97="","",VLOOKUP($C97,06_重複排除後!$A:$B,2,0))</f>
        <v/>
      </c>
      <c r="E97" s="12" t="str">
        <f aca="false">IF($C97="","",VLOOKUP($C97,06_重複排除後!$A:$C,3,0))</f>
        <v/>
      </c>
      <c r="F97" s="12" t="str">
        <f aca="false">IF($C97="","",VLOOKUP($C97,06_重複排除後!$A:$E,5,0))</f>
        <v/>
      </c>
      <c r="G97" s="12" t="str">
        <f aca="false">IF($C97="","",VLOOKUP($C97,06_重複排除後!$A:$I,9,0))</f>
        <v/>
      </c>
      <c r="H97" s="11" t="s">
        <v>827</v>
      </c>
      <c r="I97" s="10" t="n">
        <v>42</v>
      </c>
    </row>
    <row r="98" customFormat="false" ht="15" hidden="false" customHeight="false" outlineLevel="0" collapsed="false">
      <c r="A98" s="12" t="str">
        <f aca="false">IF($C98="","",$H98)</f>
        <v/>
      </c>
      <c r="B98" s="12" t="str">
        <f aca="false">IF($C98="","",$I98)</f>
        <v/>
      </c>
      <c r="C98" s="10" t="str">
        <f aca="false">IFERROR(INDEX(06_重複排除後!$A:$A,MATCH($H98&amp;"-"&amp;$I98,06_重複排除後!$L:$L,0)),"")</f>
        <v/>
      </c>
      <c r="D98" s="10" t="str">
        <f aca="false">IF($C98="","",VLOOKUP($C98,06_重複排除後!$A:$B,2,0))</f>
        <v/>
      </c>
      <c r="E98" s="12" t="str">
        <f aca="false">IF($C98="","",VLOOKUP($C98,06_重複排除後!$A:$C,3,0))</f>
        <v/>
      </c>
      <c r="F98" s="12" t="str">
        <f aca="false">IF($C98="","",VLOOKUP($C98,06_重複排除後!$A:$E,5,0))</f>
        <v/>
      </c>
      <c r="G98" s="12" t="str">
        <f aca="false">IF($C98="","",VLOOKUP($C98,06_重複排除後!$A:$I,9,0))</f>
        <v/>
      </c>
      <c r="H98" s="11" t="s">
        <v>827</v>
      </c>
      <c r="I98" s="10" t="n">
        <v>43</v>
      </c>
    </row>
    <row r="99" customFormat="false" ht="15" hidden="false" customHeight="false" outlineLevel="0" collapsed="false">
      <c r="A99" s="12" t="str">
        <f aca="false">IF($C99="","",$H99)</f>
        <v/>
      </c>
      <c r="B99" s="12" t="str">
        <f aca="false">IF($C99="","",$I99)</f>
        <v/>
      </c>
      <c r="C99" s="10" t="str">
        <f aca="false">IFERROR(INDEX(06_重複排除後!$A:$A,MATCH($H99&amp;"-"&amp;$I99,06_重複排除後!$L:$L,0)),"")</f>
        <v/>
      </c>
      <c r="D99" s="10" t="str">
        <f aca="false">IF($C99="","",VLOOKUP($C99,06_重複排除後!$A:$B,2,0))</f>
        <v/>
      </c>
      <c r="E99" s="12" t="str">
        <f aca="false">IF($C99="","",VLOOKUP($C99,06_重複排除後!$A:$C,3,0))</f>
        <v/>
      </c>
      <c r="F99" s="12" t="str">
        <f aca="false">IF($C99="","",VLOOKUP($C99,06_重複排除後!$A:$E,5,0))</f>
        <v/>
      </c>
      <c r="G99" s="12" t="str">
        <f aca="false">IF($C99="","",VLOOKUP($C99,06_重複排除後!$A:$I,9,0))</f>
        <v/>
      </c>
      <c r="H99" s="11" t="s">
        <v>827</v>
      </c>
      <c r="I99" s="10" t="n">
        <v>44</v>
      </c>
    </row>
    <row r="100" customFormat="false" ht="15" hidden="false" customHeight="false" outlineLevel="0" collapsed="false">
      <c r="A100" s="12" t="str">
        <f aca="false">IF($C100="","",$H100)</f>
        <v/>
      </c>
      <c r="B100" s="12" t="str">
        <f aca="false">IF($C100="","",$I100)</f>
        <v/>
      </c>
      <c r="C100" s="10" t="str">
        <f aca="false">IFERROR(INDEX(06_重複排除後!$A:$A,MATCH($H100&amp;"-"&amp;$I100,06_重複排除後!$L:$L,0)),"")</f>
        <v/>
      </c>
      <c r="D100" s="10" t="str">
        <f aca="false">IF($C100="","",VLOOKUP($C100,06_重複排除後!$A:$B,2,0))</f>
        <v/>
      </c>
      <c r="E100" s="12" t="str">
        <f aca="false">IF($C100="","",VLOOKUP($C100,06_重複排除後!$A:$C,3,0))</f>
        <v/>
      </c>
      <c r="F100" s="12" t="str">
        <f aca="false">IF($C100="","",VLOOKUP($C100,06_重複排除後!$A:$E,5,0))</f>
        <v/>
      </c>
      <c r="G100" s="12" t="str">
        <f aca="false">IF($C100="","",VLOOKUP($C100,06_重複排除後!$A:$I,9,0))</f>
        <v/>
      </c>
      <c r="H100" s="11" t="s">
        <v>827</v>
      </c>
      <c r="I100" s="10" t="n">
        <v>45</v>
      </c>
    </row>
    <row r="101" customFormat="false" ht="15" hidden="false" customHeight="false" outlineLevel="0" collapsed="false">
      <c r="A101" s="12" t="str">
        <f aca="false">IF($C101="","",$H101)</f>
        <v/>
      </c>
      <c r="B101" s="12" t="str">
        <f aca="false">IF($C101="","",$I101)</f>
        <v/>
      </c>
      <c r="C101" s="10" t="str">
        <f aca="false">IFERROR(INDEX(06_重複排除後!$A:$A,MATCH($H101&amp;"-"&amp;$I101,06_重複排除後!$L:$L,0)),"")</f>
        <v/>
      </c>
      <c r="D101" s="10" t="str">
        <f aca="false">IF($C101="","",VLOOKUP($C101,06_重複排除後!$A:$B,2,0))</f>
        <v/>
      </c>
      <c r="E101" s="12" t="str">
        <f aca="false">IF($C101="","",VLOOKUP($C101,06_重複排除後!$A:$C,3,0))</f>
        <v/>
      </c>
      <c r="F101" s="12" t="str">
        <f aca="false">IF($C101="","",VLOOKUP($C101,06_重複排除後!$A:$E,5,0))</f>
        <v/>
      </c>
      <c r="G101" s="12" t="str">
        <f aca="false">IF($C101="","",VLOOKUP($C101,06_重複排除後!$A:$I,9,0))</f>
        <v/>
      </c>
      <c r="H101" s="11" t="s">
        <v>827</v>
      </c>
      <c r="I101" s="10" t="n">
        <v>46</v>
      </c>
    </row>
    <row r="102" customFormat="false" ht="15" hidden="false" customHeight="false" outlineLevel="0" collapsed="false">
      <c r="A102" s="12" t="str">
        <f aca="false">IF($C102="","",$H102)</f>
        <v/>
      </c>
      <c r="B102" s="12" t="str">
        <f aca="false">IF($C102="","",$I102)</f>
        <v/>
      </c>
      <c r="C102" s="10" t="str">
        <f aca="false">IFERROR(INDEX(06_重複排除後!$A:$A,MATCH($H102&amp;"-"&amp;$I102,06_重複排除後!$L:$L,0)),"")</f>
        <v/>
      </c>
      <c r="D102" s="10" t="str">
        <f aca="false">IF($C102="","",VLOOKUP($C102,06_重複排除後!$A:$B,2,0))</f>
        <v/>
      </c>
      <c r="E102" s="12" t="str">
        <f aca="false">IF($C102="","",VLOOKUP($C102,06_重複排除後!$A:$C,3,0))</f>
        <v/>
      </c>
      <c r="F102" s="12" t="str">
        <f aca="false">IF($C102="","",VLOOKUP($C102,06_重複排除後!$A:$E,5,0))</f>
        <v/>
      </c>
      <c r="G102" s="12" t="str">
        <f aca="false">IF($C102="","",VLOOKUP($C102,06_重複排除後!$A:$I,9,0))</f>
        <v/>
      </c>
      <c r="H102" s="11" t="s">
        <v>827</v>
      </c>
      <c r="I102" s="10" t="n">
        <v>47</v>
      </c>
    </row>
    <row r="103" customFormat="false" ht="15" hidden="false" customHeight="false" outlineLevel="0" collapsed="false">
      <c r="A103" s="12" t="str">
        <f aca="false">IF($C103="","",$H103)</f>
        <v/>
      </c>
      <c r="B103" s="12" t="str">
        <f aca="false">IF($C103="","",$I103)</f>
        <v/>
      </c>
      <c r="C103" s="10" t="str">
        <f aca="false">IFERROR(INDEX(06_重複排除後!$A:$A,MATCH($H103&amp;"-"&amp;$I103,06_重複排除後!$L:$L,0)),"")</f>
        <v/>
      </c>
      <c r="D103" s="10" t="str">
        <f aca="false">IF($C103="","",VLOOKUP($C103,06_重複排除後!$A:$B,2,0))</f>
        <v/>
      </c>
      <c r="E103" s="12" t="str">
        <f aca="false">IF($C103="","",VLOOKUP($C103,06_重複排除後!$A:$C,3,0))</f>
        <v/>
      </c>
      <c r="F103" s="12" t="str">
        <f aca="false">IF($C103="","",VLOOKUP($C103,06_重複排除後!$A:$E,5,0))</f>
        <v/>
      </c>
      <c r="G103" s="12" t="str">
        <f aca="false">IF($C103="","",VLOOKUP($C103,06_重複排除後!$A:$I,9,0))</f>
        <v/>
      </c>
      <c r="H103" s="11" t="s">
        <v>827</v>
      </c>
      <c r="I103" s="10" t="n">
        <v>48</v>
      </c>
    </row>
    <row r="104" customFormat="false" ht="15" hidden="false" customHeight="false" outlineLevel="0" collapsed="false">
      <c r="A104" s="12" t="str">
        <f aca="false">IF($C104="","",$H104)</f>
        <v/>
      </c>
      <c r="B104" s="12" t="str">
        <f aca="false">IF($C104="","",$I104)</f>
        <v/>
      </c>
      <c r="C104" s="10" t="str">
        <f aca="false">IFERROR(INDEX(06_重複排除後!$A:$A,MATCH($H104&amp;"-"&amp;$I104,06_重複排除後!$L:$L,0)),"")</f>
        <v/>
      </c>
      <c r="D104" s="10" t="str">
        <f aca="false">IF($C104="","",VLOOKUP($C104,06_重複排除後!$A:$B,2,0))</f>
        <v/>
      </c>
      <c r="E104" s="12" t="str">
        <f aca="false">IF($C104="","",VLOOKUP($C104,06_重複排除後!$A:$C,3,0))</f>
        <v/>
      </c>
      <c r="F104" s="12" t="str">
        <f aca="false">IF($C104="","",VLOOKUP($C104,06_重複排除後!$A:$E,5,0))</f>
        <v/>
      </c>
      <c r="G104" s="12" t="str">
        <f aca="false">IF($C104="","",VLOOKUP($C104,06_重複排除後!$A:$I,9,0))</f>
        <v/>
      </c>
      <c r="H104" s="11" t="s">
        <v>827</v>
      </c>
      <c r="I104" s="10" t="n">
        <v>49</v>
      </c>
    </row>
    <row r="105" customFormat="false" ht="15" hidden="false" customHeight="false" outlineLevel="0" collapsed="false">
      <c r="A105" s="12" t="str">
        <f aca="false">IF($C105="","",$H105)</f>
        <v/>
      </c>
      <c r="B105" s="12" t="str">
        <f aca="false">IF($C105="","",$I105)</f>
        <v/>
      </c>
      <c r="C105" s="10" t="str">
        <f aca="false">IFERROR(INDEX(06_重複排除後!$A:$A,MATCH($H105&amp;"-"&amp;$I105,06_重複排除後!$L:$L,0)),"")</f>
        <v/>
      </c>
      <c r="D105" s="10" t="str">
        <f aca="false">IF($C105="","",VLOOKUP($C105,06_重複排除後!$A:$B,2,0))</f>
        <v/>
      </c>
      <c r="E105" s="12" t="str">
        <f aca="false">IF($C105="","",VLOOKUP($C105,06_重複排除後!$A:$C,3,0))</f>
        <v/>
      </c>
      <c r="F105" s="12" t="str">
        <f aca="false">IF($C105="","",VLOOKUP($C105,06_重複排除後!$A:$E,5,0))</f>
        <v/>
      </c>
      <c r="G105" s="12" t="str">
        <f aca="false">IF($C105="","",VLOOKUP($C105,06_重複排除後!$A:$I,9,0))</f>
        <v/>
      </c>
      <c r="H105" s="11" t="s">
        <v>827</v>
      </c>
      <c r="I105" s="10" t="n">
        <v>50</v>
      </c>
    </row>
    <row r="106" customFormat="false" ht="15" hidden="false" customHeight="false" outlineLevel="0" collapsed="false">
      <c r="A106" s="12" t="str">
        <f aca="false">IF($C106="","",$H106)</f>
        <v/>
      </c>
      <c r="B106" s="12" t="str">
        <f aca="false">IF($C106="","",$I106)</f>
        <v/>
      </c>
      <c r="C106" s="10" t="str">
        <f aca="false">IFERROR(INDEX(06_重複排除後!$A:$A,MATCH($H106&amp;"-"&amp;$I106,06_重複排除後!$L:$L,0)),"")</f>
        <v/>
      </c>
      <c r="D106" s="10" t="str">
        <f aca="false">IF($C106="","",VLOOKUP($C106,06_重複排除後!$A:$B,2,0))</f>
        <v/>
      </c>
      <c r="E106" s="12" t="str">
        <f aca="false">IF($C106="","",VLOOKUP($C106,06_重複排除後!$A:$C,3,0))</f>
        <v/>
      </c>
      <c r="F106" s="12" t="str">
        <f aca="false">IF($C106="","",VLOOKUP($C106,06_重複排除後!$A:$E,5,0))</f>
        <v/>
      </c>
      <c r="G106" s="12" t="str">
        <f aca="false">IF($C106="","",VLOOKUP($C106,06_重複排除後!$A:$I,9,0))</f>
        <v/>
      </c>
      <c r="H106" s="11" t="s">
        <v>827</v>
      </c>
      <c r="I106" s="10" t="n">
        <v>51</v>
      </c>
    </row>
    <row r="107" customFormat="false" ht="15" hidden="false" customHeight="false" outlineLevel="0" collapsed="false">
      <c r="A107" s="12" t="str">
        <f aca="false">IF($C107="","",$H107)</f>
        <v/>
      </c>
      <c r="B107" s="12" t="str">
        <f aca="false">IF($C107="","",$I107)</f>
        <v/>
      </c>
      <c r="C107" s="10" t="str">
        <f aca="false">IFERROR(INDEX(06_重複排除後!$A:$A,MATCH($H107&amp;"-"&amp;$I107,06_重複排除後!$L:$L,0)),"")</f>
        <v/>
      </c>
      <c r="D107" s="10" t="str">
        <f aca="false">IF($C107="","",VLOOKUP($C107,06_重複排除後!$A:$B,2,0))</f>
        <v/>
      </c>
      <c r="E107" s="12" t="str">
        <f aca="false">IF($C107="","",VLOOKUP($C107,06_重複排除後!$A:$C,3,0))</f>
        <v/>
      </c>
      <c r="F107" s="12" t="str">
        <f aca="false">IF($C107="","",VLOOKUP($C107,06_重複排除後!$A:$E,5,0))</f>
        <v/>
      </c>
      <c r="G107" s="12" t="str">
        <f aca="false">IF($C107="","",VLOOKUP($C107,06_重複排除後!$A:$I,9,0))</f>
        <v/>
      </c>
      <c r="H107" s="11" t="s">
        <v>827</v>
      </c>
      <c r="I107" s="10" t="n">
        <v>52</v>
      </c>
    </row>
    <row r="108" customFormat="false" ht="15" hidden="false" customHeight="false" outlineLevel="0" collapsed="false">
      <c r="A108" s="12" t="str">
        <f aca="false">IF($C108="","",$H108)</f>
        <v/>
      </c>
      <c r="B108" s="12" t="str">
        <f aca="false">IF($C108="","",$I108)</f>
        <v/>
      </c>
      <c r="C108" s="10" t="str">
        <f aca="false">IFERROR(INDEX(06_重複排除後!$A:$A,MATCH($H108&amp;"-"&amp;$I108,06_重複排除後!$L:$L,0)),"")</f>
        <v/>
      </c>
      <c r="D108" s="10" t="str">
        <f aca="false">IF($C108="","",VLOOKUP($C108,06_重複排除後!$A:$B,2,0))</f>
        <v/>
      </c>
      <c r="E108" s="12" t="str">
        <f aca="false">IF($C108="","",VLOOKUP($C108,06_重複排除後!$A:$C,3,0))</f>
        <v/>
      </c>
      <c r="F108" s="12" t="str">
        <f aca="false">IF($C108="","",VLOOKUP($C108,06_重複排除後!$A:$E,5,0))</f>
        <v/>
      </c>
      <c r="G108" s="12" t="str">
        <f aca="false">IF($C108="","",VLOOKUP($C108,06_重複排除後!$A:$I,9,0))</f>
        <v/>
      </c>
      <c r="H108" s="11" t="s">
        <v>827</v>
      </c>
      <c r="I108" s="10" t="n">
        <v>53</v>
      </c>
    </row>
    <row r="109" customFormat="false" ht="15" hidden="false" customHeight="false" outlineLevel="0" collapsed="false">
      <c r="A109" s="12" t="str">
        <f aca="false">IF($C109="","",$H109)</f>
        <v/>
      </c>
      <c r="B109" s="12" t="str">
        <f aca="false">IF($C109="","",$I109)</f>
        <v/>
      </c>
      <c r="C109" s="10" t="str">
        <f aca="false">IFERROR(INDEX(06_重複排除後!$A:$A,MATCH($H109&amp;"-"&amp;$I109,06_重複排除後!$L:$L,0)),"")</f>
        <v/>
      </c>
      <c r="D109" s="10" t="str">
        <f aca="false">IF($C109="","",VLOOKUP($C109,06_重複排除後!$A:$B,2,0))</f>
        <v/>
      </c>
      <c r="E109" s="12" t="str">
        <f aca="false">IF($C109="","",VLOOKUP($C109,06_重複排除後!$A:$C,3,0))</f>
        <v/>
      </c>
      <c r="F109" s="12" t="str">
        <f aca="false">IF($C109="","",VLOOKUP($C109,06_重複排除後!$A:$E,5,0))</f>
        <v/>
      </c>
      <c r="G109" s="12" t="str">
        <f aca="false">IF($C109="","",VLOOKUP($C109,06_重複排除後!$A:$I,9,0))</f>
        <v/>
      </c>
      <c r="H109" s="11" t="s">
        <v>827</v>
      </c>
      <c r="I109" s="10" t="n">
        <v>54</v>
      </c>
    </row>
    <row r="110" customFormat="false" ht="15" hidden="false" customHeight="false" outlineLevel="0" collapsed="false">
      <c r="A110" s="12" t="str">
        <f aca="false">IF($C110="","",$H110)</f>
        <v/>
      </c>
      <c r="B110" s="12" t="str">
        <f aca="false">IF($C110="","",$I110)</f>
        <v/>
      </c>
      <c r="C110" s="10" t="str">
        <f aca="false">IFERROR(INDEX(06_重複排除後!$A:$A,MATCH($H110&amp;"-"&amp;$I110,06_重複排除後!$L:$L,0)),"")</f>
        <v/>
      </c>
      <c r="D110" s="10" t="str">
        <f aca="false">IF($C110="","",VLOOKUP($C110,06_重複排除後!$A:$B,2,0))</f>
        <v/>
      </c>
      <c r="E110" s="12" t="str">
        <f aca="false">IF($C110="","",VLOOKUP($C110,06_重複排除後!$A:$C,3,0))</f>
        <v/>
      </c>
      <c r="F110" s="12" t="str">
        <f aca="false">IF($C110="","",VLOOKUP($C110,06_重複排除後!$A:$E,5,0))</f>
        <v/>
      </c>
      <c r="G110" s="12" t="str">
        <f aca="false">IF($C110="","",VLOOKUP($C110,06_重複排除後!$A:$I,9,0))</f>
        <v/>
      </c>
      <c r="H110" s="11" t="s">
        <v>827</v>
      </c>
      <c r="I110" s="10" t="n">
        <v>55</v>
      </c>
    </row>
    <row r="111" customFormat="false" ht="15" hidden="false" customHeight="false" outlineLevel="0" collapsed="false">
      <c r="A111" s="12" t="str">
        <f aca="false">IF($C111="","",$H111)</f>
        <v/>
      </c>
      <c r="B111" s="12" t="str">
        <f aca="false">IF($C111="","",$I111)</f>
        <v/>
      </c>
      <c r="C111" s="10" t="str">
        <f aca="false">IFERROR(INDEX(06_重複排除後!$A:$A,MATCH($H111&amp;"-"&amp;$I111,06_重複排除後!$L:$L,0)),"")</f>
        <v/>
      </c>
      <c r="D111" s="10" t="str">
        <f aca="false">IF($C111="","",VLOOKUP($C111,06_重複排除後!$A:$B,2,0))</f>
        <v/>
      </c>
      <c r="E111" s="12" t="str">
        <f aca="false">IF($C111="","",VLOOKUP($C111,06_重複排除後!$A:$C,3,0))</f>
        <v/>
      </c>
      <c r="F111" s="12" t="str">
        <f aca="false">IF($C111="","",VLOOKUP($C111,06_重複排除後!$A:$E,5,0))</f>
        <v/>
      </c>
      <c r="G111" s="12" t="str">
        <f aca="false">IF($C111="","",VLOOKUP($C111,06_重複排除後!$A:$I,9,0))</f>
        <v/>
      </c>
      <c r="H111" s="11" t="s">
        <v>827</v>
      </c>
      <c r="I111" s="10" t="n">
        <v>56</v>
      </c>
    </row>
    <row r="112" customFormat="false" ht="15" hidden="false" customHeight="false" outlineLevel="0" collapsed="false">
      <c r="A112" s="12" t="str">
        <f aca="false">IF($C112="","",$H112)</f>
        <v/>
      </c>
      <c r="B112" s="12" t="str">
        <f aca="false">IF($C112="","",$I112)</f>
        <v/>
      </c>
      <c r="C112" s="10" t="str">
        <f aca="false">IFERROR(INDEX(06_重複排除後!$A:$A,MATCH($H112&amp;"-"&amp;$I112,06_重複排除後!$L:$L,0)),"")</f>
        <v/>
      </c>
      <c r="D112" s="10" t="str">
        <f aca="false">IF($C112="","",VLOOKUP($C112,06_重複排除後!$A:$B,2,0))</f>
        <v/>
      </c>
      <c r="E112" s="12" t="str">
        <f aca="false">IF($C112="","",VLOOKUP($C112,06_重複排除後!$A:$C,3,0))</f>
        <v/>
      </c>
      <c r="F112" s="12" t="str">
        <f aca="false">IF($C112="","",VLOOKUP($C112,06_重複排除後!$A:$E,5,0))</f>
        <v/>
      </c>
      <c r="G112" s="12" t="str">
        <f aca="false">IF($C112="","",VLOOKUP($C112,06_重複排除後!$A:$I,9,0))</f>
        <v/>
      </c>
      <c r="H112" s="11" t="s">
        <v>827</v>
      </c>
      <c r="I112" s="10" t="n">
        <v>57</v>
      </c>
    </row>
    <row r="113" customFormat="false" ht="15" hidden="false" customHeight="false" outlineLevel="0" collapsed="false">
      <c r="A113" s="12" t="str">
        <f aca="false">IF($C113="","",$H113)</f>
        <v/>
      </c>
      <c r="B113" s="12" t="str">
        <f aca="false">IF($C113="","",$I113)</f>
        <v/>
      </c>
      <c r="C113" s="10" t="str">
        <f aca="false">IFERROR(INDEX(06_重複排除後!$A:$A,MATCH($H113&amp;"-"&amp;$I113,06_重複排除後!$L:$L,0)),"")</f>
        <v/>
      </c>
      <c r="D113" s="10" t="str">
        <f aca="false">IF($C113="","",VLOOKUP($C113,06_重複排除後!$A:$B,2,0))</f>
        <v/>
      </c>
      <c r="E113" s="12" t="str">
        <f aca="false">IF($C113="","",VLOOKUP($C113,06_重複排除後!$A:$C,3,0))</f>
        <v/>
      </c>
      <c r="F113" s="12" t="str">
        <f aca="false">IF($C113="","",VLOOKUP($C113,06_重複排除後!$A:$E,5,0))</f>
        <v/>
      </c>
      <c r="G113" s="12" t="str">
        <f aca="false">IF($C113="","",VLOOKUP($C113,06_重複排除後!$A:$I,9,0))</f>
        <v/>
      </c>
      <c r="H113" s="11" t="s">
        <v>827</v>
      </c>
      <c r="I113" s="10" t="n">
        <v>58</v>
      </c>
    </row>
    <row r="114" customFormat="false" ht="15" hidden="false" customHeight="false" outlineLevel="0" collapsed="false">
      <c r="A114" s="12" t="str">
        <f aca="false">IF($C114="","",$H114)</f>
        <v/>
      </c>
      <c r="B114" s="12" t="str">
        <f aca="false">IF($C114="","",$I114)</f>
        <v/>
      </c>
      <c r="C114" s="10" t="str">
        <f aca="false">IFERROR(INDEX(06_重複排除後!$A:$A,MATCH($H114&amp;"-"&amp;$I114,06_重複排除後!$L:$L,0)),"")</f>
        <v/>
      </c>
      <c r="D114" s="10" t="str">
        <f aca="false">IF($C114="","",VLOOKUP($C114,06_重複排除後!$A:$B,2,0))</f>
        <v/>
      </c>
      <c r="E114" s="12" t="str">
        <f aca="false">IF($C114="","",VLOOKUP($C114,06_重複排除後!$A:$C,3,0))</f>
        <v/>
      </c>
      <c r="F114" s="12" t="str">
        <f aca="false">IF($C114="","",VLOOKUP($C114,06_重複排除後!$A:$E,5,0))</f>
        <v/>
      </c>
      <c r="G114" s="12" t="str">
        <f aca="false">IF($C114="","",VLOOKUP($C114,06_重複排除後!$A:$I,9,0))</f>
        <v/>
      </c>
      <c r="H114" s="11" t="s">
        <v>827</v>
      </c>
      <c r="I114" s="10" t="n">
        <v>59</v>
      </c>
    </row>
    <row r="115" customFormat="false" ht="15" hidden="false" customHeight="false" outlineLevel="0" collapsed="false">
      <c r="A115" s="12" t="str">
        <f aca="false">IF($C115="","",$H115)</f>
        <v/>
      </c>
      <c r="B115" s="12" t="str">
        <f aca="false">IF($C115="","",$I115)</f>
        <v/>
      </c>
      <c r="C115" s="10" t="str">
        <f aca="false">IFERROR(INDEX(06_重複排除後!$A:$A,MATCH($H115&amp;"-"&amp;$I115,06_重複排除後!$L:$L,0)),"")</f>
        <v/>
      </c>
      <c r="D115" s="10" t="str">
        <f aca="false">IF($C115="","",VLOOKUP($C115,06_重複排除後!$A:$B,2,0))</f>
        <v/>
      </c>
      <c r="E115" s="12" t="str">
        <f aca="false">IF($C115="","",VLOOKUP($C115,06_重複排除後!$A:$C,3,0))</f>
        <v/>
      </c>
      <c r="F115" s="12" t="str">
        <f aca="false">IF($C115="","",VLOOKUP($C115,06_重複排除後!$A:$E,5,0))</f>
        <v/>
      </c>
      <c r="G115" s="12" t="str">
        <f aca="false">IF($C115="","",VLOOKUP($C115,06_重複排除後!$A:$I,9,0))</f>
        <v/>
      </c>
      <c r="H115" s="11" t="s">
        <v>827</v>
      </c>
      <c r="I115" s="10" t="n">
        <v>60</v>
      </c>
    </row>
    <row r="116" customFormat="false" ht="15" hidden="false" customHeight="false" outlineLevel="0" collapsed="false">
      <c r="A116" s="12" t="str">
        <f aca="false">IF($C116="","",$H116)</f>
        <v/>
      </c>
      <c r="B116" s="12" t="str">
        <f aca="false">IF($C116="","",$I116)</f>
        <v/>
      </c>
      <c r="C116" s="10" t="str">
        <f aca="false">IFERROR(INDEX(06_重複排除後!$A:$A,MATCH($H116&amp;"-"&amp;$I116,06_重複排除後!$L:$L,0)),"")</f>
        <v/>
      </c>
      <c r="D116" s="10" t="str">
        <f aca="false">IF($C116="","",VLOOKUP($C116,06_重複排除後!$A:$B,2,0))</f>
        <v/>
      </c>
      <c r="E116" s="12" t="str">
        <f aca="false">IF($C116="","",VLOOKUP($C116,06_重複排除後!$A:$C,3,0))</f>
        <v/>
      </c>
      <c r="F116" s="12" t="str">
        <f aca="false">IF($C116="","",VLOOKUP($C116,06_重複排除後!$A:$E,5,0))</f>
        <v/>
      </c>
      <c r="G116" s="12" t="str">
        <f aca="false">IF($C116="","",VLOOKUP($C116,06_重複排除後!$A:$I,9,0))</f>
        <v/>
      </c>
      <c r="H116" s="11" t="s">
        <v>827</v>
      </c>
      <c r="I116" s="10" t="n">
        <v>61</v>
      </c>
    </row>
    <row r="117" customFormat="false" ht="15" hidden="false" customHeight="false" outlineLevel="0" collapsed="false">
      <c r="A117" s="12" t="str">
        <f aca="false">IF($C117="","",$H117)</f>
        <v/>
      </c>
      <c r="B117" s="12" t="str">
        <f aca="false">IF($C117="","",$I117)</f>
        <v/>
      </c>
      <c r="C117" s="10" t="str">
        <f aca="false">IFERROR(INDEX(06_重複排除後!$A:$A,MATCH($H117&amp;"-"&amp;$I117,06_重複排除後!$L:$L,0)),"")</f>
        <v/>
      </c>
      <c r="D117" s="10" t="str">
        <f aca="false">IF($C117="","",VLOOKUP($C117,06_重複排除後!$A:$B,2,0))</f>
        <v/>
      </c>
      <c r="E117" s="12" t="str">
        <f aca="false">IF($C117="","",VLOOKUP($C117,06_重複排除後!$A:$C,3,0))</f>
        <v/>
      </c>
      <c r="F117" s="12" t="str">
        <f aca="false">IF($C117="","",VLOOKUP($C117,06_重複排除後!$A:$E,5,0))</f>
        <v/>
      </c>
      <c r="G117" s="12" t="str">
        <f aca="false">IF($C117="","",VLOOKUP($C117,06_重複排除後!$A:$I,9,0))</f>
        <v/>
      </c>
      <c r="H117" s="11" t="s">
        <v>827</v>
      </c>
      <c r="I117" s="10" t="n">
        <v>62</v>
      </c>
    </row>
    <row r="118" customFormat="false" ht="15" hidden="false" customHeight="false" outlineLevel="0" collapsed="false">
      <c r="A118" s="12" t="str">
        <f aca="false">IF($C118="","",$H118)</f>
        <v/>
      </c>
      <c r="B118" s="12" t="str">
        <f aca="false">IF($C118="","",$I118)</f>
        <v/>
      </c>
      <c r="C118" s="10" t="str">
        <f aca="false">IFERROR(INDEX(06_重複排除後!$A:$A,MATCH($H118&amp;"-"&amp;$I118,06_重複排除後!$L:$L,0)),"")</f>
        <v/>
      </c>
      <c r="D118" s="10" t="str">
        <f aca="false">IF($C118="","",VLOOKUP($C118,06_重複排除後!$A:$B,2,0))</f>
        <v/>
      </c>
      <c r="E118" s="12" t="str">
        <f aca="false">IF($C118="","",VLOOKUP($C118,06_重複排除後!$A:$C,3,0))</f>
        <v/>
      </c>
      <c r="F118" s="12" t="str">
        <f aca="false">IF($C118="","",VLOOKUP($C118,06_重複排除後!$A:$E,5,0))</f>
        <v/>
      </c>
      <c r="G118" s="12" t="str">
        <f aca="false">IF($C118="","",VLOOKUP($C118,06_重複排除後!$A:$I,9,0))</f>
        <v/>
      </c>
      <c r="H118" s="11" t="s">
        <v>827</v>
      </c>
      <c r="I118" s="10" t="n">
        <v>63</v>
      </c>
    </row>
    <row r="119" customFormat="false" ht="15" hidden="false" customHeight="false" outlineLevel="0" collapsed="false">
      <c r="A119" s="12" t="str">
        <f aca="false">IF($C119="","",$H119)</f>
        <v/>
      </c>
      <c r="B119" s="12" t="str">
        <f aca="false">IF($C119="","",$I119)</f>
        <v/>
      </c>
      <c r="C119" s="10" t="str">
        <f aca="false">IFERROR(INDEX(06_重複排除後!$A:$A,MATCH($H119&amp;"-"&amp;$I119,06_重複排除後!$L:$L,0)),"")</f>
        <v/>
      </c>
      <c r="D119" s="10" t="str">
        <f aca="false">IF($C119="","",VLOOKUP($C119,06_重複排除後!$A:$B,2,0))</f>
        <v/>
      </c>
      <c r="E119" s="12" t="str">
        <f aca="false">IF($C119="","",VLOOKUP($C119,06_重複排除後!$A:$C,3,0))</f>
        <v/>
      </c>
      <c r="F119" s="12" t="str">
        <f aca="false">IF($C119="","",VLOOKUP($C119,06_重複排除後!$A:$E,5,0))</f>
        <v/>
      </c>
      <c r="G119" s="12" t="str">
        <f aca="false">IF($C119="","",VLOOKUP($C119,06_重複排除後!$A:$I,9,0))</f>
        <v/>
      </c>
      <c r="H119" s="11" t="s">
        <v>827</v>
      </c>
      <c r="I119" s="10" t="n">
        <v>64</v>
      </c>
    </row>
    <row r="120" customFormat="false" ht="15" hidden="false" customHeight="false" outlineLevel="0" collapsed="false">
      <c r="A120" s="12" t="str">
        <f aca="false">IF($C120="","",$H120)</f>
        <v/>
      </c>
      <c r="B120" s="12" t="str">
        <f aca="false">IF($C120="","",$I120)</f>
        <v/>
      </c>
      <c r="C120" s="10" t="str">
        <f aca="false">IFERROR(INDEX(06_重複排除後!$A:$A,MATCH($H120&amp;"-"&amp;$I120,06_重複排除後!$L:$L,0)),"")</f>
        <v/>
      </c>
      <c r="D120" s="10" t="str">
        <f aca="false">IF($C120="","",VLOOKUP($C120,06_重複排除後!$A:$B,2,0))</f>
        <v/>
      </c>
      <c r="E120" s="12" t="str">
        <f aca="false">IF($C120="","",VLOOKUP($C120,06_重複排除後!$A:$C,3,0))</f>
        <v/>
      </c>
      <c r="F120" s="12" t="str">
        <f aca="false">IF($C120="","",VLOOKUP($C120,06_重複排除後!$A:$E,5,0))</f>
        <v/>
      </c>
      <c r="G120" s="12" t="str">
        <f aca="false">IF($C120="","",VLOOKUP($C120,06_重複排除後!$A:$I,9,0))</f>
        <v/>
      </c>
      <c r="H120" s="11" t="s">
        <v>827</v>
      </c>
      <c r="I120" s="10" t="n">
        <v>65</v>
      </c>
    </row>
    <row r="121" customFormat="false" ht="15" hidden="false" customHeight="false" outlineLevel="0" collapsed="false">
      <c r="A121" s="12" t="str">
        <f aca="false">IF($C121="","",$H121)</f>
        <v/>
      </c>
      <c r="B121" s="12" t="str">
        <f aca="false">IF($C121="","",$I121)</f>
        <v/>
      </c>
      <c r="C121" s="10" t="str">
        <f aca="false">IFERROR(INDEX(06_重複排除後!$A:$A,MATCH($H121&amp;"-"&amp;$I121,06_重複排除後!$L:$L,0)),"")</f>
        <v/>
      </c>
      <c r="D121" s="10" t="str">
        <f aca="false">IF($C121="","",VLOOKUP($C121,06_重複排除後!$A:$B,2,0))</f>
        <v/>
      </c>
      <c r="E121" s="12" t="str">
        <f aca="false">IF($C121="","",VLOOKUP($C121,06_重複排除後!$A:$C,3,0))</f>
        <v/>
      </c>
      <c r="F121" s="12" t="str">
        <f aca="false">IF($C121="","",VLOOKUP($C121,06_重複排除後!$A:$E,5,0))</f>
        <v/>
      </c>
      <c r="G121" s="12" t="str">
        <f aca="false">IF($C121="","",VLOOKUP($C121,06_重複排除後!$A:$I,9,0))</f>
        <v/>
      </c>
      <c r="H121" s="11" t="s">
        <v>827</v>
      </c>
      <c r="I121" s="10" t="n">
        <v>66</v>
      </c>
    </row>
    <row r="122" customFormat="false" ht="15" hidden="false" customHeight="false" outlineLevel="0" collapsed="false">
      <c r="A122" s="12" t="str">
        <f aca="false">IF($C122="","",$H122)</f>
        <v/>
      </c>
      <c r="B122" s="12" t="str">
        <f aca="false">IF($C122="","",$I122)</f>
        <v/>
      </c>
      <c r="C122" s="10" t="str">
        <f aca="false">IFERROR(INDEX(06_重複排除後!$A:$A,MATCH($H122&amp;"-"&amp;$I122,06_重複排除後!$L:$L,0)),"")</f>
        <v/>
      </c>
      <c r="D122" s="10" t="str">
        <f aca="false">IF($C122="","",VLOOKUP($C122,06_重複排除後!$A:$B,2,0))</f>
        <v/>
      </c>
      <c r="E122" s="12" t="str">
        <f aca="false">IF($C122="","",VLOOKUP($C122,06_重複排除後!$A:$C,3,0))</f>
        <v/>
      </c>
      <c r="F122" s="12" t="str">
        <f aca="false">IF($C122="","",VLOOKUP($C122,06_重複排除後!$A:$E,5,0))</f>
        <v/>
      </c>
      <c r="G122" s="12" t="str">
        <f aca="false">IF($C122="","",VLOOKUP($C122,06_重複排除後!$A:$I,9,0))</f>
        <v/>
      </c>
      <c r="H122" s="11" t="s">
        <v>919</v>
      </c>
      <c r="I122" s="10" t="n">
        <v>1</v>
      </c>
    </row>
    <row r="123" customFormat="false" ht="15" hidden="false" customHeight="false" outlineLevel="0" collapsed="false">
      <c r="A123" s="12" t="str">
        <f aca="false">IF($C123="","",$H123)</f>
        <v/>
      </c>
      <c r="B123" s="12" t="str">
        <f aca="false">IF($C123="","",$I123)</f>
        <v/>
      </c>
      <c r="C123" s="10" t="str">
        <f aca="false">IFERROR(INDEX(06_重複排除後!$A:$A,MATCH($H123&amp;"-"&amp;$I123,06_重複排除後!$L:$L,0)),"")</f>
        <v/>
      </c>
      <c r="D123" s="10" t="str">
        <f aca="false">IF($C123="","",VLOOKUP($C123,06_重複排除後!$A:$B,2,0))</f>
        <v/>
      </c>
      <c r="E123" s="12" t="str">
        <f aca="false">IF($C123="","",VLOOKUP($C123,06_重複排除後!$A:$C,3,0))</f>
        <v/>
      </c>
      <c r="F123" s="12" t="str">
        <f aca="false">IF($C123="","",VLOOKUP($C123,06_重複排除後!$A:$E,5,0))</f>
        <v/>
      </c>
      <c r="G123" s="12" t="str">
        <f aca="false">IF($C123="","",VLOOKUP($C123,06_重複排除後!$A:$I,9,0))</f>
        <v/>
      </c>
      <c r="H123" s="11" t="s">
        <v>919</v>
      </c>
      <c r="I123" s="10" t="n">
        <v>2</v>
      </c>
    </row>
    <row r="124" customFormat="false" ht="15" hidden="false" customHeight="false" outlineLevel="0" collapsed="false">
      <c r="A124" s="12" t="str">
        <f aca="false">IF($C124="","",$H124)</f>
        <v/>
      </c>
      <c r="B124" s="12" t="str">
        <f aca="false">IF($C124="","",$I124)</f>
        <v/>
      </c>
      <c r="C124" s="10" t="str">
        <f aca="false">IFERROR(INDEX(06_重複排除後!$A:$A,MATCH($H124&amp;"-"&amp;$I124,06_重複排除後!$L:$L,0)),"")</f>
        <v/>
      </c>
      <c r="D124" s="10" t="str">
        <f aca="false">IF($C124="","",VLOOKUP($C124,06_重複排除後!$A:$B,2,0))</f>
        <v/>
      </c>
      <c r="E124" s="12" t="str">
        <f aca="false">IF($C124="","",VLOOKUP($C124,06_重複排除後!$A:$C,3,0))</f>
        <v/>
      </c>
      <c r="F124" s="12" t="str">
        <f aca="false">IF($C124="","",VLOOKUP($C124,06_重複排除後!$A:$E,5,0))</f>
        <v/>
      </c>
      <c r="G124" s="12" t="str">
        <f aca="false">IF($C124="","",VLOOKUP($C124,06_重複排除後!$A:$I,9,0))</f>
        <v/>
      </c>
      <c r="H124" s="11" t="s">
        <v>919</v>
      </c>
      <c r="I124" s="10" t="n">
        <v>3</v>
      </c>
    </row>
    <row r="125" customFormat="false" ht="15" hidden="false" customHeight="false" outlineLevel="0" collapsed="false">
      <c r="A125" s="12" t="str">
        <f aca="false">IF($C125="","",$H125)</f>
        <v/>
      </c>
      <c r="B125" s="12" t="str">
        <f aca="false">IF($C125="","",$I125)</f>
        <v/>
      </c>
      <c r="C125" s="10" t="str">
        <f aca="false">IFERROR(INDEX(06_重複排除後!$A:$A,MATCH($H125&amp;"-"&amp;$I125,06_重複排除後!$L:$L,0)),"")</f>
        <v/>
      </c>
      <c r="D125" s="10" t="str">
        <f aca="false">IF($C125="","",VLOOKUP($C125,06_重複排除後!$A:$B,2,0))</f>
        <v/>
      </c>
      <c r="E125" s="12" t="str">
        <f aca="false">IF($C125="","",VLOOKUP($C125,06_重複排除後!$A:$C,3,0))</f>
        <v/>
      </c>
      <c r="F125" s="12" t="str">
        <f aca="false">IF($C125="","",VLOOKUP($C125,06_重複排除後!$A:$E,5,0))</f>
        <v/>
      </c>
      <c r="G125" s="12" t="str">
        <f aca="false">IF($C125="","",VLOOKUP($C125,06_重複排除後!$A:$I,9,0))</f>
        <v/>
      </c>
      <c r="H125" s="11" t="s">
        <v>919</v>
      </c>
      <c r="I125" s="10" t="n">
        <v>4</v>
      </c>
    </row>
    <row r="126" customFormat="false" ht="15" hidden="false" customHeight="false" outlineLevel="0" collapsed="false">
      <c r="A126" s="12" t="str">
        <f aca="false">IF($C126="","",$H126)</f>
        <v/>
      </c>
      <c r="B126" s="12" t="str">
        <f aca="false">IF($C126="","",$I126)</f>
        <v/>
      </c>
      <c r="C126" s="10" t="str">
        <f aca="false">IFERROR(INDEX(06_重複排除後!$A:$A,MATCH($H126&amp;"-"&amp;$I126,06_重複排除後!$L:$L,0)),"")</f>
        <v/>
      </c>
      <c r="D126" s="10" t="str">
        <f aca="false">IF($C126="","",VLOOKUP($C126,06_重複排除後!$A:$B,2,0))</f>
        <v/>
      </c>
      <c r="E126" s="12" t="str">
        <f aca="false">IF($C126="","",VLOOKUP($C126,06_重複排除後!$A:$C,3,0))</f>
        <v/>
      </c>
      <c r="F126" s="12" t="str">
        <f aca="false">IF($C126="","",VLOOKUP($C126,06_重複排除後!$A:$E,5,0))</f>
        <v/>
      </c>
      <c r="G126" s="12" t="str">
        <f aca="false">IF($C126="","",VLOOKUP($C126,06_重複排除後!$A:$I,9,0))</f>
        <v/>
      </c>
      <c r="H126" s="11" t="s">
        <v>919</v>
      </c>
      <c r="I126" s="10" t="n">
        <v>5</v>
      </c>
    </row>
    <row r="127" customFormat="false" ht="15" hidden="false" customHeight="false" outlineLevel="0" collapsed="false">
      <c r="A127" s="12" t="str">
        <f aca="false">IF($C127="","",$H127)</f>
        <v/>
      </c>
      <c r="B127" s="12" t="str">
        <f aca="false">IF($C127="","",$I127)</f>
        <v/>
      </c>
      <c r="C127" s="10" t="str">
        <f aca="false">IFERROR(INDEX(06_重複排除後!$A:$A,MATCH($H127&amp;"-"&amp;$I127,06_重複排除後!$L:$L,0)),"")</f>
        <v/>
      </c>
      <c r="D127" s="10" t="str">
        <f aca="false">IF($C127="","",VLOOKUP($C127,06_重複排除後!$A:$B,2,0))</f>
        <v/>
      </c>
      <c r="E127" s="12" t="str">
        <f aca="false">IF($C127="","",VLOOKUP($C127,06_重複排除後!$A:$C,3,0))</f>
        <v/>
      </c>
      <c r="F127" s="12" t="str">
        <f aca="false">IF($C127="","",VLOOKUP($C127,06_重複排除後!$A:$E,5,0))</f>
        <v/>
      </c>
      <c r="G127" s="12" t="str">
        <f aca="false">IF($C127="","",VLOOKUP($C127,06_重複排除後!$A:$I,9,0))</f>
        <v/>
      </c>
      <c r="H127" s="11" t="s">
        <v>919</v>
      </c>
      <c r="I127" s="10" t="n">
        <v>6</v>
      </c>
    </row>
    <row r="128" customFormat="false" ht="15" hidden="false" customHeight="false" outlineLevel="0" collapsed="false">
      <c r="A128" s="12" t="str">
        <f aca="false">IF($C128="","",$H128)</f>
        <v/>
      </c>
      <c r="B128" s="12" t="str">
        <f aca="false">IF($C128="","",$I128)</f>
        <v/>
      </c>
      <c r="C128" s="10" t="str">
        <f aca="false">IFERROR(INDEX(06_重複排除後!$A:$A,MATCH($H128&amp;"-"&amp;$I128,06_重複排除後!$L:$L,0)),"")</f>
        <v/>
      </c>
      <c r="D128" s="10" t="str">
        <f aca="false">IF($C128="","",VLOOKUP($C128,06_重複排除後!$A:$B,2,0))</f>
        <v/>
      </c>
      <c r="E128" s="12" t="str">
        <f aca="false">IF($C128="","",VLOOKUP($C128,06_重複排除後!$A:$C,3,0))</f>
        <v/>
      </c>
      <c r="F128" s="12" t="str">
        <f aca="false">IF($C128="","",VLOOKUP($C128,06_重複排除後!$A:$E,5,0))</f>
        <v/>
      </c>
      <c r="G128" s="12" t="str">
        <f aca="false">IF($C128="","",VLOOKUP($C128,06_重複排除後!$A:$I,9,0))</f>
        <v/>
      </c>
      <c r="H128" s="11" t="s">
        <v>919</v>
      </c>
      <c r="I128" s="10" t="n">
        <v>7</v>
      </c>
    </row>
    <row r="129" customFormat="false" ht="15" hidden="false" customHeight="false" outlineLevel="0" collapsed="false">
      <c r="A129" s="12" t="str">
        <f aca="false">IF($C129="","",$H129)</f>
        <v/>
      </c>
      <c r="B129" s="12" t="str">
        <f aca="false">IF($C129="","",$I129)</f>
        <v/>
      </c>
      <c r="C129" s="10" t="str">
        <f aca="false">IFERROR(INDEX(06_重複排除後!$A:$A,MATCH($H129&amp;"-"&amp;$I129,06_重複排除後!$L:$L,0)),"")</f>
        <v/>
      </c>
      <c r="D129" s="10" t="str">
        <f aca="false">IF($C129="","",VLOOKUP($C129,06_重複排除後!$A:$B,2,0))</f>
        <v/>
      </c>
      <c r="E129" s="12" t="str">
        <f aca="false">IF($C129="","",VLOOKUP($C129,06_重複排除後!$A:$C,3,0))</f>
        <v/>
      </c>
      <c r="F129" s="12" t="str">
        <f aca="false">IF($C129="","",VLOOKUP($C129,06_重複排除後!$A:$E,5,0))</f>
        <v/>
      </c>
      <c r="G129" s="12" t="str">
        <f aca="false">IF($C129="","",VLOOKUP($C129,06_重複排除後!$A:$I,9,0))</f>
        <v/>
      </c>
      <c r="H129" s="11" t="s">
        <v>919</v>
      </c>
      <c r="I129" s="10" t="n">
        <v>8</v>
      </c>
    </row>
    <row r="130" customFormat="false" ht="15" hidden="false" customHeight="false" outlineLevel="0" collapsed="false">
      <c r="A130" s="12" t="str">
        <f aca="false">IF($C130="","",$H130)</f>
        <v/>
      </c>
      <c r="B130" s="12" t="str">
        <f aca="false">IF($C130="","",$I130)</f>
        <v/>
      </c>
      <c r="C130" s="10" t="str">
        <f aca="false">IFERROR(INDEX(06_重複排除後!$A:$A,MATCH($H130&amp;"-"&amp;$I130,06_重複排除後!$L:$L,0)),"")</f>
        <v/>
      </c>
      <c r="D130" s="10" t="str">
        <f aca="false">IF($C130="","",VLOOKUP($C130,06_重複排除後!$A:$B,2,0))</f>
        <v/>
      </c>
      <c r="E130" s="12" t="str">
        <f aca="false">IF($C130="","",VLOOKUP($C130,06_重複排除後!$A:$C,3,0))</f>
        <v/>
      </c>
      <c r="F130" s="12" t="str">
        <f aca="false">IF($C130="","",VLOOKUP($C130,06_重複排除後!$A:$E,5,0))</f>
        <v/>
      </c>
      <c r="G130" s="12" t="str">
        <f aca="false">IF($C130="","",VLOOKUP($C130,06_重複排除後!$A:$I,9,0))</f>
        <v/>
      </c>
      <c r="H130" s="11" t="s">
        <v>919</v>
      </c>
      <c r="I130" s="10" t="n">
        <v>9</v>
      </c>
    </row>
    <row r="131" customFormat="false" ht="15" hidden="false" customHeight="false" outlineLevel="0" collapsed="false">
      <c r="A131" s="12" t="str">
        <f aca="false">IF($C131="","",$H131)</f>
        <v/>
      </c>
      <c r="B131" s="12" t="str">
        <f aca="false">IF($C131="","",$I131)</f>
        <v/>
      </c>
      <c r="C131" s="10" t="str">
        <f aca="false">IFERROR(INDEX(06_重複排除後!$A:$A,MATCH($H131&amp;"-"&amp;$I131,06_重複排除後!$L:$L,0)),"")</f>
        <v/>
      </c>
      <c r="D131" s="10" t="str">
        <f aca="false">IF($C131="","",VLOOKUP($C131,06_重複排除後!$A:$B,2,0))</f>
        <v/>
      </c>
      <c r="E131" s="12" t="str">
        <f aca="false">IF($C131="","",VLOOKUP($C131,06_重複排除後!$A:$C,3,0))</f>
        <v/>
      </c>
      <c r="F131" s="12" t="str">
        <f aca="false">IF($C131="","",VLOOKUP($C131,06_重複排除後!$A:$E,5,0))</f>
        <v/>
      </c>
      <c r="G131" s="12" t="str">
        <f aca="false">IF($C131="","",VLOOKUP($C131,06_重複排除後!$A:$I,9,0))</f>
        <v/>
      </c>
      <c r="H131" s="11" t="s">
        <v>919</v>
      </c>
      <c r="I131" s="10" t="n">
        <v>10</v>
      </c>
    </row>
    <row r="132" customFormat="false" ht="15" hidden="false" customHeight="false" outlineLevel="0" collapsed="false">
      <c r="A132" s="12" t="str">
        <f aca="false">IF($C132="","",$H132)</f>
        <v/>
      </c>
      <c r="B132" s="12" t="str">
        <f aca="false">IF($C132="","",$I132)</f>
        <v/>
      </c>
      <c r="C132" s="10" t="str">
        <f aca="false">IFERROR(INDEX(06_重複排除後!$A:$A,MATCH($H132&amp;"-"&amp;$I132,06_重複排除後!$L:$L,0)),"")</f>
        <v/>
      </c>
      <c r="D132" s="10" t="str">
        <f aca="false">IF($C132="","",VLOOKUP($C132,06_重複排除後!$A:$B,2,0))</f>
        <v/>
      </c>
      <c r="E132" s="12" t="str">
        <f aca="false">IF($C132="","",VLOOKUP($C132,06_重複排除後!$A:$C,3,0))</f>
        <v/>
      </c>
      <c r="F132" s="12" t="str">
        <f aca="false">IF($C132="","",VLOOKUP($C132,06_重複排除後!$A:$E,5,0))</f>
        <v/>
      </c>
      <c r="G132" s="12" t="str">
        <f aca="false">IF($C132="","",VLOOKUP($C132,06_重複排除後!$A:$I,9,0))</f>
        <v/>
      </c>
      <c r="H132" s="11" t="s">
        <v>919</v>
      </c>
      <c r="I132" s="10" t="n">
        <v>11</v>
      </c>
    </row>
    <row r="133" customFormat="false" ht="15" hidden="false" customHeight="false" outlineLevel="0" collapsed="false">
      <c r="A133" s="12" t="str">
        <f aca="false">IF($C133="","",$H133)</f>
        <v/>
      </c>
      <c r="B133" s="12" t="str">
        <f aca="false">IF($C133="","",$I133)</f>
        <v/>
      </c>
      <c r="C133" s="10" t="str">
        <f aca="false">IFERROR(INDEX(06_重複排除後!$A:$A,MATCH($H133&amp;"-"&amp;$I133,06_重複排除後!$L:$L,0)),"")</f>
        <v/>
      </c>
      <c r="D133" s="10" t="str">
        <f aca="false">IF($C133="","",VLOOKUP($C133,06_重複排除後!$A:$B,2,0))</f>
        <v/>
      </c>
      <c r="E133" s="12" t="str">
        <f aca="false">IF($C133="","",VLOOKUP($C133,06_重複排除後!$A:$C,3,0))</f>
        <v/>
      </c>
      <c r="F133" s="12" t="str">
        <f aca="false">IF($C133="","",VLOOKUP($C133,06_重複排除後!$A:$E,5,0))</f>
        <v/>
      </c>
      <c r="G133" s="12" t="str">
        <f aca="false">IF($C133="","",VLOOKUP($C133,06_重複排除後!$A:$I,9,0))</f>
        <v/>
      </c>
      <c r="H133" s="11" t="s">
        <v>919</v>
      </c>
      <c r="I133" s="10" t="n">
        <v>12</v>
      </c>
    </row>
    <row r="134" customFormat="false" ht="15" hidden="false" customHeight="false" outlineLevel="0" collapsed="false">
      <c r="A134" s="12" t="str">
        <f aca="false">IF($C134="","",$H134)</f>
        <v/>
      </c>
      <c r="B134" s="12" t="str">
        <f aca="false">IF($C134="","",$I134)</f>
        <v/>
      </c>
      <c r="C134" s="10" t="str">
        <f aca="false">IFERROR(INDEX(06_重複排除後!$A:$A,MATCH($H134&amp;"-"&amp;$I134,06_重複排除後!$L:$L,0)),"")</f>
        <v/>
      </c>
      <c r="D134" s="10" t="str">
        <f aca="false">IF($C134="","",VLOOKUP($C134,06_重複排除後!$A:$B,2,0))</f>
        <v/>
      </c>
      <c r="E134" s="12" t="str">
        <f aca="false">IF($C134="","",VLOOKUP($C134,06_重複排除後!$A:$C,3,0))</f>
        <v/>
      </c>
      <c r="F134" s="12" t="str">
        <f aca="false">IF($C134="","",VLOOKUP($C134,06_重複排除後!$A:$E,5,0))</f>
        <v/>
      </c>
      <c r="G134" s="12" t="str">
        <f aca="false">IF($C134="","",VLOOKUP($C134,06_重複排除後!$A:$I,9,0))</f>
        <v/>
      </c>
      <c r="H134" s="11" t="s">
        <v>919</v>
      </c>
      <c r="I134" s="10" t="n">
        <v>13</v>
      </c>
    </row>
    <row r="135" customFormat="false" ht="15" hidden="false" customHeight="false" outlineLevel="0" collapsed="false">
      <c r="A135" s="12" t="str">
        <f aca="false">IF($C135="","",$H135)</f>
        <v/>
      </c>
      <c r="B135" s="12" t="str">
        <f aca="false">IF($C135="","",$I135)</f>
        <v/>
      </c>
      <c r="C135" s="10" t="str">
        <f aca="false">IFERROR(INDEX(06_重複排除後!$A:$A,MATCH($H135&amp;"-"&amp;$I135,06_重複排除後!$L:$L,0)),"")</f>
        <v/>
      </c>
      <c r="D135" s="10" t="str">
        <f aca="false">IF($C135="","",VLOOKUP($C135,06_重複排除後!$A:$B,2,0))</f>
        <v/>
      </c>
      <c r="E135" s="12" t="str">
        <f aca="false">IF($C135="","",VLOOKUP($C135,06_重複排除後!$A:$C,3,0))</f>
        <v/>
      </c>
      <c r="F135" s="12" t="str">
        <f aca="false">IF($C135="","",VLOOKUP($C135,06_重複排除後!$A:$E,5,0))</f>
        <v/>
      </c>
      <c r="G135" s="12" t="str">
        <f aca="false">IF($C135="","",VLOOKUP($C135,06_重複排除後!$A:$I,9,0))</f>
        <v/>
      </c>
      <c r="H135" s="11" t="s">
        <v>919</v>
      </c>
      <c r="I135" s="10" t="n">
        <v>14</v>
      </c>
    </row>
    <row r="136" customFormat="false" ht="15" hidden="false" customHeight="false" outlineLevel="0" collapsed="false">
      <c r="A136" s="12" t="str">
        <f aca="false">IF($C136="","",$H136)</f>
        <v/>
      </c>
      <c r="B136" s="12" t="str">
        <f aca="false">IF($C136="","",$I136)</f>
        <v/>
      </c>
      <c r="C136" s="10" t="str">
        <f aca="false">IFERROR(INDEX(06_重複排除後!$A:$A,MATCH($H136&amp;"-"&amp;$I136,06_重複排除後!$L:$L,0)),"")</f>
        <v/>
      </c>
      <c r="D136" s="10" t="str">
        <f aca="false">IF($C136="","",VLOOKUP($C136,06_重複排除後!$A:$B,2,0))</f>
        <v/>
      </c>
      <c r="E136" s="12" t="str">
        <f aca="false">IF($C136="","",VLOOKUP($C136,06_重複排除後!$A:$C,3,0))</f>
        <v/>
      </c>
      <c r="F136" s="12" t="str">
        <f aca="false">IF($C136="","",VLOOKUP($C136,06_重複排除後!$A:$E,5,0))</f>
        <v/>
      </c>
      <c r="G136" s="12" t="str">
        <f aca="false">IF($C136="","",VLOOKUP($C136,06_重複排除後!$A:$I,9,0))</f>
        <v/>
      </c>
      <c r="H136" s="11" t="s">
        <v>919</v>
      </c>
      <c r="I136" s="10" t="n">
        <v>15</v>
      </c>
    </row>
    <row r="137" customFormat="false" ht="15" hidden="false" customHeight="false" outlineLevel="0" collapsed="false">
      <c r="A137" s="12" t="str">
        <f aca="false">IF($C137="","",$H137)</f>
        <v/>
      </c>
      <c r="B137" s="12" t="str">
        <f aca="false">IF($C137="","",$I137)</f>
        <v/>
      </c>
      <c r="C137" s="10" t="str">
        <f aca="false">IFERROR(INDEX(06_重複排除後!$A:$A,MATCH($H137&amp;"-"&amp;$I137,06_重複排除後!$L:$L,0)),"")</f>
        <v/>
      </c>
      <c r="D137" s="10" t="str">
        <f aca="false">IF($C137="","",VLOOKUP($C137,06_重複排除後!$A:$B,2,0))</f>
        <v/>
      </c>
      <c r="E137" s="12" t="str">
        <f aca="false">IF($C137="","",VLOOKUP($C137,06_重複排除後!$A:$C,3,0))</f>
        <v/>
      </c>
      <c r="F137" s="12" t="str">
        <f aca="false">IF($C137="","",VLOOKUP($C137,06_重複排除後!$A:$E,5,0))</f>
        <v/>
      </c>
      <c r="G137" s="12" t="str">
        <f aca="false">IF($C137="","",VLOOKUP($C137,06_重複排除後!$A:$I,9,0))</f>
        <v/>
      </c>
      <c r="H137" s="11" t="s">
        <v>919</v>
      </c>
      <c r="I137" s="10" t="n">
        <v>16</v>
      </c>
    </row>
    <row r="138" customFormat="false" ht="15" hidden="false" customHeight="false" outlineLevel="0" collapsed="false">
      <c r="A138" s="12" t="str">
        <f aca="false">IF($C138="","",$H138)</f>
        <v/>
      </c>
      <c r="B138" s="12" t="str">
        <f aca="false">IF($C138="","",$I138)</f>
        <v/>
      </c>
      <c r="C138" s="10" t="str">
        <f aca="false">IFERROR(INDEX(06_重複排除後!$A:$A,MATCH($H138&amp;"-"&amp;$I138,06_重複排除後!$L:$L,0)),"")</f>
        <v/>
      </c>
      <c r="D138" s="10" t="str">
        <f aca="false">IF($C138="","",VLOOKUP($C138,06_重複排除後!$A:$B,2,0))</f>
        <v/>
      </c>
      <c r="E138" s="12" t="str">
        <f aca="false">IF($C138="","",VLOOKUP($C138,06_重複排除後!$A:$C,3,0))</f>
        <v/>
      </c>
      <c r="F138" s="12" t="str">
        <f aca="false">IF($C138="","",VLOOKUP($C138,06_重複排除後!$A:$E,5,0))</f>
        <v/>
      </c>
      <c r="G138" s="12" t="str">
        <f aca="false">IF($C138="","",VLOOKUP($C138,06_重複排除後!$A:$I,9,0))</f>
        <v/>
      </c>
      <c r="H138" s="11" t="s">
        <v>919</v>
      </c>
      <c r="I138" s="10" t="n">
        <v>17</v>
      </c>
    </row>
    <row r="139" customFormat="false" ht="15" hidden="false" customHeight="false" outlineLevel="0" collapsed="false">
      <c r="A139" s="12" t="str">
        <f aca="false">IF($C139="","",$H139)</f>
        <v/>
      </c>
      <c r="B139" s="12" t="str">
        <f aca="false">IF($C139="","",$I139)</f>
        <v/>
      </c>
      <c r="C139" s="10" t="str">
        <f aca="false">IFERROR(INDEX(06_重複排除後!$A:$A,MATCH($H139&amp;"-"&amp;$I139,06_重複排除後!$L:$L,0)),"")</f>
        <v/>
      </c>
      <c r="D139" s="10" t="str">
        <f aca="false">IF($C139="","",VLOOKUP($C139,06_重複排除後!$A:$B,2,0))</f>
        <v/>
      </c>
      <c r="E139" s="12" t="str">
        <f aca="false">IF($C139="","",VLOOKUP($C139,06_重複排除後!$A:$C,3,0))</f>
        <v/>
      </c>
      <c r="F139" s="12" t="str">
        <f aca="false">IF($C139="","",VLOOKUP($C139,06_重複排除後!$A:$E,5,0))</f>
        <v/>
      </c>
      <c r="G139" s="12" t="str">
        <f aca="false">IF($C139="","",VLOOKUP($C139,06_重複排除後!$A:$I,9,0))</f>
        <v/>
      </c>
      <c r="H139" s="11" t="s">
        <v>919</v>
      </c>
      <c r="I139" s="10" t="n">
        <v>18</v>
      </c>
    </row>
    <row r="140" customFormat="false" ht="15" hidden="false" customHeight="false" outlineLevel="0" collapsed="false">
      <c r="A140" s="12" t="str">
        <f aca="false">IF($C140="","",$H140)</f>
        <v/>
      </c>
      <c r="B140" s="12" t="str">
        <f aca="false">IF($C140="","",$I140)</f>
        <v/>
      </c>
      <c r="C140" s="10" t="str">
        <f aca="false">IFERROR(INDEX(06_重複排除後!$A:$A,MATCH($H140&amp;"-"&amp;$I140,06_重複排除後!$L:$L,0)),"")</f>
        <v/>
      </c>
      <c r="D140" s="10" t="str">
        <f aca="false">IF($C140="","",VLOOKUP($C140,06_重複排除後!$A:$B,2,0))</f>
        <v/>
      </c>
      <c r="E140" s="12" t="str">
        <f aca="false">IF($C140="","",VLOOKUP($C140,06_重複排除後!$A:$C,3,0))</f>
        <v/>
      </c>
      <c r="F140" s="12" t="str">
        <f aca="false">IF($C140="","",VLOOKUP($C140,06_重複排除後!$A:$E,5,0))</f>
        <v/>
      </c>
      <c r="G140" s="12" t="str">
        <f aca="false">IF($C140="","",VLOOKUP($C140,06_重複排除後!$A:$I,9,0))</f>
        <v/>
      </c>
      <c r="H140" s="11" t="s">
        <v>919</v>
      </c>
      <c r="I140" s="10" t="n">
        <v>19</v>
      </c>
    </row>
    <row r="141" customFormat="false" ht="15" hidden="false" customHeight="false" outlineLevel="0" collapsed="false">
      <c r="A141" s="12" t="str">
        <f aca="false">IF($C141="","",$H141)</f>
        <v/>
      </c>
      <c r="B141" s="12" t="str">
        <f aca="false">IF($C141="","",$I141)</f>
        <v/>
      </c>
      <c r="C141" s="10" t="str">
        <f aca="false">IFERROR(INDEX(06_重複排除後!$A:$A,MATCH($H141&amp;"-"&amp;$I141,06_重複排除後!$L:$L,0)),"")</f>
        <v/>
      </c>
      <c r="D141" s="10" t="str">
        <f aca="false">IF($C141="","",VLOOKUP($C141,06_重複排除後!$A:$B,2,0))</f>
        <v/>
      </c>
      <c r="E141" s="12" t="str">
        <f aca="false">IF($C141="","",VLOOKUP($C141,06_重複排除後!$A:$C,3,0))</f>
        <v/>
      </c>
      <c r="F141" s="12" t="str">
        <f aca="false">IF($C141="","",VLOOKUP($C141,06_重複排除後!$A:$E,5,0))</f>
        <v/>
      </c>
      <c r="G141" s="12" t="str">
        <f aca="false">IF($C141="","",VLOOKUP($C141,06_重複排除後!$A:$I,9,0))</f>
        <v/>
      </c>
      <c r="H141" s="11" t="s">
        <v>919</v>
      </c>
      <c r="I141" s="10" t="n">
        <v>20</v>
      </c>
    </row>
    <row r="142" customFormat="false" ht="15" hidden="false" customHeight="false" outlineLevel="0" collapsed="false">
      <c r="A142" s="12" t="str">
        <f aca="false">IF($C142="","",$H142)</f>
        <v/>
      </c>
      <c r="B142" s="12" t="str">
        <f aca="false">IF($C142="","",$I142)</f>
        <v/>
      </c>
      <c r="C142" s="10" t="str">
        <f aca="false">IFERROR(INDEX(06_重複排除後!$A:$A,MATCH($H142&amp;"-"&amp;$I142,06_重複排除後!$L:$L,0)),"")</f>
        <v/>
      </c>
      <c r="D142" s="10" t="str">
        <f aca="false">IF($C142="","",VLOOKUP($C142,06_重複排除後!$A:$B,2,0))</f>
        <v/>
      </c>
      <c r="E142" s="12" t="str">
        <f aca="false">IF($C142="","",VLOOKUP($C142,06_重複排除後!$A:$C,3,0))</f>
        <v/>
      </c>
      <c r="F142" s="12" t="str">
        <f aca="false">IF($C142="","",VLOOKUP($C142,06_重複排除後!$A:$E,5,0))</f>
        <v/>
      </c>
      <c r="G142" s="12" t="str">
        <f aca="false">IF($C142="","",VLOOKUP($C142,06_重複排除後!$A:$I,9,0))</f>
        <v/>
      </c>
      <c r="H142" s="11" t="s">
        <v>919</v>
      </c>
      <c r="I142" s="10" t="n">
        <v>21</v>
      </c>
    </row>
    <row r="143" customFormat="false" ht="15" hidden="false" customHeight="false" outlineLevel="0" collapsed="false">
      <c r="A143" s="12" t="str">
        <f aca="false">IF($C143="","",$H143)</f>
        <v/>
      </c>
      <c r="B143" s="12" t="str">
        <f aca="false">IF($C143="","",$I143)</f>
        <v/>
      </c>
      <c r="C143" s="10" t="str">
        <f aca="false">IFERROR(INDEX(06_重複排除後!$A:$A,MATCH($H143&amp;"-"&amp;$I143,06_重複排除後!$L:$L,0)),"")</f>
        <v/>
      </c>
      <c r="D143" s="10" t="str">
        <f aca="false">IF($C143="","",VLOOKUP($C143,06_重複排除後!$A:$B,2,0))</f>
        <v/>
      </c>
      <c r="E143" s="12" t="str">
        <f aca="false">IF($C143="","",VLOOKUP($C143,06_重複排除後!$A:$C,3,0))</f>
        <v/>
      </c>
      <c r="F143" s="12" t="str">
        <f aca="false">IF($C143="","",VLOOKUP($C143,06_重複排除後!$A:$E,5,0))</f>
        <v/>
      </c>
      <c r="G143" s="12" t="str">
        <f aca="false">IF($C143="","",VLOOKUP($C143,06_重複排除後!$A:$I,9,0))</f>
        <v/>
      </c>
      <c r="H143" s="11" t="s">
        <v>919</v>
      </c>
      <c r="I143" s="10" t="n">
        <v>22</v>
      </c>
    </row>
    <row r="144" customFormat="false" ht="15" hidden="false" customHeight="false" outlineLevel="0" collapsed="false">
      <c r="A144" s="12" t="str">
        <f aca="false">IF($C144="","",$H144)</f>
        <v/>
      </c>
      <c r="B144" s="12" t="str">
        <f aca="false">IF($C144="","",$I144)</f>
        <v/>
      </c>
      <c r="C144" s="10" t="str">
        <f aca="false">IFERROR(INDEX(06_重複排除後!$A:$A,MATCH($H144&amp;"-"&amp;$I144,06_重複排除後!$L:$L,0)),"")</f>
        <v/>
      </c>
      <c r="D144" s="10" t="str">
        <f aca="false">IF($C144="","",VLOOKUP($C144,06_重複排除後!$A:$B,2,0))</f>
        <v/>
      </c>
      <c r="E144" s="12" t="str">
        <f aca="false">IF($C144="","",VLOOKUP($C144,06_重複排除後!$A:$C,3,0))</f>
        <v/>
      </c>
      <c r="F144" s="12" t="str">
        <f aca="false">IF($C144="","",VLOOKUP($C144,06_重複排除後!$A:$E,5,0))</f>
        <v/>
      </c>
      <c r="G144" s="12" t="str">
        <f aca="false">IF($C144="","",VLOOKUP($C144,06_重複排除後!$A:$I,9,0))</f>
        <v/>
      </c>
      <c r="H144" s="11" t="s">
        <v>919</v>
      </c>
      <c r="I144" s="10" t="n">
        <v>23</v>
      </c>
    </row>
    <row r="145" customFormat="false" ht="15" hidden="false" customHeight="false" outlineLevel="0" collapsed="false">
      <c r="A145" s="12" t="str">
        <f aca="false">IF($C145="","",$H145)</f>
        <v/>
      </c>
      <c r="B145" s="12" t="str">
        <f aca="false">IF($C145="","",$I145)</f>
        <v/>
      </c>
      <c r="C145" s="10" t="str">
        <f aca="false">IFERROR(INDEX(06_重複排除後!$A:$A,MATCH($H145&amp;"-"&amp;$I145,06_重複排除後!$L:$L,0)),"")</f>
        <v/>
      </c>
      <c r="D145" s="10" t="str">
        <f aca="false">IF($C145="","",VLOOKUP($C145,06_重複排除後!$A:$B,2,0))</f>
        <v/>
      </c>
      <c r="E145" s="12" t="str">
        <f aca="false">IF($C145="","",VLOOKUP($C145,06_重複排除後!$A:$C,3,0))</f>
        <v/>
      </c>
      <c r="F145" s="12" t="str">
        <f aca="false">IF($C145="","",VLOOKUP($C145,06_重複排除後!$A:$E,5,0))</f>
        <v/>
      </c>
      <c r="G145" s="12" t="str">
        <f aca="false">IF($C145="","",VLOOKUP($C145,06_重複排除後!$A:$I,9,0))</f>
        <v/>
      </c>
      <c r="H145" s="11" t="s">
        <v>919</v>
      </c>
      <c r="I145" s="10" t="n">
        <v>24</v>
      </c>
    </row>
    <row r="146" customFormat="false" ht="15" hidden="false" customHeight="false" outlineLevel="0" collapsed="false">
      <c r="A146" s="12" t="str">
        <f aca="false">IF($C146="","",$H146)</f>
        <v/>
      </c>
      <c r="B146" s="12" t="str">
        <f aca="false">IF($C146="","",$I146)</f>
        <v/>
      </c>
      <c r="C146" s="10" t="str">
        <f aca="false">IFERROR(INDEX(06_重複排除後!$A:$A,MATCH($H146&amp;"-"&amp;$I146,06_重複排除後!$L:$L,0)),"")</f>
        <v/>
      </c>
      <c r="D146" s="10" t="str">
        <f aca="false">IF($C146="","",VLOOKUP($C146,06_重複排除後!$A:$B,2,0))</f>
        <v/>
      </c>
      <c r="E146" s="12" t="str">
        <f aca="false">IF($C146="","",VLOOKUP($C146,06_重複排除後!$A:$C,3,0))</f>
        <v/>
      </c>
      <c r="F146" s="12" t="str">
        <f aca="false">IF($C146="","",VLOOKUP($C146,06_重複排除後!$A:$E,5,0))</f>
        <v/>
      </c>
      <c r="G146" s="12" t="str">
        <f aca="false">IF($C146="","",VLOOKUP($C146,06_重複排除後!$A:$I,9,0))</f>
        <v/>
      </c>
      <c r="H146" s="11" t="s">
        <v>919</v>
      </c>
      <c r="I146" s="10" t="n">
        <v>25</v>
      </c>
    </row>
    <row r="147" customFormat="false" ht="15" hidden="false" customHeight="false" outlineLevel="0" collapsed="false">
      <c r="A147" s="12" t="str">
        <f aca="false">IF($C147="","",$H147)</f>
        <v/>
      </c>
      <c r="B147" s="12" t="str">
        <f aca="false">IF($C147="","",$I147)</f>
        <v/>
      </c>
      <c r="C147" s="10" t="str">
        <f aca="false">IFERROR(INDEX(06_重複排除後!$A:$A,MATCH($H147&amp;"-"&amp;$I147,06_重複排除後!$L:$L,0)),"")</f>
        <v/>
      </c>
      <c r="D147" s="10" t="str">
        <f aca="false">IF($C147="","",VLOOKUP($C147,06_重複排除後!$A:$B,2,0))</f>
        <v/>
      </c>
      <c r="E147" s="12" t="str">
        <f aca="false">IF($C147="","",VLOOKUP($C147,06_重複排除後!$A:$C,3,0))</f>
        <v/>
      </c>
      <c r="F147" s="12" t="str">
        <f aca="false">IF($C147="","",VLOOKUP($C147,06_重複排除後!$A:$E,5,0))</f>
        <v/>
      </c>
      <c r="G147" s="12" t="str">
        <f aca="false">IF($C147="","",VLOOKUP($C147,06_重複排除後!$A:$I,9,0))</f>
        <v/>
      </c>
      <c r="H147" s="11" t="s">
        <v>919</v>
      </c>
      <c r="I147" s="10" t="n">
        <v>26</v>
      </c>
    </row>
    <row r="148" customFormat="false" ht="15" hidden="false" customHeight="false" outlineLevel="0" collapsed="false">
      <c r="A148" s="12" t="str">
        <f aca="false">IF($C148="","",$H148)</f>
        <v/>
      </c>
      <c r="B148" s="12" t="str">
        <f aca="false">IF($C148="","",$I148)</f>
        <v/>
      </c>
      <c r="C148" s="10" t="str">
        <f aca="false">IFERROR(INDEX(06_重複排除後!$A:$A,MATCH($H148&amp;"-"&amp;$I148,06_重複排除後!$L:$L,0)),"")</f>
        <v/>
      </c>
      <c r="D148" s="10" t="str">
        <f aca="false">IF($C148="","",VLOOKUP($C148,06_重複排除後!$A:$B,2,0))</f>
        <v/>
      </c>
      <c r="E148" s="12" t="str">
        <f aca="false">IF($C148="","",VLOOKUP($C148,06_重複排除後!$A:$C,3,0))</f>
        <v/>
      </c>
      <c r="F148" s="12" t="str">
        <f aca="false">IF($C148="","",VLOOKUP($C148,06_重複排除後!$A:$E,5,0))</f>
        <v/>
      </c>
      <c r="G148" s="12" t="str">
        <f aca="false">IF($C148="","",VLOOKUP($C148,06_重複排除後!$A:$I,9,0))</f>
        <v/>
      </c>
      <c r="H148" s="11" t="s">
        <v>919</v>
      </c>
      <c r="I148" s="10" t="n">
        <v>27</v>
      </c>
    </row>
    <row r="149" customFormat="false" ht="15" hidden="false" customHeight="false" outlineLevel="0" collapsed="false">
      <c r="A149" s="12" t="str">
        <f aca="false">IF($C149="","",$H149)</f>
        <v/>
      </c>
      <c r="B149" s="12" t="str">
        <f aca="false">IF($C149="","",$I149)</f>
        <v/>
      </c>
      <c r="C149" s="10" t="str">
        <f aca="false">IFERROR(INDEX(06_重複排除後!$A:$A,MATCH($H149&amp;"-"&amp;$I149,06_重複排除後!$L:$L,0)),"")</f>
        <v/>
      </c>
      <c r="D149" s="10" t="str">
        <f aca="false">IF($C149="","",VLOOKUP($C149,06_重複排除後!$A:$B,2,0))</f>
        <v/>
      </c>
      <c r="E149" s="12" t="str">
        <f aca="false">IF($C149="","",VLOOKUP($C149,06_重複排除後!$A:$C,3,0))</f>
        <v/>
      </c>
      <c r="F149" s="12" t="str">
        <f aca="false">IF($C149="","",VLOOKUP($C149,06_重複排除後!$A:$E,5,0))</f>
        <v/>
      </c>
      <c r="G149" s="12" t="str">
        <f aca="false">IF($C149="","",VLOOKUP($C149,06_重複排除後!$A:$I,9,0))</f>
        <v/>
      </c>
      <c r="H149" s="11" t="s">
        <v>919</v>
      </c>
      <c r="I149" s="10" t="n">
        <v>28</v>
      </c>
    </row>
    <row r="150" customFormat="false" ht="15" hidden="false" customHeight="false" outlineLevel="0" collapsed="false">
      <c r="A150" s="12" t="str">
        <f aca="false">IF($C150="","",$H150)</f>
        <v/>
      </c>
      <c r="B150" s="12" t="str">
        <f aca="false">IF($C150="","",$I150)</f>
        <v/>
      </c>
      <c r="C150" s="10" t="str">
        <f aca="false">IFERROR(INDEX(06_重複排除後!$A:$A,MATCH($H150&amp;"-"&amp;$I150,06_重複排除後!$L:$L,0)),"")</f>
        <v/>
      </c>
      <c r="D150" s="10" t="str">
        <f aca="false">IF($C150="","",VLOOKUP($C150,06_重複排除後!$A:$B,2,0))</f>
        <v/>
      </c>
      <c r="E150" s="12" t="str">
        <f aca="false">IF($C150="","",VLOOKUP($C150,06_重複排除後!$A:$C,3,0))</f>
        <v/>
      </c>
      <c r="F150" s="12" t="str">
        <f aca="false">IF($C150="","",VLOOKUP($C150,06_重複排除後!$A:$E,5,0))</f>
        <v/>
      </c>
      <c r="G150" s="12" t="str">
        <f aca="false">IF($C150="","",VLOOKUP($C150,06_重複排除後!$A:$I,9,0))</f>
        <v/>
      </c>
      <c r="H150" s="11" t="s">
        <v>919</v>
      </c>
      <c r="I150" s="10" t="n">
        <v>29</v>
      </c>
    </row>
    <row r="151" customFormat="false" ht="15" hidden="false" customHeight="false" outlineLevel="0" collapsed="false">
      <c r="A151" s="12" t="str">
        <f aca="false">IF($C151="","",$H151)</f>
        <v/>
      </c>
      <c r="B151" s="12" t="str">
        <f aca="false">IF($C151="","",$I151)</f>
        <v/>
      </c>
      <c r="C151" s="10" t="str">
        <f aca="false">IFERROR(INDEX(06_重複排除後!$A:$A,MATCH($H151&amp;"-"&amp;$I151,06_重複排除後!$L:$L,0)),"")</f>
        <v/>
      </c>
      <c r="D151" s="10" t="str">
        <f aca="false">IF($C151="","",VLOOKUP($C151,06_重複排除後!$A:$B,2,0))</f>
        <v/>
      </c>
      <c r="E151" s="12" t="str">
        <f aca="false">IF($C151="","",VLOOKUP($C151,06_重複排除後!$A:$C,3,0))</f>
        <v/>
      </c>
      <c r="F151" s="12" t="str">
        <f aca="false">IF($C151="","",VLOOKUP($C151,06_重複排除後!$A:$E,5,0))</f>
        <v/>
      </c>
      <c r="G151" s="12" t="str">
        <f aca="false">IF($C151="","",VLOOKUP($C151,06_重複排除後!$A:$I,9,0))</f>
        <v/>
      </c>
      <c r="H151" s="11" t="s">
        <v>919</v>
      </c>
      <c r="I151" s="10" t="n">
        <v>30</v>
      </c>
    </row>
    <row r="152" customFormat="false" ht="15" hidden="false" customHeight="false" outlineLevel="0" collapsed="false">
      <c r="A152" s="12" t="str">
        <f aca="false">IF($C152="","",$H152)</f>
        <v/>
      </c>
      <c r="B152" s="12" t="str">
        <f aca="false">IF($C152="","",$I152)</f>
        <v/>
      </c>
      <c r="C152" s="10" t="str">
        <f aca="false">IFERROR(INDEX(06_重複排除後!$A:$A,MATCH($H152&amp;"-"&amp;$I152,06_重複排除後!$L:$L,0)),"")</f>
        <v/>
      </c>
      <c r="D152" s="10" t="str">
        <f aca="false">IF($C152="","",VLOOKUP($C152,06_重複排除後!$A:$B,2,0))</f>
        <v/>
      </c>
      <c r="E152" s="12" t="str">
        <f aca="false">IF($C152="","",VLOOKUP($C152,06_重複排除後!$A:$C,3,0))</f>
        <v/>
      </c>
      <c r="F152" s="12" t="str">
        <f aca="false">IF($C152="","",VLOOKUP($C152,06_重複排除後!$A:$E,5,0))</f>
        <v/>
      </c>
      <c r="G152" s="12" t="str">
        <f aca="false">IF($C152="","",VLOOKUP($C152,06_重複排除後!$A:$I,9,0))</f>
        <v/>
      </c>
      <c r="H152" s="11" t="s">
        <v>919</v>
      </c>
      <c r="I152" s="10" t="n">
        <v>31</v>
      </c>
    </row>
    <row r="153" customFormat="false" ht="15" hidden="false" customHeight="false" outlineLevel="0" collapsed="false">
      <c r="A153" s="12" t="str">
        <f aca="false">IF($C153="","",$H153)</f>
        <v/>
      </c>
      <c r="B153" s="12" t="str">
        <f aca="false">IF($C153="","",$I153)</f>
        <v/>
      </c>
      <c r="C153" s="10" t="str">
        <f aca="false">IFERROR(INDEX(06_重複排除後!$A:$A,MATCH($H153&amp;"-"&amp;$I153,06_重複排除後!$L:$L,0)),"")</f>
        <v/>
      </c>
      <c r="D153" s="10" t="str">
        <f aca="false">IF($C153="","",VLOOKUP($C153,06_重複排除後!$A:$B,2,0))</f>
        <v/>
      </c>
      <c r="E153" s="12" t="str">
        <f aca="false">IF($C153="","",VLOOKUP($C153,06_重複排除後!$A:$C,3,0))</f>
        <v/>
      </c>
      <c r="F153" s="12" t="str">
        <f aca="false">IF($C153="","",VLOOKUP($C153,06_重複排除後!$A:$E,5,0))</f>
        <v/>
      </c>
      <c r="G153" s="12" t="str">
        <f aca="false">IF($C153="","",VLOOKUP($C153,06_重複排除後!$A:$I,9,0))</f>
        <v/>
      </c>
      <c r="H153" s="11" t="s">
        <v>919</v>
      </c>
      <c r="I153" s="10" t="n">
        <v>32</v>
      </c>
    </row>
    <row r="154" customFormat="false" ht="15" hidden="false" customHeight="false" outlineLevel="0" collapsed="false">
      <c r="A154" s="12" t="str">
        <f aca="false">IF($C154="","",$H154)</f>
        <v/>
      </c>
      <c r="B154" s="12" t="str">
        <f aca="false">IF($C154="","",$I154)</f>
        <v/>
      </c>
      <c r="C154" s="10" t="str">
        <f aca="false">IFERROR(INDEX(06_重複排除後!$A:$A,MATCH($H154&amp;"-"&amp;$I154,06_重複排除後!$L:$L,0)),"")</f>
        <v/>
      </c>
      <c r="D154" s="10" t="str">
        <f aca="false">IF($C154="","",VLOOKUP($C154,06_重複排除後!$A:$B,2,0))</f>
        <v/>
      </c>
      <c r="E154" s="12" t="str">
        <f aca="false">IF($C154="","",VLOOKUP($C154,06_重複排除後!$A:$C,3,0))</f>
        <v/>
      </c>
      <c r="F154" s="12" t="str">
        <f aca="false">IF($C154="","",VLOOKUP($C154,06_重複排除後!$A:$E,5,0))</f>
        <v/>
      </c>
      <c r="G154" s="12" t="str">
        <f aca="false">IF($C154="","",VLOOKUP($C154,06_重複排除後!$A:$I,9,0))</f>
        <v/>
      </c>
      <c r="H154" s="11" t="s">
        <v>919</v>
      </c>
      <c r="I154" s="10" t="n">
        <v>33</v>
      </c>
    </row>
    <row r="155" customFormat="false" ht="15" hidden="false" customHeight="false" outlineLevel="0" collapsed="false">
      <c r="A155" s="12" t="str">
        <f aca="false">IF($C155="","",$H155)</f>
        <v/>
      </c>
      <c r="B155" s="12" t="str">
        <f aca="false">IF($C155="","",$I155)</f>
        <v/>
      </c>
      <c r="C155" s="10" t="str">
        <f aca="false">IFERROR(INDEX(06_重複排除後!$A:$A,MATCH($H155&amp;"-"&amp;$I155,06_重複排除後!$L:$L,0)),"")</f>
        <v/>
      </c>
      <c r="D155" s="10" t="str">
        <f aca="false">IF($C155="","",VLOOKUP($C155,06_重複排除後!$A:$B,2,0))</f>
        <v/>
      </c>
      <c r="E155" s="12" t="str">
        <f aca="false">IF($C155="","",VLOOKUP($C155,06_重複排除後!$A:$C,3,0))</f>
        <v/>
      </c>
      <c r="F155" s="12" t="str">
        <f aca="false">IF($C155="","",VLOOKUP($C155,06_重複排除後!$A:$E,5,0))</f>
        <v/>
      </c>
      <c r="G155" s="12" t="str">
        <f aca="false">IF($C155="","",VLOOKUP($C155,06_重複排除後!$A:$I,9,0))</f>
        <v/>
      </c>
      <c r="H155" s="11" t="s">
        <v>919</v>
      </c>
      <c r="I155" s="10" t="n">
        <v>34</v>
      </c>
    </row>
    <row r="156" customFormat="false" ht="15" hidden="false" customHeight="false" outlineLevel="0" collapsed="false">
      <c r="A156" s="12" t="str">
        <f aca="false">IF($C156="","",$H156)</f>
        <v/>
      </c>
      <c r="B156" s="12" t="str">
        <f aca="false">IF($C156="","",$I156)</f>
        <v/>
      </c>
      <c r="C156" s="10" t="str">
        <f aca="false">IFERROR(INDEX(06_重複排除後!$A:$A,MATCH($H156&amp;"-"&amp;$I156,06_重複排除後!$L:$L,0)),"")</f>
        <v/>
      </c>
      <c r="D156" s="10" t="str">
        <f aca="false">IF($C156="","",VLOOKUP($C156,06_重複排除後!$A:$B,2,0))</f>
        <v/>
      </c>
      <c r="E156" s="12" t="str">
        <f aca="false">IF($C156="","",VLOOKUP($C156,06_重複排除後!$A:$C,3,0))</f>
        <v/>
      </c>
      <c r="F156" s="12" t="str">
        <f aca="false">IF($C156="","",VLOOKUP($C156,06_重複排除後!$A:$E,5,0))</f>
        <v/>
      </c>
      <c r="G156" s="12" t="str">
        <f aca="false">IF($C156="","",VLOOKUP($C156,06_重複排除後!$A:$I,9,0))</f>
        <v/>
      </c>
      <c r="H156" s="11" t="s">
        <v>919</v>
      </c>
      <c r="I156" s="10" t="n">
        <v>35</v>
      </c>
    </row>
    <row r="157" customFormat="false" ht="15" hidden="false" customHeight="false" outlineLevel="0" collapsed="false">
      <c r="A157" s="12" t="str">
        <f aca="false">IF($C157="","",$H157)</f>
        <v/>
      </c>
      <c r="B157" s="12" t="str">
        <f aca="false">IF($C157="","",$I157)</f>
        <v/>
      </c>
      <c r="C157" s="10" t="str">
        <f aca="false">IFERROR(INDEX(06_重複排除後!$A:$A,MATCH($H157&amp;"-"&amp;$I157,06_重複排除後!$L:$L,0)),"")</f>
        <v/>
      </c>
      <c r="D157" s="10" t="str">
        <f aca="false">IF($C157="","",VLOOKUP($C157,06_重複排除後!$A:$B,2,0))</f>
        <v/>
      </c>
      <c r="E157" s="12" t="str">
        <f aca="false">IF($C157="","",VLOOKUP($C157,06_重複排除後!$A:$C,3,0))</f>
        <v/>
      </c>
      <c r="F157" s="12" t="str">
        <f aca="false">IF($C157="","",VLOOKUP($C157,06_重複排除後!$A:$E,5,0))</f>
        <v/>
      </c>
      <c r="G157" s="12" t="str">
        <f aca="false">IF($C157="","",VLOOKUP($C157,06_重複排除後!$A:$I,9,0))</f>
        <v/>
      </c>
      <c r="H157" s="11" t="s">
        <v>919</v>
      </c>
      <c r="I157" s="10" t="n">
        <v>36</v>
      </c>
    </row>
    <row r="158" customFormat="false" ht="15" hidden="false" customHeight="false" outlineLevel="0" collapsed="false">
      <c r="A158" s="12" t="str">
        <f aca="false">IF($C158="","",$H158)</f>
        <v/>
      </c>
      <c r="B158" s="12" t="str">
        <f aca="false">IF($C158="","",$I158)</f>
        <v/>
      </c>
      <c r="C158" s="10" t="str">
        <f aca="false">IFERROR(INDEX(06_重複排除後!$A:$A,MATCH($H158&amp;"-"&amp;$I158,06_重複排除後!$L:$L,0)),"")</f>
        <v/>
      </c>
      <c r="D158" s="10" t="str">
        <f aca="false">IF($C158="","",VLOOKUP($C158,06_重複排除後!$A:$B,2,0))</f>
        <v/>
      </c>
      <c r="E158" s="12" t="str">
        <f aca="false">IF($C158="","",VLOOKUP($C158,06_重複排除後!$A:$C,3,0))</f>
        <v/>
      </c>
      <c r="F158" s="12" t="str">
        <f aca="false">IF($C158="","",VLOOKUP($C158,06_重複排除後!$A:$E,5,0))</f>
        <v/>
      </c>
      <c r="G158" s="12" t="str">
        <f aca="false">IF($C158="","",VLOOKUP($C158,06_重複排除後!$A:$I,9,0))</f>
        <v/>
      </c>
      <c r="H158" s="11" t="s">
        <v>919</v>
      </c>
      <c r="I158" s="10" t="n">
        <v>37</v>
      </c>
    </row>
    <row r="159" customFormat="false" ht="15" hidden="false" customHeight="false" outlineLevel="0" collapsed="false">
      <c r="A159" s="12" t="str">
        <f aca="false">IF($C159="","",$H159)</f>
        <v/>
      </c>
      <c r="B159" s="12" t="str">
        <f aca="false">IF($C159="","",$I159)</f>
        <v/>
      </c>
      <c r="C159" s="10" t="str">
        <f aca="false">IFERROR(INDEX(06_重複排除後!$A:$A,MATCH($H159&amp;"-"&amp;$I159,06_重複排除後!$L:$L,0)),"")</f>
        <v/>
      </c>
      <c r="D159" s="10" t="str">
        <f aca="false">IF($C159="","",VLOOKUP($C159,06_重複排除後!$A:$B,2,0))</f>
        <v/>
      </c>
      <c r="E159" s="12" t="str">
        <f aca="false">IF($C159="","",VLOOKUP($C159,06_重複排除後!$A:$C,3,0))</f>
        <v/>
      </c>
      <c r="F159" s="12" t="str">
        <f aca="false">IF($C159="","",VLOOKUP($C159,06_重複排除後!$A:$E,5,0))</f>
        <v/>
      </c>
      <c r="G159" s="12" t="str">
        <f aca="false">IF($C159="","",VLOOKUP($C159,06_重複排除後!$A:$I,9,0))</f>
        <v/>
      </c>
      <c r="H159" s="11" t="s">
        <v>919</v>
      </c>
      <c r="I159" s="10" t="n">
        <v>38</v>
      </c>
    </row>
    <row r="160" customFormat="false" ht="15" hidden="false" customHeight="false" outlineLevel="0" collapsed="false">
      <c r="A160" s="12" t="str">
        <f aca="false">IF($C160="","",$H160)</f>
        <v/>
      </c>
      <c r="B160" s="12" t="str">
        <f aca="false">IF($C160="","",$I160)</f>
        <v/>
      </c>
      <c r="C160" s="10" t="str">
        <f aca="false">IFERROR(INDEX(06_重複排除後!$A:$A,MATCH($H160&amp;"-"&amp;$I160,06_重複排除後!$L:$L,0)),"")</f>
        <v/>
      </c>
      <c r="D160" s="10" t="str">
        <f aca="false">IF($C160="","",VLOOKUP($C160,06_重複排除後!$A:$B,2,0))</f>
        <v/>
      </c>
      <c r="E160" s="12" t="str">
        <f aca="false">IF($C160="","",VLOOKUP($C160,06_重複排除後!$A:$C,3,0))</f>
        <v/>
      </c>
      <c r="F160" s="12" t="str">
        <f aca="false">IF($C160="","",VLOOKUP($C160,06_重複排除後!$A:$E,5,0))</f>
        <v/>
      </c>
      <c r="G160" s="12" t="str">
        <f aca="false">IF($C160="","",VLOOKUP($C160,06_重複排除後!$A:$I,9,0))</f>
        <v/>
      </c>
      <c r="H160" s="11" t="s">
        <v>919</v>
      </c>
      <c r="I160" s="10" t="n">
        <v>39</v>
      </c>
    </row>
    <row r="161" customFormat="false" ht="15" hidden="false" customHeight="false" outlineLevel="0" collapsed="false">
      <c r="A161" s="12" t="str">
        <f aca="false">IF($C161="","",$H161)</f>
        <v/>
      </c>
      <c r="B161" s="12" t="str">
        <f aca="false">IF($C161="","",$I161)</f>
        <v/>
      </c>
      <c r="C161" s="10" t="str">
        <f aca="false">IFERROR(INDEX(06_重複排除後!$A:$A,MATCH($H161&amp;"-"&amp;$I161,06_重複排除後!$L:$L,0)),"")</f>
        <v/>
      </c>
      <c r="D161" s="10" t="str">
        <f aca="false">IF($C161="","",VLOOKUP($C161,06_重複排除後!$A:$B,2,0))</f>
        <v/>
      </c>
      <c r="E161" s="12" t="str">
        <f aca="false">IF($C161="","",VLOOKUP($C161,06_重複排除後!$A:$C,3,0))</f>
        <v/>
      </c>
      <c r="F161" s="12" t="str">
        <f aca="false">IF($C161="","",VLOOKUP($C161,06_重複排除後!$A:$E,5,0))</f>
        <v/>
      </c>
      <c r="G161" s="12" t="str">
        <f aca="false">IF($C161="","",VLOOKUP($C161,06_重複排除後!$A:$I,9,0))</f>
        <v/>
      </c>
      <c r="H161" s="11" t="s">
        <v>919</v>
      </c>
      <c r="I161" s="10" t="n">
        <v>40</v>
      </c>
    </row>
    <row r="162" customFormat="false" ht="15" hidden="false" customHeight="false" outlineLevel="0" collapsed="false">
      <c r="A162" s="12" t="str">
        <f aca="false">IF($C162="","",$H162)</f>
        <v/>
      </c>
      <c r="B162" s="12" t="str">
        <f aca="false">IF($C162="","",$I162)</f>
        <v/>
      </c>
      <c r="C162" s="10" t="str">
        <f aca="false">IFERROR(INDEX(06_重複排除後!$A:$A,MATCH($H162&amp;"-"&amp;$I162,06_重複排除後!$L:$L,0)),"")</f>
        <v/>
      </c>
      <c r="D162" s="10" t="str">
        <f aca="false">IF($C162="","",VLOOKUP($C162,06_重複排除後!$A:$B,2,0))</f>
        <v/>
      </c>
      <c r="E162" s="12" t="str">
        <f aca="false">IF($C162="","",VLOOKUP($C162,06_重複排除後!$A:$C,3,0))</f>
        <v/>
      </c>
      <c r="F162" s="12" t="str">
        <f aca="false">IF($C162="","",VLOOKUP($C162,06_重複排除後!$A:$E,5,0))</f>
        <v/>
      </c>
      <c r="G162" s="12" t="str">
        <f aca="false">IF($C162="","",VLOOKUP($C162,06_重複排除後!$A:$I,9,0))</f>
        <v/>
      </c>
      <c r="H162" s="11" t="s">
        <v>919</v>
      </c>
      <c r="I162" s="10" t="n">
        <v>41</v>
      </c>
    </row>
    <row r="163" customFormat="false" ht="15" hidden="false" customHeight="false" outlineLevel="0" collapsed="false">
      <c r="A163" s="12" t="str">
        <f aca="false">IF($C163="","",$H163)</f>
        <v/>
      </c>
      <c r="B163" s="12" t="str">
        <f aca="false">IF($C163="","",$I163)</f>
        <v/>
      </c>
      <c r="C163" s="10" t="str">
        <f aca="false">IFERROR(INDEX(06_重複排除後!$A:$A,MATCH($H163&amp;"-"&amp;$I163,06_重複排除後!$L:$L,0)),"")</f>
        <v/>
      </c>
      <c r="D163" s="10" t="str">
        <f aca="false">IF($C163="","",VLOOKUP($C163,06_重複排除後!$A:$B,2,0))</f>
        <v/>
      </c>
      <c r="E163" s="12" t="str">
        <f aca="false">IF($C163="","",VLOOKUP($C163,06_重複排除後!$A:$C,3,0))</f>
        <v/>
      </c>
      <c r="F163" s="12" t="str">
        <f aca="false">IF($C163="","",VLOOKUP($C163,06_重複排除後!$A:$E,5,0))</f>
        <v/>
      </c>
      <c r="G163" s="12" t="str">
        <f aca="false">IF($C163="","",VLOOKUP($C163,06_重複排除後!$A:$I,9,0))</f>
        <v/>
      </c>
      <c r="H163" s="11" t="s">
        <v>919</v>
      </c>
      <c r="I163" s="10" t="n">
        <v>42</v>
      </c>
    </row>
    <row r="164" customFormat="false" ht="15" hidden="false" customHeight="false" outlineLevel="0" collapsed="false">
      <c r="A164" s="12" t="str">
        <f aca="false">IF($C164="","",$H164)</f>
        <v/>
      </c>
      <c r="B164" s="12" t="str">
        <f aca="false">IF($C164="","",$I164)</f>
        <v/>
      </c>
      <c r="C164" s="10" t="str">
        <f aca="false">IFERROR(INDEX(06_重複排除後!$A:$A,MATCH($H164&amp;"-"&amp;$I164,06_重複排除後!$L:$L,0)),"")</f>
        <v/>
      </c>
      <c r="D164" s="10" t="str">
        <f aca="false">IF($C164="","",VLOOKUP($C164,06_重複排除後!$A:$B,2,0))</f>
        <v/>
      </c>
      <c r="E164" s="12" t="str">
        <f aca="false">IF($C164="","",VLOOKUP($C164,06_重複排除後!$A:$C,3,0))</f>
        <v/>
      </c>
      <c r="F164" s="12" t="str">
        <f aca="false">IF($C164="","",VLOOKUP($C164,06_重複排除後!$A:$E,5,0))</f>
        <v/>
      </c>
      <c r="G164" s="12" t="str">
        <f aca="false">IF($C164="","",VLOOKUP($C164,06_重複排除後!$A:$I,9,0))</f>
        <v/>
      </c>
      <c r="H164" s="11" t="s">
        <v>919</v>
      </c>
      <c r="I164" s="10" t="n">
        <v>43</v>
      </c>
    </row>
    <row r="165" customFormat="false" ht="15" hidden="false" customHeight="false" outlineLevel="0" collapsed="false">
      <c r="A165" s="12" t="str">
        <f aca="false">IF($C165="","",$H165)</f>
        <v/>
      </c>
      <c r="B165" s="12" t="str">
        <f aca="false">IF($C165="","",$I165)</f>
        <v/>
      </c>
      <c r="C165" s="10" t="str">
        <f aca="false">IFERROR(INDEX(06_重複排除後!$A:$A,MATCH($H165&amp;"-"&amp;$I165,06_重複排除後!$L:$L,0)),"")</f>
        <v/>
      </c>
      <c r="D165" s="10" t="str">
        <f aca="false">IF($C165="","",VLOOKUP($C165,06_重複排除後!$A:$B,2,0))</f>
        <v/>
      </c>
      <c r="E165" s="12" t="str">
        <f aca="false">IF($C165="","",VLOOKUP($C165,06_重複排除後!$A:$C,3,0))</f>
        <v/>
      </c>
      <c r="F165" s="12" t="str">
        <f aca="false">IF($C165="","",VLOOKUP($C165,06_重複排除後!$A:$E,5,0))</f>
        <v/>
      </c>
      <c r="G165" s="12" t="str">
        <f aca="false">IF($C165="","",VLOOKUP($C165,06_重複排除後!$A:$I,9,0))</f>
        <v/>
      </c>
      <c r="H165" s="11" t="s">
        <v>919</v>
      </c>
      <c r="I165" s="10" t="n">
        <v>44</v>
      </c>
    </row>
    <row r="166" customFormat="false" ht="15" hidden="false" customHeight="false" outlineLevel="0" collapsed="false">
      <c r="A166" s="12" t="str">
        <f aca="false">IF($C166="","",$H166)</f>
        <v/>
      </c>
      <c r="B166" s="12" t="str">
        <f aca="false">IF($C166="","",$I166)</f>
        <v/>
      </c>
      <c r="C166" s="10" t="str">
        <f aca="false">IFERROR(INDEX(06_重複排除後!$A:$A,MATCH($H166&amp;"-"&amp;$I166,06_重複排除後!$L:$L,0)),"")</f>
        <v/>
      </c>
      <c r="D166" s="10" t="str">
        <f aca="false">IF($C166="","",VLOOKUP($C166,06_重複排除後!$A:$B,2,0))</f>
        <v/>
      </c>
      <c r="E166" s="12" t="str">
        <f aca="false">IF($C166="","",VLOOKUP($C166,06_重複排除後!$A:$C,3,0))</f>
        <v/>
      </c>
      <c r="F166" s="12" t="str">
        <f aca="false">IF($C166="","",VLOOKUP($C166,06_重複排除後!$A:$E,5,0))</f>
        <v/>
      </c>
      <c r="G166" s="12" t="str">
        <f aca="false">IF($C166="","",VLOOKUP($C166,06_重複排除後!$A:$I,9,0))</f>
        <v/>
      </c>
      <c r="H166" s="11" t="s">
        <v>919</v>
      </c>
      <c r="I166" s="10" t="n">
        <v>45</v>
      </c>
    </row>
    <row r="167" customFormat="false" ht="15" hidden="false" customHeight="false" outlineLevel="0" collapsed="false">
      <c r="A167" s="12" t="str">
        <f aca="false">IF($C167="","",$H167)</f>
        <v/>
      </c>
      <c r="B167" s="12" t="str">
        <f aca="false">IF($C167="","",$I167)</f>
        <v/>
      </c>
      <c r="C167" s="10" t="str">
        <f aca="false">IFERROR(INDEX(06_重複排除後!$A:$A,MATCH($H167&amp;"-"&amp;$I167,06_重複排除後!$L:$L,0)),"")</f>
        <v/>
      </c>
      <c r="D167" s="10" t="str">
        <f aca="false">IF($C167="","",VLOOKUP($C167,06_重複排除後!$A:$B,2,0))</f>
        <v/>
      </c>
      <c r="E167" s="12" t="str">
        <f aca="false">IF($C167="","",VLOOKUP($C167,06_重複排除後!$A:$C,3,0))</f>
        <v/>
      </c>
      <c r="F167" s="12" t="str">
        <f aca="false">IF($C167="","",VLOOKUP($C167,06_重複排除後!$A:$E,5,0))</f>
        <v/>
      </c>
      <c r="G167" s="12" t="str">
        <f aca="false">IF($C167="","",VLOOKUP($C167,06_重複排除後!$A:$I,9,0))</f>
        <v/>
      </c>
      <c r="H167" s="11" t="s">
        <v>919</v>
      </c>
      <c r="I167" s="10" t="n">
        <v>46</v>
      </c>
    </row>
    <row r="168" customFormat="false" ht="15" hidden="false" customHeight="false" outlineLevel="0" collapsed="false">
      <c r="A168" s="12" t="str">
        <f aca="false">IF($C168="","",$H168)</f>
        <v/>
      </c>
      <c r="B168" s="12" t="str">
        <f aca="false">IF($C168="","",$I168)</f>
        <v/>
      </c>
      <c r="C168" s="10" t="str">
        <f aca="false">IFERROR(INDEX(06_重複排除後!$A:$A,MATCH($H168&amp;"-"&amp;$I168,06_重複排除後!$L:$L,0)),"")</f>
        <v/>
      </c>
      <c r="D168" s="10" t="str">
        <f aca="false">IF($C168="","",VLOOKUP($C168,06_重複排除後!$A:$B,2,0))</f>
        <v/>
      </c>
      <c r="E168" s="12" t="str">
        <f aca="false">IF($C168="","",VLOOKUP($C168,06_重複排除後!$A:$C,3,0))</f>
        <v/>
      </c>
      <c r="F168" s="12" t="str">
        <f aca="false">IF($C168="","",VLOOKUP($C168,06_重複排除後!$A:$E,5,0))</f>
        <v/>
      </c>
      <c r="G168" s="12" t="str">
        <f aca="false">IF($C168="","",VLOOKUP($C168,06_重複排除後!$A:$I,9,0))</f>
        <v/>
      </c>
      <c r="H168" s="11" t="s">
        <v>919</v>
      </c>
      <c r="I168" s="10" t="n">
        <v>47</v>
      </c>
    </row>
    <row r="169" customFormat="false" ht="15" hidden="false" customHeight="false" outlineLevel="0" collapsed="false">
      <c r="A169" s="12" t="str">
        <f aca="false">IF($C169="","",$H169)</f>
        <v/>
      </c>
      <c r="B169" s="12" t="str">
        <f aca="false">IF($C169="","",$I169)</f>
        <v/>
      </c>
      <c r="C169" s="10" t="str">
        <f aca="false">IFERROR(INDEX(06_重複排除後!$A:$A,MATCH($H169&amp;"-"&amp;$I169,06_重複排除後!$L:$L,0)),"")</f>
        <v/>
      </c>
      <c r="D169" s="10" t="str">
        <f aca="false">IF($C169="","",VLOOKUP($C169,06_重複排除後!$A:$B,2,0))</f>
        <v/>
      </c>
      <c r="E169" s="12" t="str">
        <f aca="false">IF($C169="","",VLOOKUP($C169,06_重複排除後!$A:$C,3,0))</f>
        <v/>
      </c>
      <c r="F169" s="12" t="str">
        <f aca="false">IF($C169="","",VLOOKUP($C169,06_重複排除後!$A:$E,5,0))</f>
        <v/>
      </c>
      <c r="G169" s="12" t="str">
        <f aca="false">IF($C169="","",VLOOKUP($C169,06_重複排除後!$A:$I,9,0))</f>
        <v/>
      </c>
      <c r="H169" s="11" t="s">
        <v>919</v>
      </c>
      <c r="I169" s="10" t="n">
        <v>48</v>
      </c>
    </row>
    <row r="170" customFormat="false" ht="15" hidden="false" customHeight="false" outlineLevel="0" collapsed="false">
      <c r="A170" s="12" t="str">
        <f aca="false">IF($C170="","",$H170)</f>
        <v/>
      </c>
      <c r="B170" s="12" t="str">
        <f aca="false">IF($C170="","",$I170)</f>
        <v/>
      </c>
      <c r="C170" s="10" t="str">
        <f aca="false">IFERROR(INDEX(06_重複排除後!$A:$A,MATCH($H170&amp;"-"&amp;$I170,06_重複排除後!$L:$L,0)),"")</f>
        <v/>
      </c>
      <c r="D170" s="10" t="str">
        <f aca="false">IF($C170="","",VLOOKUP($C170,06_重複排除後!$A:$B,2,0))</f>
        <v/>
      </c>
      <c r="E170" s="12" t="str">
        <f aca="false">IF($C170="","",VLOOKUP($C170,06_重複排除後!$A:$C,3,0))</f>
        <v/>
      </c>
      <c r="F170" s="12" t="str">
        <f aca="false">IF($C170="","",VLOOKUP($C170,06_重複排除後!$A:$E,5,0))</f>
        <v/>
      </c>
      <c r="G170" s="12" t="str">
        <f aca="false">IF($C170="","",VLOOKUP($C170,06_重複排除後!$A:$I,9,0))</f>
        <v/>
      </c>
      <c r="H170" s="11" t="s">
        <v>919</v>
      </c>
      <c r="I170" s="10" t="n">
        <v>49</v>
      </c>
    </row>
    <row r="171" customFormat="false" ht="15" hidden="false" customHeight="false" outlineLevel="0" collapsed="false">
      <c r="A171" s="12" t="str">
        <f aca="false">IF($C171="","",$H171)</f>
        <v/>
      </c>
      <c r="B171" s="12" t="str">
        <f aca="false">IF($C171="","",$I171)</f>
        <v/>
      </c>
      <c r="C171" s="10" t="str">
        <f aca="false">IFERROR(INDEX(06_重複排除後!$A:$A,MATCH($H171&amp;"-"&amp;$I171,06_重複排除後!$L:$L,0)),"")</f>
        <v/>
      </c>
      <c r="D171" s="10" t="str">
        <f aca="false">IF($C171="","",VLOOKUP($C171,06_重複排除後!$A:$B,2,0))</f>
        <v/>
      </c>
      <c r="E171" s="12" t="str">
        <f aca="false">IF($C171="","",VLOOKUP($C171,06_重複排除後!$A:$C,3,0))</f>
        <v/>
      </c>
      <c r="F171" s="12" t="str">
        <f aca="false">IF($C171="","",VLOOKUP($C171,06_重複排除後!$A:$E,5,0))</f>
        <v/>
      </c>
      <c r="G171" s="12" t="str">
        <f aca="false">IF($C171="","",VLOOKUP($C171,06_重複排除後!$A:$I,9,0))</f>
        <v/>
      </c>
      <c r="H171" s="11" t="s">
        <v>919</v>
      </c>
      <c r="I171" s="10" t="n">
        <v>50</v>
      </c>
    </row>
    <row r="172" customFormat="false" ht="15" hidden="false" customHeight="false" outlineLevel="0" collapsed="false">
      <c r="A172" s="12" t="str">
        <f aca="false">IF($C172="","",$H172)</f>
        <v/>
      </c>
      <c r="B172" s="12" t="str">
        <f aca="false">IF($C172="","",$I172)</f>
        <v/>
      </c>
      <c r="C172" s="10" t="str">
        <f aca="false">IFERROR(INDEX(06_重複排除後!$A:$A,MATCH($H172&amp;"-"&amp;$I172,06_重複排除後!$L:$L,0)),"")</f>
        <v/>
      </c>
      <c r="D172" s="10" t="str">
        <f aca="false">IF($C172="","",VLOOKUP($C172,06_重複排除後!$A:$B,2,0))</f>
        <v/>
      </c>
      <c r="E172" s="12" t="str">
        <f aca="false">IF($C172="","",VLOOKUP($C172,06_重複排除後!$A:$C,3,0))</f>
        <v/>
      </c>
      <c r="F172" s="12" t="str">
        <f aca="false">IF($C172="","",VLOOKUP($C172,06_重複排除後!$A:$E,5,0))</f>
        <v/>
      </c>
      <c r="G172" s="12" t="str">
        <f aca="false">IF($C172="","",VLOOKUP($C172,06_重複排除後!$A:$I,9,0))</f>
        <v/>
      </c>
      <c r="H172" s="11" t="s">
        <v>919</v>
      </c>
      <c r="I172" s="10" t="n">
        <v>51</v>
      </c>
    </row>
    <row r="173" customFormat="false" ht="15" hidden="false" customHeight="false" outlineLevel="0" collapsed="false">
      <c r="A173" s="12" t="str">
        <f aca="false">IF($C173="","",$H173)</f>
        <v/>
      </c>
      <c r="B173" s="12" t="str">
        <f aca="false">IF($C173="","",$I173)</f>
        <v/>
      </c>
      <c r="C173" s="10" t="str">
        <f aca="false">IFERROR(INDEX(06_重複排除後!$A:$A,MATCH($H173&amp;"-"&amp;$I173,06_重複排除後!$L:$L,0)),"")</f>
        <v/>
      </c>
      <c r="D173" s="10" t="str">
        <f aca="false">IF($C173="","",VLOOKUP($C173,06_重複排除後!$A:$B,2,0))</f>
        <v/>
      </c>
      <c r="E173" s="12" t="str">
        <f aca="false">IF($C173="","",VLOOKUP($C173,06_重複排除後!$A:$C,3,0))</f>
        <v/>
      </c>
      <c r="F173" s="12" t="str">
        <f aca="false">IF($C173="","",VLOOKUP($C173,06_重複排除後!$A:$E,5,0))</f>
        <v/>
      </c>
      <c r="G173" s="12" t="str">
        <f aca="false">IF($C173="","",VLOOKUP($C173,06_重複排除後!$A:$I,9,0))</f>
        <v/>
      </c>
      <c r="H173" s="11" t="s">
        <v>919</v>
      </c>
      <c r="I173" s="10" t="n">
        <v>52</v>
      </c>
    </row>
    <row r="174" customFormat="false" ht="15" hidden="false" customHeight="false" outlineLevel="0" collapsed="false">
      <c r="A174" s="12" t="str">
        <f aca="false">IF($C174="","",$H174)</f>
        <v/>
      </c>
      <c r="B174" s="12" t="str">
        <f aca="false">IF($C174="","",$I174)</f>
        <v/>
      </c>
      <c r="C174" s="10" t="str">
        <f aca="false">IFERROR(INDEX(06_重複排除後!$A:$A,MATCH($H174&amp;"-"&amp;$I174,06_重複排除後!$L:$L,0)),"")</f>
        <v/>
      </c>
      <c r="D174" s="10" t="str">
        <f aca="false">IF($C174="","",VLOOKUP($C174,06_重複排除後!$A:$B,2,0))</f>
        <v/>
      </c>
      <c r="E174" s="12" t="str">
        <f aca="false">IF($C174="","",VLOOKUP($C174,06_重複排除後!$A:$C,3,0))</f>
        <v/>
      </c>
      <c r="F174" s="12" t="str">
        <f aca="false">IF($C174="","",VLOOKUP($C174,06_重複排除後!$A:$E,5,0))</f>
        <v/>
      </c>
      <c r="G174" s="12" t="str">
        <f aca="false">IF($C174="","",VLOOKUP($C174,06_重複排除後!$A:$I,9,0))</f>
        <v/>
      </c>
      <c r="H174" s="11" t="s">
        <v>919</v>
      </c>
      <c r="I174" s="10" t="n">
        <v>53</v>
      </c>
    </row>
    <row r="175" customFormat="false" ht="15" hidden="false" customHeight="false" outlineLevel="0" collapsed="false">
      <c r="A175" s="12" t="str">
        <f aca="false">IF($C175="","",$H175)</f>
        <v/>
      </c>
      <c r="B175" s="12" t="str">
        <f aca="false">IF($C175="","",$I175)</f>
        <v/>
      </c>
      <c r="C175" s="10" t="str">
        <f aca="false">IFERROR(INDEX(06_重複排除後!$A:$A,MATCH($H175&amp;"-"&amp;$I175,06_重複排除後!$L:$L,0)),"")</f>
        <v/>
      </c>
      <c r="D175" s="10" t="str">
        <f aca="false">IF($C175="","",VLOOKUP($C175,06_重複排除後!$A:$B,2,0))</f>
        <v/>
      </c>
      <c r="E175" s="12" t="str">
        <f aca="false">IF($C175="","",VLOOKUP($C175,06_重複排除後!$A:$C,3,0))</f>
        <v/>
      </c>
      <c r="F175" s="12" t="str">
        <f aca="false">IF($C175="","",VLOOKUP($C175,06_重複排除後!$A:$E,5,0))</f>
        <v/>
      </c>
      <c r="G175" s="12" t="str">
        <f aca="false">IF($C175="","",VLOOKUP($C175,06_重複排除後!$A:$I,9,0))</f>
        <v/>
      </c>
      <c r="H175" s="11" t="s">
        <v>919</v>
      </c>
      <c r="I175" s="10" t="n">
        <v>54</v>
      </c>
    </row>
    <row r="176" customFormat="false" ht="15" hidden="false" customHeight="false" outlineLevel="0" collapsed="false">
      <c r="A176" s="12" t="str">
        <f aca="false">IF($C176="","",$H176)</f>
        <v/>
      </c>
      <c r="B176" s="12" t="str">
        <f aca="false">IF($C176="","",$I176)</f>
        <v/>
      </c>
      <c r="C176" s="10" t="str">
        <f aca="false">IFERROR(INDEX(06_重複排除後!$A:$A,MATCH($H176&amp;"-"&amp;$I176,06_重複排除後!$L:$L,0)),"")</f>
        <v/>
      </c>
      <c r="D176" s="10" t="str">
        <f aca="false">IF($C176="","",VLOOKUP($C176,06_重複排除後!$A:$B,2,0))</f>
        <v/>
      </c>
      <c r="E176" s="12" t="str">
        <f aca="false">IF($C176="","",VLOOKUP($C176,06_重複排除後!$A:$C,3,0))</f>
        <v/>
      </c>
      <c r="F176" s="12" t="str">
        <f aca="false">IF($C176="","",VLOOKUP($C176,06_重複排除後!$A:$E,5,0))</f>
        <v/>
      </c>
      <c r="G176" s="12" t="str">
        <f aca="false">IF($C176="","",VLOOKUP($C176,06_重複排除後!$A:$I,9,0))</f>
        <v/>
      </c>
      <c r="H176" s="11" t="s">
        <v>919</v>
      </c>
      <c r="I176" s="10" t="n">
        <v>55</v>
      </c>
    </row>
    <row r="177" customFormat="false" ht="15" hidden="false" customHeight="false" outlineLevel="0" collapsed="false">
      <c r="A177" s="12" t="str">
        <f aca="false">IF($C177="","",$H177)</f>
        <v/>
      </c>
      <c r="B177" s="12" t="str">
        <f aca="false">IF($C177="","",$I177)</f>
        <v/>
      </c>
      <c r="C177" s="10" t="str">
        <f aca="false">IFERROR(INDEX(06_重複排除後!$A:$A,MATCH($H177&amp;"-"&amp;$I177,06_重複排除後!$L:$L,0)),"")</f>
        <v/>
      </c>
      <c r="D177" s="10" t="str">
        <f aca="false">IF($C177="","",VLOOKUP($C177,06_重複排除後!$A:$B,2,0))</f>
        <v/>
      </c>
      <c r="E177" s="12" t="str">
        <f aca="false">IF($C177="","",VLOOKUP($C177,06_重複排除後!$A:$C,3,0))</f>
        <v/>
      </c>
      <c r="F177" s="12" t="str">
        <f aca="false">IF($C177="","",VLOOKUP($C177,06_重複排除後!$A:$E,5,0))</f>
        <v/>
      </c>
      <c r="G177" s="12" t="str">
        <f aca="false">IF($C177="","",VLOOKUP($C177,06_重複排除後!$A:$I,9,0))</f>
        <v/>
      </c>
      <c r="H177" s="11" t="s">
        <v>919</v>
      </c>
      <c r="I177" s="10" t="n">
        <v>56</v>
      </c>
    </row>
    <row r="178" customFormat="false" ht="15" hidden="false" customHeight="false" outlineLevel="0" collapsed="false">
      <c r="A178" s="12" t="str">
        <f aca="false">IF($C178="","",$H178)</f>
        <v/>
      </c>
      <c r="B178" s="12" t="str">
        <f aca="false">IF($C178="","",$I178)</f>
        <v/>
      </c>
      <c r="C178" s="10" t="str">
        <f aca="false">IFERROR(INDEX(06_重複排除後!$A:$A,MATCH($H178&amp;"-"&amp;$I178,06_重複排除後!$L:$L,0)),"")</f>
        <v/>
      </c>
      <c r="D178" s="10" t="str">
        <f aca="false">IF($C178="","",VLOOKUP($C178,06_重複排除後!$A:$B,2,0))</f>
        <v/>
      </c>
      <c r="E178" s="12" t="str">
        <f aca="false">IF($C178="","",VLOOKUP($C178,06_重複排除後!$A:$C,3,0))</f>
        <v/>
      </c>
      <c r="F178" s="12" t="str">
        <f aca="false">IF($C178="","",VLOOKUP($C178,06_重複排除後!$A:$E,5,0))</f>
        <v/>
      </c>
      <c r="G178" s="12" t="str">
        <f aca="false">IF($C178="","",VLOOKUP($C178,06_重複排除後!$A:$I,9,0))</f>
        <v/>
      </c>
      <c r="H178" s="11" t="s">
        <v>919</v>
      </c>
      <c r="I178" s="10" t="n">
        <v>57</v>
      </c>
    </row>
    <row r="179" customFormat="false" ht="15" hidden="false" customHeight="false" outlineLevel="0" collapsed="false">
      <c r="A179" s="12" t="str">
        <f aca="false">IF($C179="","",$H179)</f>
        <v/>
      </c>
      <c r="B179" s="12" t="str">
        <f aca="false">IF($C179="","",$I179)</f>
        <v/>
      </c>
      <c r="C179" s="10" t="str">
        <f aca="false">IFERROR(INDEX(06_重複排除後!$A:$A,MATCH($H179&amp;"-"&amp;$I179,06_重複排除後!$L:$L,0)),"")</f>
        <v/>
      </c>
      <c r="D179" s="10" t="str">
        <f aca="false">IF($C179="","",VLOOKUP($C179,06_重複排除後!$A:$B,2,0))</f>
        <v/>
      </c>
      <c r="E179" s="12" t="str">
        <f aca="false">IF($C179="","",VLOOKUP($C179,06_重複排除後!$A:$C,3,0))</f>
        <v/>
      </c>
      <c r="F179" s="12" t="str">
        <f aca="false">IF($C179="","",VLOOKUP($C179,06_重複排除後!$A:$E,5,0))</f>
        <v/>
      </c>
      <c r="G179" s="12" t="str">
        <f aca="false">IF($C179="","",VLOOKUP($C179,06_重複排除後!$A:$I,9,0))</f>
        <v/>
      </c>
      <c r="H179" s="11" t="s">
        <v>919</v>
      </c>
      <c r="I179" s="10" t="n">
        <v>58</v>
      </c>
    </row>
    <row r="180" customFormat="false" ht="15" hidden="false" customHeight="false" outlineLevel="0" collapsed="false">
      <c r="A180" s="12" t="str">
        <f aca="false">IF($C180="","",$H180)</f>
        <v/>
      </c>
      <c r="B180" s="12" t="str">
        <f aca="false">IF($C180="","",$I180)</f>
        <v/>
      </c>
      <c r="C180" s="10" t="str">
        <f aca="false">IFERROR(INDEX(06_重複排除後!$A:$A,MATCH($H180&amp;"-"&amp;$I180,06_重複排除後!$L:$L,0)),"")</f>
        <v/>
      </c>
      <c r="D180" s="10" t="str">
        <f aca="false">IF($C180="","",VLOOKUP($C180,06_重複排除後!$A:$B,2,0))</f>
        <v/>
      </c>
      <c r="E180" s="12" t="str">
        <f aca="false">IF($C180="","",VLOOKUP($C180,06_重複排除後!$A:$C,3,0))</f>
        <v/>
      </c>
      <c r="F180" s="12" t="str">
        <f aca="false">IF($C180="","",VLOOKUP($C180,06_重複排除後!$A:$E,5,0))</f>
        <v/>
      </c>
      <c r="G180" s="12" t="str">
        <f aca="false">IF($C180="","",VLOOKUP($C180,06_重複排除後!$A:$I,9,0))</f>
        <v/>
      </c>
      <c r="H180" s="11" t="s">
        <v>919</v>
      </c>
      <c r="I180" s="10" t="n">
        <v>59</v>
      </c>
    </row>
    <row r="181" customFormat="false" ht="15" hidden="false" customHeight="false" outlineLevel="0" collapsed="false">
      <c r="A181" s="12" t="str">
        <f aca="false">IF($C181="","",$H181)</f>
        <v/>
      </c>
      <c r="B181" s="12" t="str">
        <f aca="false">IF($C181="","",$I181)</f>
        <v/>
      </c>
      <c r="C181" s="10" t="str">
        <f aca="false">IFERROR(INDEX(06_重複排除後!$A:$A,MATCH($H181&amp;"-"&amp;$I181,06_重複排除後!$L:$L,0)),"")</f>
        <v/>
      </c>
      <c r="D181" s="10" t="str">
        <f aca="false">IF($C181="","",VLOOKUP($C181,06_重複排除後!$A:$B,2,0))</f>
        <v/>
      </c>
      <c r="E181" s="12" t="str">
        <f aca="false">IF($C181="","",VLOOKUP($C181,06_重複排除後!$A:$C,3,0))</f>
        <v/>
      </c>
      <c r="F181" s="12" t="str">
        <f aca="false">IF($C181="","",VLOOKUP($C181,06_重複排除後!$A:$E,5,0))</f>
        <v/>
      </c>
      <c r="G181" s="12" t="str">
        <f aca="false">IF($C181="","",VLOOKUP($C181,06_重複排除後!$A:$I,9,0))</f>
        <v/>
      </c>
      <c r="H181" s="11" t="s">
        <v>919</v>
      </c>
      <c r="I181" s="10" t="n">
        <v>60</v>
      </c>
    </row>
    <row r="182" customFormat="false" ht="15" hidden="false" customHeight="false" outlineLevel="0" collapsed="false">
      <c r="A182" s="12" t="str">
        <f aca="false">IF($C182="","",$H182)</f>
        <v/>
      </c>
      <c r="B182" s="12" t="str">
        <f aca="false">IF($C182="","",$I182)</f>
        <v/>
      </c>
      <c r="C182" s="10" t="str">
        <f aca="false">IFERROR(INDEX(06_重複排除後!$A:$A,MATCH($H182&amp;"-"&amp;$I182,06_重複排除後!$L:$L,0)),"")</f>
        <v/>
      </c>
      <c r="D182" s="10" t="str">
        <f aca="false">IF($C182="","",VLOOKUP($C182,06_重複排除後!$A:$B,2,0))</f>
        <v/>
      </c>
      <c r="E182" s="12" t="str">
        <f aca="false">IF($C182="","",VLOOKUP($C182,06_重複排除後!$A:$C,3,0))</f>
        <v/>
      </c>
      <c r="F182" s="12" t="str">
        <f aca="false">IF($C182="","",VLOOKUP($C182,06_重複排除後!$A:$E,5,0))</f>
        <v/>
      </c>
      <c r="G182" s="12" t="str">
        <f aca="false">IF($C182="","",VLOOKUP($C182,06_重複排除後!$A:$I,9,0))</f>
        <v/>
      </c>
      <c r="H182" s="11" t="s">
        <v>919</v>
      </c>
      <c r="I182" s="10" t="n">
        <v>61</v>
      </c>
    </row>
    <row r="183" customFormat="false" ht="15" hidden="false" customHeight="false" outlineLevel="0" collapsed="false">
      <c r="A183" s="12" t="str">
        <f aca="false">IF($C183="","",$H183)</f>
        <v/>
      </c>
      <c r="B183" s="12" t="str">
        <f aca="false">IF($C183="","",$I183)</f>
        <v/>
      </c>
      <c r="C183" s="10" t="str">
        <f aca="false">IFERROR(INDEX(06_重複排除後!$A:$A,MATCH($H183&amp;"-"&amp;$I183,06_重複排除後!$L:$L,0)),"")</f>
        <v/>
      </c>
      <c r="D183" s="10" t="str">
        <f aca="false">IF($C183="","",VLOOKUP($C183,06_重複排除後!$A:$B,2,0))</f>
        <v/>
      </c>
      <c r="E183" s="12" t="str">
        <f aca="false">IF($C183="","",VLOOKUP($C183,06_重複排除後!$A:$C,3,0))</f>
        <v/>
      </c>
      <c r="F183" s="12" t="str">
        <f aca="false">IF($C183="","",VLOOKUP($C183,06_重複排除後!$A:$E,5,0))</f>
        <v/>
      </c>
      <c r="G183" s="12" t="str">
        <f aca="false">IF($C183="","",VLOOKUP($C183,06_重複排除後!$A:$I,9,0))</f>
        <v/>
      </c>
      <c r="H183" s="11" t="s">
        <v>919</v>
      </c>
      <c r="I183" s="10" t="n">
        <v>62</v>
      </c>
    </row>
    <row r="184" customFormat="false" ht="15" hidden="false" customHeight="false" outlineLevel="0" collapsed="false">
      <c r="A184" s="12" t="str">
        <f aca="false">IF($C184="","",$H184)</f>
        <v/>
      </c>
      <c r="B184" s="12" t="str">
        <f aca="false">IF($C184="","",$I184)</f>
        <v/>
      </c>
      <c r="C184" s="10" t="str">
        <f aca="false">IFERROR(INDEX(06_重複排除後!$A:$A,MATCH($H184&amp;"-"&amp;$I184,06_重複排除後!$L:$L,0)),"")</f>
        <v/>
      </c>
      <c r="D184" s="10" t="str">
        <f aca="false">IF($C184="","",VLOOKUP($C184,06_重複排除後!$A:$B,2,0))</f>
        <v/>
      </c>
      <c r="E184" s="12" t="str">
        <f aca="false">IF($C184="","",VLOOKUP($C184,06_重複排除後!$A:$C,3,0))</f>
        <v/>
      </c>
      <c r="F184" s="12" t="str">
        <f aca="false">IF($C184="","",VLOOKUP($C184,06_重複排除後!$A:$E,5,0))</f>
        <v/>
      </c>
      <c r="G184" s="12" t="str">
        <f aca="false">IF($C184="","",VLOOKUP($C184,06_重複排除後!$A:$I,9,0))</f>
        <v/>
      </c>
      <c r="H184" s="11" t="s">
        <v>919</v>
      </c>
      <c r="I184" s="10" t="n">
        <v>63</v>
      </c>
    </row>
    <row r="185" customFormat="false" ht="15" hidden="false" customHeight="false" outlineLevel="0" collapsed="false">
      <c r="A185" s="12" t="str">
        <f aca="false">IF($C185="","",$H185)</f>
        <v/>
      </c>
      <c r="B185" s="12" t="str">
        <f aca="false">IF($C185="","",$I185)</f>
        <v/>
      </c>
      <c r="C185" s="10" t="str">
        <f aca="false">IFERROR(INDEX(06_重複排除後!$A:$A,MATCH($H185&amp;"-"&amp;$I185,06_重複排除後!$L:$L,0)),"")</f>
        <v/>
      </c>
      <c r="D185" s="10" t="str">
        <f aca="false">IF($C185="","",VLOOKUP($C185,06_重複排除後!$A:$B,2,0))</f>
        <v/>
      </c>
      <c r="E185" s="12" t="str">
        <f aca="false">IF($C185="","",VLOOKUP($C185,06_重複排除後!$A:$C,3,0))</f>
        <v/>
      </c>
      <c r="F185" s="12" t="str">
        <f aca="false">IF($C185="","",VLOOKUP($C185,06_重複排除後!$A:$E,5,0))</f>
        <v/>
      </c>
      <c r="G185" s="12" t="str">
        <f aca="false">IF($C185="","",VLOOKUP($C185,06_重複排除後!$A:$I,9,0))</f>
        <v/>
      </c>
      <c r="H185" s="11" t="s">
        <v>919</v>
      </c>
      <c r="I185" s="10" t="n">
        <v>64</v>
      </c>
    </row>
    <row r="186" customFormat="false" ht="15" hidden="false" customHeight="false" outlineLevel="0" collapsed="false">
      <c r="A186" s="12" t="str">
        <f aca="false">IF($C186="","",$H186)</f>
        <v/>
      </c>
      <c r="B186" s="12" t="str">
        <f aca="false">IF($C186="","",$I186)</f>
        <v/>
      </c>
      <c r="C186" s="10" t="str">
        <f aca="false">IFERROR(INDEX(06_重複排除後!$A:$A,MATCH($H186&amp;"-"&amp;$I186,06_重複排除後!$L:$L,0)),"")</f>
        <v/>
      </c>
      <c r="D186" s="10" t="str">
        <f aca="false">IF($C186="","",VLOOKUP($C186,06_重複排除後!$A:$B,2,0))</f>
        <v/>
      </c>
      <c r="E186" s="12" t="str">
        <f aca="false">IF($C186="","",VLOOKUP($C186,06_重複排除後!$A:$C,3,0))</f>
        <v/>
      </c>
      <c r="F186" s="12" t="str">
        <f aca="false">IF($C186="","",VLOOKUP($C186,06_重複排除後!$A:$E,5,0))</f>
        <v/>
      </c>
      <c r="G186" s="12" t="str">
        <f aca="false">IF($C186="","",VLOOKUP($C186,06_重複排除後!$A:$I,9,0))</f>
        <v/>
      </c>
      <c r="H186" s="11" t="s">
        <v>919</v>
      </c>
      <c r="I186" s="10" t="n">
        <v>65</v>
      </c>
    </row>
    <row r="187" customFormat="false" ht="15" hidden="false" customHeight="false" outlineLevel="0" collapsed="false">
      <c r="A187" s="12" t="str">
        <f aca="false">IF($C187="","",$H187)</f>
        <v/>
      </c>
      <c r="B187" s="12" t="str">
        <f aca="false">IF($C187="","",$I187)</f>
        <v/>
      </c>
      <c r="C187" s="10" t="str">
        <f aca="false">IFERROR(INDEX(06_重複排除後!$A:$A,MATCH($H187&amp;"-"&amp;$I187,06_重複排除後!$L:$L,0)),"")</f>
        <v/>
      </c>
      <c r="D187" s="10" t="str">
        <f aca="false">IF($C187="","",VLOOKUP($C187,06_重複排除後!$A:$B,2,0))</f>
        <v/>
      </c>
      <c r="E187" s="12" t="str">
        <f aca="false">IF($C187="","",VLOOKUP($C187,06_重複排除後!$A:$C,3,0))</f>
        <v/>
      </c>
      <c r="F187" s="12" t="str">
        <f aca="false">IF($C187="","",VLOOKUP($C187,06_重複排除後!$A:$E,5,0))</f>
        <v/>
      </c>
      <c r="G187" s="12" t="str">
        <f aca="false">IF($C187="","",VLOOKUP($C187,06_重複排除後!$A:$I,9,0))</f>
        <v/>
      </c>
      <c r="H187" s="11" t="s">
        <v>919</v>
      </c>
      <c r="I187" s="10" t="n">
        <v>66</v>
      </c>
    </row>
    <row r="188" customFormat="false" ht="15" hidden="false" customHeight="false" outlineLevel="0" collapsed="false">
      <c r="A188" s="12" t="str">
        <f aca="false">IF($C188="","",$H188)</f>
        <v/>
      </c>
      <c r="B188" s="12" t="str">
        <f aca="false">IF($C188="","",$I188)</f>
        <v/>
      </c>
      <c r="C188" s="10" t="str">
        <f aca="false">IFERROR(INDEX(06_重複排除後!$A:$A,MATCH($H188&amp;"-"&amp;$I188,06_重複排除後!$L:$L,0)),"")</f>
        <v/>
      </c>
      <c r="D188" s="10" t="str">
        <f aca="false">IF($C188="","",VLOOKUP($C188,06_重複排除後!$A:$B,2,0))</f>
        <v/>
      </c>
      <c r="E188" s="12" t="str">
        <f aca="false">IF($C188="","",VLOOKUP($C188,06_重複排除後!$A:$C,3,0))</f>
        <v/>
      </c>
      <c r="F188" s="12" t="str">
        <f aca="false">IF($C188="","",VLOOKUP($C188,06_重複排除後!$A:$E,5,0))</f>
        <v/>
      </c>
      <c r="G188" s="12" t="str">
        <f aca="false">IF($C188="","",VLOOKUP($C188,06_重複排除後!$A:$I,9,0))</f>
        <v/>
      </c>
      <c r="H188" s="11" t="s">
        <v>919</v>
      </c>
      <c r="I188" s="10" t="n">
        <v>67</v>
      </c>
    </row>
    <row r="189" customFormat="false" ht="15" hidden="false" customHeight="false" outlineLevel="0" collapsed="false">
      <c r="A189" s="12" t="str">
        <f aca="false">IF($C189="","",$H189)</f>
        <v/>
      </c>
      <c r="B189" s="12" t="str">
        <f aca="false">IF($C189="","",$I189)</f>
        <v/>
      </c>
      <c r="C189" s="10" t="str">
        <f aca="false">IFERROR(INDEX(06_重複排除後!$A:$A,MATCH($H189&amp;"-"&amp;$I189,06_重複排除後!$L:$L,0)),"")</f>
        <v/>
      </c>
      <c r="D189" s="10" t="str">
        <f aca="false">IF($C189="","",VLOOKUP($C189,06_重複排除後!$A:$B,2,0))</f>
        <v/>
      </c>
      <c r="E189" s="12" t="str">
        <f aca="false">IF($C189="","",VLOOKUP($C189,06_重複排除後!$A:$C,3,0))</f>
        <v/>
      </c>
      <c r="F189" s="12" t="str">
        <f aca="false">IF($C189="","",VLOOKUP($C189,06_重複排除後!$A:$E,5,0))</f>
        <v/>
      </c>
      <c r="G189" s="12" t="str">
        <f aca="false">IF($C189="","",VLOOKUP($C189,06_重複排除後!$A:$I,9,0))</f>
        <v/>
      </c>
      <c r="H189" s="11" t="s">
        <v>919</v>
      </c>
      <c r="I189" s="10" t="n">
        <v>68</v>
      </c>
    </row>
    <row r="190" customFormat="false" ht="15" hidden="false" customHeight="false" outlineLevel="0" collapsed="false">
      <c r="A190" s="12" t="str">
        <f aca="false">IF($C190="","",$H190)</f>
        <v/>
      </c>
      <c r="B190" s="12" t="str">
        <f aca="false">IF($C190="","",$I190)</f>
        <v/>
      </c>
      <c r="C190" s="10" t="str">
        <f aca="false">IFERROR(INDEX(06_重複排除後!$A:$A,MATCH($H190&amp;"-"&amp;$I190,06_重複排除後!$L:$L,0)),"")</f>
        <v/>
      </c>
      <c r="D190" s="10" t="str">
        <f aca="false">IF($C190="","",VLOOKUP($C190,06_重複排除後!$A:$B,2,0))</f>
        <v/>
      </c>
      <c r="E190" s="12" t="str">
        <f aca="false">IF($C190="","",VLOOKUP($C190,06_重複排除後!$A:$C,3,0))</f>
        <v/>
      </c>
      <c r="F190" s="12" t="str">
        <f aca="false">IF($C190="","",VLOOKUP($C190,06_重複排除後!$A:$E,5,0))</f>
        <v/>
      </c>
      <c r="G190" s="12" t="str">
        <f aca="false">IF($C190="","",VLOOKUP($C190,06_重複排除後!$A:$I,9,0))</f>
        <v/>
      </c>
      <c r="H190" s="11" t="s">
        <v>919</v>
      </c>
      <c r="I190" s="10" t="n">
        <v>69</v>
      </c>
    </row>
    <row r="191" customFormat="false" ht="15" hidden="false" customHeight="false" outlineLevel="0" collapsed="false">
      <c r="A191" s="12" t="str">
        <f aca="false">IF($C191="","",$H191)</f>
        <v/>
      </c>
      <c r="B191" s="12" t="str">
        <f aca="false">IF($C191="","",$I191)</f>
        <v/>
      </c>
      <c r="C191" s="10" t="str">
        <f aca="false">IFERROR(INDEX(06_重複排除後!$A:$A,MATCH($H191&amp;"-"&amp;$I191,06_重複排除後!$L:$L,0)),"")</f>
        <v/>
      </c>
      <c r="D191" s="10" t="str">
        <f aca="false">IF($C191="","",VLOOKUP($C191,06_重複排除後!$A:$B,2,0))</f>
        <v/>
      </c>
      <c r="E191" s="12" t="str">
        <f aca="false">IF($C191="","",VLOOKUP($C191,06_重複排除後!$A:$C,3,0))</f>
        <v/>
      </c>
      <c r="F191" s="12" t="str">
        <f aca="false">IF($C191="","",VLOOKUP($C191,06_重複排除後!$A:$E,5,0))</f>
        <v/>
      </c>
      <c r="G191" s="12" t="str">
        <f aca="false">IF($C191="","",VLOOKUP($C191,06_重複排除後!$A:$I,9,0))</f>
        <v/>
      </c>
      <c r="H191" s="11" t="s">
        <v>919</v>
      </c>
      <c r="I191" s="10" t="n">
        <v>70</v>
      </c>
    </row>
    <row r="192" customFormat="false" ht="15" hidden="false" customHeight="false" outlineLevel="0" collapsed="false">
      <c r="A192" s="12" t="str">
        <f aca="false">IF($C192="","",$H192)</f>
        <v/>
      </c>
      <c r="B192" s="12" t="str">
        <f aca="false">IF($C192="","",$I192)</f>
        <v/>
      </c>
      <c r="C192" s="10" t="str">
        <f aca="false">IFERROR(INDEX(06_重複排除後!$A:$A,MATCH($H192&amp;"-"&amp;$I192,06_重複排除後!$L:$L,0)),"")</f>
        <v/>
      </c>
      <c r="D192" s="10" t="str">
        <f aca="false">IF($C192="","",VLOOKUP($C192,06_重複排除後!$A:$B,2,0))</f>
        <v/>
      </c>
      <c r="E192" s="12" t="str">
        <f aca="false">IF($C192="","",VLOOKUP($C192,06_重複排除後!$A:$C,3,0))</f>
        <v/>
      </c>
      <c r="F192" s="12" t="str">
        <f aca="false">IF($C192="","",VLOOKUP($C192,06_重複排除後!$A:$E,5,0))</f>
        <v/>
      </c>
      <c r="G192" s="12" t="str">
        <f aca="false">IF($C192="","",VLOOKUP($C192,06_重複排除後!$A:$I,9,0))</f>
        <v/>
      </c>
      <c r="H192" s="11" t="s">
        <v>919</v>
      </c>
      <c r="I192" s="10" t="n">
        <v>71</v>
      </c>
    </row>
    <row r="193" customFormat="false" ht="15" hidden="false" customHeight="false" outlineLevel="0" collapsed="false">
      <c r="A193" s="12" t="str">
        <f aca="false">IF($C193="","",$H193)</f>
        <v/>
      </c>
      <c r="B193" s="12" t="str">
        <f aca="false">IF($C193="","",$I193)</f>
        <v/>
      </c>
      <c r="C193" s="10" t="str">
        <f aca="false">IFERROR(INDEX(06_重複排除後!$A:$A,MATCH($H193&amp;"-"&amp;$I193,06_重複排除後!$L:$L,0)),"")</f>
        <v/>
      </c>
      <c r="D193" s="10" t="str">
        <f aca="false">IF($C193="","",VLOOKUP($C193,06_重複排除後!$A:$B,2,0))</f>
        <v/>
      </c>
      <c r="E193" s="12" t="str">
        <f aca="false">IF($C193="","",VLOOKUP($C193,06_重複排除後!$A:$C,3,0))</f>
        <v/>
      </c>
      <c r="F193" s="12" t="str">
        <f aca="false">IF($C193="","",VLOOKUP($C193,06_重複排除後!$A:$E,5,0))</f>
        <v/>
      </c>
      <c r="G193" s="12" t="str">
        <f aca="false">IF($C193="","",VLOOKUP($C193,06_重複排除後!$A:$I,9,0))</f>
        <v/>
      </c>
      <c r="H193" s="11" t="s">
        <v>919</v>
      </c>
      <c r="I193" s="10" t="n">
        <v>72</v>
      </c>
    </row>
    <row r="194" customFormat="false" ht="15" hidden="false" customHeight="false" outlineLevel="0" collapsed="false">
      <c r="A194" s="12" t="str">
        <f aca="false">IF($C194="","",$H194)</f>
        <v/>
      </c>
      <c r="B194" s="12" t="str">
        <f aca="false">IF($C194="","",$I194)</f>
        <v/>
      </c>
      <c r="C194" s="10" t="str">
        <f aca="false">IFERROR(INDEX(06_重複排除後!$A:$A,MATCH($H194&amp;"-"&amp;$I194,06_重複排除後!$L:$L,0)),"")</f>
        <v/>
      </c>
      <c r="D194" s="10" t="str">
        <f aca="false">IF($C194="","",VLOOKUP($C194,06_重複排除後!$A:$B,2,0))</f>
        <v/>
      </c>
      <c r="E194" s="12" t="str">
        <f aca="false">IF($C194="","",VLOOKUP($C194,06_重複排除後!$A:$C,3,0))</f>
        <v/>
      </c>
      <c r="F194" s="12" t="str">
        <f aca="false">IF($C194="","",VLOOKUP($C194,06_重複排除後!$A:$E,5,0))</f>
        <v/>
      </c>
      <c r="G194" s="12" t="str">
        <f aca="false">IF($C194="","",VLOOKUP($C194,06_重複排除後!$A:$I,9,0))</f>
        <v/>
      </c>
      <c r="H194" s="11" t="s">
        <v>919</v>
      </c>
      <c r="I194" s="10" t="n">
        <v>73</v>
      </c>
    </row>
    <row r="195" customFormat="false" ht="15" hidden="false" customHeight="false" outlineLevel="0" collapsed="false">
      <c r="A195" s="12" t="str">
        <f aca="false">IF($C195="","",$H195)</f>
        <v/>
      </c>
      <c r="B195" s="12" t="str">
        <f aca="false">IF($C195="","",$I195)</f>
        <v/>
      </c>
      <c r="C195" s="10" t="str">
        <f aca="false">IFERROR(INDEX(06_重複排除後!$A:$A,MATCH($H195&amp;"-"&amp;$I195,06_重複排除後!$L:$L,0)),"")</f>
        <v/>
      </c>
      <c r="D195" s="10" t="str">
        <f aca="false">IF($C195="","",VLOOKUP($C195,06_重複排除後!$A:$B,2,0))</f>
        <v/>
      </c>
      <c r="E195" s="12" t="str">
        <f aca="false">IF($C195="","",VLOOKUP($C195,06_重複排除後!$A:$C,3,0))</f>
        <v/>
      </c>
      <c r="F195" s="12" t="str">
        <f aca="false">IF($C195="","",VLOOKUP($C195,06_重複排除後!$A:$E,5,0))</f>
        <v/>
      </c>
      <c r="G195" s="12" t="str">
        <f aca="false">IF($C195="","",VLOOKUP($C195,06_重複排除後!$A:$I,9,0))</f>
        <v/>
      </c>
      <c r="H195" s="11" t="s">
        <v>919</v>
      </c>
      <c r="I195" s="10" t="n">
        <v>74</v>
      </c>
    </row>
    <row r="196" customFormat="false" ht="15" hidden="false" customHeight="false" outlineLevel="0" collapsed="false">
      <c r="A196" s="12" t="str">
        <f aca="false">IF($C196="","",$H196)</f>
        <v/>
      </c>
      <c r="B196" s="12" t="str">
        <f aca="false">IF($C196="","",$I196)</f>
        <v/>
      </c>
      <c r="C196" s="10" t="str">
        <f aca="false">IFERROR(INDEX(06_重複排除後!$A:$A,MATCH($H196&amp;"-"&amp;$I196,06_重複排除後!$L:$L,0)),"")</f>
        <v/>
      </c>
      <c r="D196" s="10" t="str">
        <f aca="false">IF($C196="","",VLOOKUP($C196,06_重複排除後!$A:$B,2,0))</f>
        <v/>
      </c>
      <c r="E196" s="12" t="str">
        <f aca="false">IF($C196="","",VLOOKUP($C196,06_重複排除後!$A:$C,3,0))</f>
        <v/>
      </c>
      <c r="F196" s="12" t="str">
        <f aca="false">IF($C196="","",VLOOKUP($C196,06_重複排除後!$A:$E,5,0))</f>
        <v/>
      </c>
      <c r="G196" s="12" t="str">
        <f aca="false">IF($C196="","",VLOOKUP($C196,06_重複排除後!$A:$I,9,0))</f>
        <v/>
      </c>
      <c r="H196" s="11" t="s">
        <v>919</v>
      </c>
      <c r="I196" s="10" t="n">
        <v>75</v>
      </c>
    </row>
    <row r="197" customFormat="false" ht="15" hidden="false" customHeight="false" outlineLevel="0" collapsed="false">
      <c r="A197" s="12" t="str">
        <f aca="false">IF($C197="","",$H197)</f>
        <v/>
      </c>
      <c r="B197" s="12" t="str">
        <f aca="false">IF($C197="","",$I197)</f>
        <v/>
      </c>
      <c r="C197" s="10" t="str">
        <f aca="false">IFERROR(INDEX(06_重複排除後!$A:$A,MATCH($H197&amp;"-"&amp;$I197,06_重複排除後!$L:$L,0)),"")</f>
        <v/>
      </c>
      <c r="D197" s="10" t="str">
        <f aca="false">IF($C197="","",VLOOKUP($C197,06_重複排除後!$A:$B,2,0))</f>
        <v/>
      </c>
      <c r="E197" s="12" t="str">
        <f aca="false">IF($C197="","",VLOOKUP($C197,06_重複排除後!$A:$C,3,0))</f>
        <v/>
      </c>
      <c r="F197" s="12" t="str">
        <f aca="false">IF($C197="","",VLOOKUP($C197,06_重複排除後!$A:$E,5,0))</f>
        <v/>
      </c>
      <c r="G197" s="12" t="str">
        <f aca="false">IF($C197="","",VLOOKUP($C197,06_重複排除後!$A:$I,9,0))</f>
        <v/>
      </c>
      <c r="H197" s="11" t="s">
        <v>919</v>
      </c>
      <c r="I197" s="10" t="n">
        <v>76</v>
      </c>
    </row>
    <row r="198" customFormat="false" ht="15" hidden="false" customHeight="false" outlineLevel="0" collapsed="false">
      <c r="A198" s="12" t="str">
        <f aca="false">IF($C198="","",$H198)</f>
        <v/>
      </c>
      <c r="B198" s="12" t="str">
        <f aca="false">IF($C198="","",$I198)</f>
        <v/>
      </c>
      <c r="C198" s="10" t="str">
        <f aca="false">IFERROR(INDEX(06_重複排除後!$A:$A,MATCH($H198&amp;"-"&amp;$I198,06_重複排除後!$L:$L,0)),"")</f>
        <v/>
      </c>
      <c r="D198" s="10" t="str">
        <f aca="false">IF($C198="","",VLOOKUP($C198,06_重複排除後!$A:$B,2,0))</f>
        <v/>
      </c>
      <c r="E198" s="12" t="str">
        <f aca="false">IF($C198="","",VLOOKUP($C198,06_重複排除後!$A:$C,3,0))</f>
        <v/>
      </c>
      <c r="F198" s="12" t="str">
        <f aca="false">IF($C198="","",VLOOKUP($C198,06_重複排除後!$A:$E,5,0))</f>
        <v/>
      </c>
      <c r="G198" s="12" t="str">
        <f aca="false">IF($C198="","",VLOOKUP($C198,06_重複排除後!$A:$I,9,0))</f>
        <v/>
      </c>
      <c r="H198" s="11" t="s">
        <v>919</v>
      </c>
      <c r="I198" s="10" t="n">
        <v>77</v>
      </c>
    </row>
    <row r="199" customFormat="false" ht="15" hidden="false" customHeight="false" outlineLevel="0" collapsed="false">
      <c r="A199" s="12" t="str">
        <f aca="false">IF($C199="","",$H199)</f>
        <v/>
      </c>
      <c r="B199" s="12" t="str">
        <f aca="false">IF($C199="","",$I199)</f>
        <v/>
      </c>
      <c r="C199" s="10" t="str">
        <f aca="false">IFERROR(INDEX(06_重複排除後!$A:$A,MATCH($H199&amp;"-"&amp;$I199,06_重複排除後!$L:$L,0)),"")</f>
        <v/>
      </c>
      <c r="D199" s="10" t="str">
        <f aca="false">IF($C199="","",VLOOKUP($C199,06_重複排除後!$A:$B,2,0))</f>
        <v/>
      </c>
      <c r="E199" s="12" t="str">
        <f aca="false">IF($C199="","",VLOOKUP($C199,06_重複排除後!$A:$C,3,0))</f>
        <v/>
      </c>
      <c r="F199" s="12" t="str">
        <f aca="false">IF($C199="","",VLOOKUP($C199,06_重複排除後!$A:$E,5,0))</f>
        <v/>
      </c>
      <c r="G199" s="12" t="str">
        <f aca="false">IF($C199="","",VLOOKUP($C199,06_重複排除後!$A:$I,9,0))</f>
        <v/>
      </c>
      <c r="H199" s="11" t="s">
        <v>919</v>
      </c>
      <c r="I199" s="10" t="n">
        <v>78</v>
      </c>
    </row>
    <row r="200" customFormat="false" ht="15" hidden="false" customHeight="false" outlineLevel="0" collapsed="false">
      <c r="A200" s="12" t="str">
        <f aca="false">IF($C200="","",$H200)</f>
        <v/>
      </c>
      <c r="B200" s="12" t="str">
        <f aca="false">IF($C200="","",$I200)</f>
        <v/>
      </c>
      <c r="C200" s="10" t="str">
        <f aca="false">IFERROR(INDEX(06_重複排除後!$A:$A,MATCH($H200&amp;"-"&amp;$I200,06_重複排除後!$L:$L,0)),"")</f>
        <v/>
      </c>
      <c r="D200" s="10" t="str">
        <f aca="false">IF($C200="","",VLOOKUP($C200,06_重複排除後!$A:$B,2,0))</f>
        <v/>
      </c>
      <c r="E200" s="12" t="str">
        <f aca="false">IF($C200="","",VLOOKUP($C200,06_重複排除後!$A:$C,3,0))</f>
        <v/>
      </c>
      <c r="F200" s="12" t="str">
        <f aca="false">IF($C200="","",VLOOKUP($C200,06_重複排除後!$A:$E,5,0))</f>
        <v/>
      </c>
      <c r="G200" s="12" t="str">
        <f aca="false">IF($C200="","",VLOOKUP($C200,06_重複排除後!$A:$I,9,0))</f>
        <v/>
      </c>
      <c r="H200" s="11" t="s">
        <v>919</v>
      </c>
      <c r="I200" s="10" t="n">
        <v>79</v>
      </c>
    </row>
    <row r="201" customFormat="false" ht="15" hidden="false" customHeight="false" outlineLevel="0" collapsed="false">
      <c r="A201" s="12" t="str">
        <f aca="false">IF($C201="","",$H201)</f>
        <v/>
      </c>
      <c r="B201" s="12" t="str">
        <f aca="false">IF($C201="","",$I201)</f>
        <v/>
      </c>
      <c r="C201" s="10" t="str">
        <f aca="false">IFERROR(INDEX(06_重複排除後!$A:$A,MATCH($H201&amp;"-"&amp;$I201,06_重複排除後!$L:$L,0)),"")</f>
        <v/>
      </c>
      <c r="D201" s="10" t="str">
        <f aca="false">IF($C201="","",VLOOKUP($C201,06_重複排除後!$A:$B,2,0))</f>
        <v/>
      </c>
      <c r="E201" s="12" t="str">
        <f aca="false">IF($C201="","",VLOOKUP($C201,06_重複排除後!$A:$C,3,0))</f>
        <v/>
      </c>
      <c r="F201" s="12" t="str">
        <f aca="false">IF($C201="","",VLOOKUP($C201,06_重複排除後!$A:$E,5,0))</f>
        <v/>
      </c>
      <c r="G201" s="12" t="str">
        <f aca="false">IF($C201="","",VLOOKUP($C201,06_重複排除後!$A:$I,9,0))</f>
        <v/>
      </c>
      <c r="H201" s="11" t="s">
        <v>919</v>
      </c>
      <c r="I201" s="10" t="n">
        <v>80</v>
      </c>
    </row>
    <row r="202" customFormat="false" ht="15" hidden="false" customHeight="false" outlineLevel="0" collapsed="false">
      <c r="A202" s="12" t="str">
        <f aca="false">IF($C202="","",$H202)</f>
        <v/>
      </c>
      <c r="B202" s="12" t="str">
        <f aca="false">IF($C202="","",$I202)</f>
        <v/>
      </c>
      <c r="C202" s="10" t="str">
        <f aca="false">IFERROR(INDEX(06_重複排除後!$A:$A,MATCH($H202&amp;"-"&amp;$I202,06_重複排除後!$L:$L,0)),"")</f>
        <v/>
      </c>
      <c r="D202" s="10" t="str">
        <f aca="false">IF($C202="","",VLOOKUP($C202,06_重複排除後!$A:$B,2,0))</f>
        <v/>
      </c>
      <c r="E202" s="12" t="str">
        <f aca="false">IF($C202="","",VLOOKUP($C202,06_重複排除後!$A:$C,3,0))</f>
        <v/>
      </c>
      <c r="F202" s="12" t="str">
        <f aca="false">IF($C202="","",VLOOKUP($C202,06_重複排除後!$A:$E,5,0))</f>
        <v/>
      </c>
      <c r="G202" s="12" t="str">
        <f aca="false">IF($C202="","",VLOOKUP($C202,06_重複排除後!$A:$I,9,0))</f>
        <v/>
      </c>
      <c r="H202" s="11" t="s">
        <v>919</v>
      </c>
      <c r="I202" s="10" t="n">
        <v>81</v>
      </c>
    </row>
    <row r="203" customFormat="false" ht="15" hidden="false" customHeight="false" outlineLevel="0" collapsed="false">
      <c r="A203" s="12" t="str">
        <f aca="false">IF($C203="","",$H203)</f>
        <v/>
      </c>
      <c r="B203" s="12" t="str">
        <f aca="false">IF($C203="","",$I203)</f>
        <v/>
      </c>
      <c r="C203" s="10" t="str">
        <f aca="false">IFERROR(INDEX(06_重複排除後!$A:$A,MATCH($H203&amp;"-"&amp;$I203,06_重複排除後!$L:$L,0)),"")</f>
        <v/>
      </c>
      <c r="D203" s="10" t="str">
        <f aca="false">IF($C203="","",VLOOKUP($C203,06_重複排除後!$A:$B,2,0))</f>
        <v/>
      </c>
      <c r="E203" s="12" t="str">
        <f aca="false">IF($C203="","",VLOOKUP($C203,06_重複排除後!$A:$C,3,0))</f>
        <v/>
      </c>
      <c r="F203" s="12" t="str">
        <f aca="false">IF($C203="","",VLOOKUP($C203,06_重複排除後!$A:$E,5,0))</f>
        <v/>
      </c>
      <c r="G203" s="12" t="str">
        <f aca="false">IF($C203="","",VLOOKUP($C203,06_重複排除後!$A:$I,9,0))</f>
        <v/>
      </c>
      <c r="H203" s="11" t="s">
        <v>919</v>
      </c>
      <c r="I203" s="10" t="n">
        <v>82</v>
      </c>
    </row>
    <row r="204" customFormat="false" ht="15" hidden="false" customHeight="false" outlineLevel="0" collapsed="false">
      <c r="A204" s="12" t="str">
        <f aca="false">IF($C204="","",$H204)</f>
        <v/>
      </c>
      <c r="B204" s="12" t="str">
        <f aca="false">IF($C204="","",$I204)</f>
        <v/>
      </c>
      <c r="C204" s="10" t="str">
        <f aca="false">IFERROR(INDEX(06_重複排除後!$A:$A,MATCH($H204&amp;"-"&amp;$I204,06_重複排除後!$L:$L,0)),"")</f>
        <v/>
      </c>
      <c r="D204" s="10" t="str">
        <f aca="false">IF($C204="","",VLOOKUP($C204,06_重複排除後!$A:$B,2,0))</f>
        <v/>
      </c>
      <c r="E204" s="12" t="str">
        <f aca="false">IF($C204="","",VLOOKUP($C204,06_重複排除後!$A:$C,3,0))</f>
        <v/>
      </c>
      <c r="F204" s="12" t="str">
        <f aca="false">IF($C204="","",VLOOKUP($C204,06_重複排除後!$A:$E,5,0))</f>
        <v/>
      </c>
      <c r="G204" s="12" t="str">
        <f aca="false">IF($C204="","",VLOOKUP($C204,06_重複排除後!$A:$I,9,0))</f>
        <v/>
      </c>
      <c r="H204" s="11" t="s">
        <v>919</v>
      </c>
      <c r="I204" s="10" t="n">
        <v>83</v>
      </c>
    </row>
    <row r="205" customFormat="false" ht="15" hidden="false" customHeight="false" outlineLevel="0" collapsed="false">
      <c r="A205" s="12" t="str">
        <f aca="false">IF($C205="","",$H205)</f>
        <v/>
      </c>
      <c r="B205" s="12" t="str">
        <f aca="false">IF($C205="","",$I205)</f>
        <v/>
      </c>
      <c r="C205" s="10" t="str">
        <f aca="false">IFERROR(INDEX(06_重複排除後!$A:$A,MATCH($H205&amp;"-"&amp;$I205,06_重複排除後!$L:$L,0)),"")</f>
        <v/>
      </c>
      <c r="D205" s="10" t="str">
        <f aca="false">IF($C205="","",VLOOKUP($C205,06_重複排除後!$A:$B,2,0))</f>
        <v/>
      </c>
      <c r="E205" s="12" t="str">
        <f aca="false">IF($C205="","",VLOOKUP($C205,06_重複排除後!$A:$C,3,0))</f>
        <v/>
      </c>
      <c r="F205" s="12" t="str">
        <f aca="false">IF($C205="","",VLOOKUP($C205,06_重複排除後!$A:$E,5,0))</f>
        <v/>
      </c>
      <c r="G205" s="12" t="str">
        <f aca="false">IF($C205="","",VLOOKUP($C205,06_重複排除後!$A:$I,9,0))</f>
        <v/>
      </c>
      <c r="H205" s="11" t="s">
        <v>919</v>
      </c>
      <c r="I205" s="10" t="n">
        <v>84</v>
      </c>
    </row>
    <row r="206" customFormat="false" ht="15" hidden="false" customHeight="false" outlineLevel="0" collapsed="false">
      <c r="A206" s="12" t="str">
        <f aca="false">IF($C206="","",$H206)</f>
        <v/>
      </c>
      <c r="B206" s="12" t="str">
        <f aca="false">IF($C206="","",$I206)</f>
        <v/>
      </c>
      <c r="C206" s="10" t="str">
        <f aca="false">IFERROR(INDEX(06_重複排除後!$A:$A,MATCH($H206&amp;"-"&amp;$I206,06_重複排除後!$L:$L,0)),"")</f>
        <v/>
      </c>
      <c r="D206" s="10" t="str">
        <f aca="false">IF($C206="","",VLOOKUP($C206,06_重複排除後!$A:$B,2,0))</f>
        <v/>
      </c>
      <c r="E206" s="12" t="str">
        <f aca="false">IF($C206="","",VLOOKUP($C206,06_重複排除後!$A:$C,3,0))</f>
        <v/>
      </c>
      <c r="F206" s="12" t="str">
        <f aca="false">IF($C206="","",VLOOKUP($C206,06_重複排除後!$A:$E,5,0))</f>
        <v/>
      </c>
      <c r="G206" s="12" t="str">
        <f aca="false">IF($C206="","",VLOOKUP($C206,06_重複排除後!$A:$I,9,0))</f>
        <v/>
      </c>
      <c r="H206" s="11" t="s">
        <v>919</v>
      </c>
      <c r="I206" s="10" t="n">
        <v>85</v>
      </c>
    </row>
    <row r="207" customFormat="false" ht="15" hidden="false" customHeight="false" outlineLevel="0" collapsed="false">
      <c r="A207" s="12" t="str">
        <f aca="false">IF($C207="","",$H207)</f>
        <v/>
      </c>
      <c r="B207" s="12" t="str">
        <f aca="false">IF($C207="","",$I207)</f>
        <v/>
      </c>
      <c r="C207" s="10" t="str">
        <f aca="false">IFERROR(INDEX(06_重複排除後!$A:$A,MATCH($H207&amp;"-"&amp;$I207,06_重複排除後!$L:$L,0)),"")</f>
        <v/>
      </c>
      <c r="D207" s="10" t="str">
        <f aca="false">IF($C207="","",VLOOKUP($C207,06_重複排除後!$A:$B,2,0))</f>
        <v/>
      </c>
      <c r="E207" s="12" t="str">
        <f aca="false">IF($C207="","",VLOOKUP($C207,06_重複排除後!$A:$C,3,0))</f>
        <v/>
      </c>
      <c r="F207" s="12" t="str">
        <f aca="false">IF($C207="","",VLOOKUP($C207,06_重複排除後!$A:$E,5,0))</f>
        <v/>
      </c>
      <c r="G207" s="12" t="str">
        <f aca="false">IF($C207="","",VLOOKUP($C207,06_重複排除後!$A:$I,9,0))</f>
        <v/>
      </c>
      <c r="H207" s="11" t="s">
        <v>919</v>
      </c>
      <c r="I207" s="10" t="n">
        <v>86</v>
      </c>
    </row>
    <row r="208" customFormat="false" ht="15" hidden="false" customHeight="false" outlineLevel="0" collapsed="false">
      <c r="A208" s="12" t="str">
        <f aca="false">IF($C208="","",$H208)</f>
        <v/>
      </c>
      <c r="B208" s="12" t="str">
        <f aca="false">IF($C208="","",$I208)</f>
        <v/>
      </c>
      <c r="C208" s="10" t="str">
        <f aca="false">IFERROR(INDEX(06_重複排除後!$A:$A,MATCH($H208&amp;"-"&amp;$I208,06_重複排除後!$L:$L,0)),"")</f>
        <v/>
      </c>
      <c r="D208" s="10" t="str">
        <f aca="false">IF($C208="","",VLOOKUP($C208,06_重複排除後!$A:$B,2,0))</f>
        <v/>
      </c>
      <c r="E208" s="12" t="str">
        <f aca="false">IF($C208="","",VLOOKUP($C208,06_重複排除後!$A:$C,3,0))</f>
        <v/>
      </c>
      <c r="F208" s="12" t="str">
        <f aca="false">IF($C208="","",VLOOKUP($C208,06_重複排除後!$A:$E,5,0))</f>
        <v/>
      </c>
      <c r="G208" s="12" t="str">
        <f aca="false">IF($C208="","",VLOOKUP($C208,06_重複排除後!$A:$I,9,0))</f>
        <v/>
      </c>
      <c r="H208" s="11" t="s">
        <v>919</v>
      </c>
      <c r="I208" s="10" t="n">
        <v>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30"/>
    <col collapsed="false" customWidth="true" hidden="false" outlineLevel="0" max="3" min="3" style="0" width="7"/>
    <col collapsed="false" customWidth="true" hidden="false" outlineLevel="0" max="4" min="4" style="0" width="9"/>
    <col collapsed="false" customWidth="true" hidden="false" outlineLevel="0" max="5" min="5" style="0" width="15"/>
    <col collapsed="false" customWidth="true" hidden="false" outlineLevel="0" max="6" min="6" style="0" width="8"/>
    <col collapsed="false" customWidth="true" hidden="false" outlineLevel="0" max="8" min="7" style="0" width="7"/>
  </cols>
  <sheetData>
    <row r="1" customFormat="false" ht="29.85" hidden="false" customHeight="false" outlineLevel="0" collapsed="false">
      <c r="A1" s="8" t="s">
        <v>768</v>
      </c>
      <c r="B1" s="8" t="s">
        <v>769</v>
      </c>
      <c r="C1" s="8" t="s">
        <v>70</v>
      </c>
      <c r="D1" s="8" t="s">
        <v>774</v>
      </c>
      <c r="E1" s="8" t="s">
        <v>777</v>
      </c>
      <c r="F1" s="8" t="s">
        <v>1480</v>
      </c>
      <c r="G1" s="8" t="s">
        <v>1481</v>
      </c>
      <c r="H1" s="8" t="s">
        <v>1482</v>
      </c>
    </row>
    <row r="2" customFormat="false" ht="15" hidden="false" customHeight="false" outlineLevel="0" collapsed="false">
      <c r="A2" s="10" t="str">
        <f aca="false">08_ロードマップ!C2</f>
        <v/>
      </c>
      <c r="B2" s="10" t="str">
        <f aca="false">IF($A2="","",08_ロードマップ!D2)</f>
        <v/>
      </c>
      <c r="C2" s="16" t="str">
        <f aca="false">IF($A2="","",08_ロードマップ!A2)</f>
        <v/>
      </c>
      <c r="D2" s="16" t="str">
        <f aca="false">IF($A2="","",08_ロードマップ!F2)</f>
        <v/>
      </c>
      <c r="E2" s="16" t="str">
        <f aca="false">IF($A2="","",IFERROR(VLOOKUP($A2,04_依存関係マスター!$A:$C,3,0),""))</f>
        <v/>
      </c>
      <c r="F2" s="16" t="str">
        <f aca="false">IF($E2="","",IF(COUNTIFS(06_重複排除後!$A:$A,$E2,06_重複排除後!$H:$H,"○")&gt;0,"採用",""))</f>
        <v/>
      </c>
      <c r="G2" s="16" t="str">
        <f aca="false">IF($A2="","",MAX(IF($C2="短期",00_はじめに!$B$20,IF($C2="中期",00_はじめに!$B$21,00_はじめに!$B$22)),IF($F2="採用",IFERROR(VLOOKUP($E2,$A:$H,8,0)+1,0),0)))</f>
        <v/>
      </c>
      <c r="H2" s="16" t="str">
        <f aca="false">IF($A2="","",MIN(36,$G2+$D2-1))</f>
        <v/>
      </c>
    </row>
    <row r="3" customFormat="false" ht="15" hidden="false" customHeight="false" outlineLevel="0" collapsed="false">
      <c r="A3" s="10" t="str">
        <f aca="false">08_ロードマップ!C3</f>
        <v/>
      </c>
      <c r="B3" s="10" t="str">
        <f aca="false">IF($A3="","",08_ロードマップ!D3)</f>
        <v/>
      </c>
      <c r="C3" s="16" t="str">
        <f aca="false">IF($A3="","",08_ロードマップ!A3)</f>
        <v/>
      </c>
      <c r="D3" s="16" t="str">
        <f aca="false">IF($A3="","",08_ロードマップ!F3)</f>
        <v/>
      </c>
      <c r="E3" s="16" t="str">
        <f aca="false">IF($A3="","",IFERROR(VLOOKUP($A3,04_依存関係マスター!$A:$C,3,0),""))</f>
        <v/>
      </c>
      <c r="F3" s="16" t="str">
        <f aca="false">IF($E3="","",IF(COUNTIFS(06_重複排除後!$A:$A,$E3,06_重複排除後!$H:$H,"○")&gt;0,"採用",""))</f>
        <v/>
      </c>
      <c r="G3" s="16" t="str">
        <f aca="false">IF($A3="","",MAX(IF($C3="短期",00_はじめに!$B$20,IF($C3="中期",00_はじめに!$B$21,00_はじめに!$B$22)),IF($F3="採用",IFERROR(VLOOKUP($E3,$A:$H,8,0)+1,0),0)))</f>
        <v/>
      </c>
      <c r="H3" s="16" t="str">
        <f aca="false">IF($A3="","",MIN(36,$G3+$D3-1))</f>
        <v/>
      </c>
    </row>
    <row r="4" customFormat="false" ht="15" hidden="false" customHeight="false" outlineLevel="0" collapsed="false">
      <c r="A4" s="10" t="str">
        <f aca="false">08_ロードマップ!C4</f>
        <v/>
      </c>
      <c r="B4" s="10" t="str">
        <f aca="false">IF($A4="","",08_ロードマップ!D4)</f>
        <v/>
      </c>
      <c r="C4" s="16" t="str">
        <f aca="false">IF($A4="","",08_ロードマップ!A4)</f>
        <v/>
      </c>
      <c r="D4" s="16" t="str">
        <f aca="false">IF($A4="","",08_ロードマップ!F4)</f>
        <v/>
      </c>
      <c r="E4" s="16" t="str">
        <f aca="false">IF($A4="","",IFERROR(VLOOKUP($A4,04_依存関係マスター!$A:$C,3,0),""))</f>
        <v/>
      </c>
      <c r="F4" s="16" t="str">
        <f aca="false">IF($E4="","",IF(COUNTIFS(06_重複排除後!$A:$A,$E4,06_重複排除後!$H:$H,"○")&gt;0,"採用",""))</f>
        <v/>
      </c>
      <c r="G4" s="16" t="str">
        <f aca="false">IF($A4="","",MAX(IF($C4="短期",00_はじめに!$B$20,IF($C4="中期",00_はじめに!$B$21,00_はじめに!$B$22)),IF($F4="採用",IFERROR(VLOOKUP($E4,$A:$H,8,0)+1,0),0)))</f>
        <v/>
      </c>
      <c r="H4" s="16" t="str">
        <f aca="false">IF($A4="","",MIN(36,$G4+$D4-1))</f>
        <v/>
      </c>
    </row>
    <row r="5" customFormat="false" ht="15" hidden="false" customHeight="false" outlineLevel="0" collapsed="false">
      <c r="A5" s="10" t="str">
        <f aca="false">08_ロードマップ!C5</f>
        <v/>
      </c>
      <c r="B5" s="10" t="str">
        <f aca="false">IF($A5="","",08_ロードマップ!D5)</f>
        <v/>
      </c>
      <c r="C5" s="16" t="str">
        <f aca="false">IF($A5="","",08_ロードマップ!A5)</f>
        <v/>
      </c>
      <c r="D5" s="16" t="str">
        <f aca="false">IF($A5="","",08_ロードマップ!F5)</f>
        <v/>
      </c>
      <c r="E5" s="16" t="str">
        <f aca="false">IF($A5="","",IFERROR(VLOOKUP($A5,04_依存関係マスター!$A:$C,3,0),""))</f>
        <v/>
      </c>
      <c r="F5" s="16" t="str">
        <f aca="false">IF($E5="","",IF(COUNTIFS(06_重複排除後!$A:$A,$E5,06_重複排除後!$H:$H,"○")&gt;0,"採用",""))</f>
        <v/>
      </c>
      <c r="G5" s="16" t="str">
        <f aca="false">IF($A5="","",MAX(IF($C5="短期",00_はじめに!$B$20,IF($C5="中期",00_はじめに!$B$21,00_はじめに!$B$22)),IF($F5="採用",IFERROR(VLOOKUP($E5,$A:$H,8,0)+1,0),0)))</f>
        <v/>
      </c>
      <c r="H5" s="16" t="str">
        <f aca="false">IF($A5="","",MIN(36,$G5+$D5-1))</f>
        <v/>
      </c>
    </row>
    <row r="6" customFormat="false" ht="15" hidden="false" customHeight="false" outlineLevel="0" collapsed="false">
      <c r="A6" s="10" t="str">
        <f aca="false">08_ロードマップ!C6</f>
        <v/>
      </c>
      <c r="B6" s="10" t="str">
        <f aca="false">IF($A6="","",08_ロードマップ!D6)</f>
        <v/>
      </c>
      <c r="C6" s="16" t="str">
        <f aca="false">IF($A6="","",08_ロードマップ!A6)</f>
        <v/>
      </c>
      <c r="D6" s="16" t="str">
        <f aca="false">IF($A6="","",08_ロードマップ!F6)</f>
        <v/>
      </c>
      <c r="E6" s="16" t="str">
        <f aca="false">IF($A6="","",IFERROR(VLOOKUP($A6,04_依存関係マスター!$A:$C,3,0),""))</f>
        <v/>
      </c>
      <c r="F6" s="16" t="str">
        <f aca="false">IF($E6="","",IF(COUNTIFS(06_重複排除後!$A:$A,$E6,06_重複排除後!$H:$H,"○")&gt;0,"採用",""))</f>
        <v/>
      </c>
      <c r="G6" s="16" t="str">
        <f aca="false">IF($A6="","",MAX(IF($C6="短期",00_はじめに!$B$20,IF($C6="中期",00_はじめに!$B$21,00_はじめに!$B$22)),IF($F6="採用",IFERROR(VLOOKUP($E6,$A:$H,8,0)+1,0),0)))</f>
        <v/>
      </c>
      <c r="H6" s="16" t="str">
        <f aca="false">IF($A6="","",MIN(36,$G6+$D6-1))</f>
        <v/>
      </c>
    </row>
    <row r="7" customFormat="false" ht="15" hidden="false" customHeight="false" outlineLevel="0" collapsed="false">
      <c r="A7" s="10" t="str">
        <f aca="false">08_ロードマップ!C7</f>
        <v/>
      </c>
      <c r="B7" s="10" t="str">
        <f aca="false">IF($A7="","",08_ロードマップ!D7)</f>
        <v/>
      </c>
      <c r="C7" s="16" t="str">
        <f aca="false">IF($A7="","",08_ロードマップ!A7)</f>
        <v/>
      </c>
      <c r="D7" s="16" t="str">
        <f aca="false">IF($A7="","",08_ロードマップ!F7)</f>
        <v/>
      </c>
      <c r="E7" s="16" t="str">
        <f aca="false">IF($A7="","",IFERROR(VLOOKUP($A7,04_依存関係マスター!$A:$C,3,0),""))</f>
        <v/>
      </c>
      <c r="F7" s="16" t="str">
        <f aca="false">IF($E7="","",IF(COUNTIFS(06_重複排除後!$A:$A,$E7,06_重複排除後!$H:$H,"○")&gt;0,"採用",""))</f>
        <v/>
      </c>
      <c r="G7" s="16" t="str">
        <f aca="false">IF($A7="","",MAX(IF($C7="短期",00_はじめに!$B$20,IF($C7="中期",00_はじめに!$B$21,00_はじめに!$B$22)),IF($F7="採用",IFERROR(VLOOKUP($E7,$A:$H,8,0)+1,0),0)))</f>
        <v/>
      </c>
      <c r="H7" s="16" t="str">
        <f aca="false">IF($A7="","",MIN(36,$G7+$D7-1))</f>
        <v/>
      </c>
    </row>
    <row r="8" customFormat="false" ht="15" hidden="false" customHeight="false" outlineLevel="0" collapsed="false">
      <c r="A8" s="10" t="str">
        <f aca="false">08_ロードマップ!C8</f>
        <v/>
      </c>
      <c r="B8" s="10" t="str">
        <f aca="false">IF($A8="","",08_ロードマップ!D8)</f>
        <v/>
      </c>
      <c r="C8" s="16" t="str">
        <f aca="false">IF($A8="","",08_ロードマップ!A8)</f>
        <v/>
      </c>
      <c r="D8" s="16" t="str">
        <f aca="false">IF($A8="","",08_ロードマップ!F8)</f>
        <v/>
      </c>
      <c r="E8" s="16" t="str">
        <f aca="false">IF($A8="","",IFERROR(VLOOKUP($A8,04_依存関係マスター!$A:$C,3,0),""))</f>
        <v/>
      </c>
      <c r="F8" s="16" t="str">
        <f aca="false">IF($E8="","",IF(COUNTIFS(06_重複排除後!$A:$A,$E8,06_重複排除後!$H:$H,"○")&gt;0,"採用",""))</f>
        <v/>
      </c>
      <c r="G8" s="16" t="str">
        <f aca="false">IF($A8="","",MAX(IF($C8="短期",00_はじめに!$B$20,IF($C8="中期",00_はじめに!$B$21,00_はじめに!$B$22)),IF($F8="採用",IFERROR(VLOOKUP($E8,$A:$H,8,0)+1,0),0)))</f>
        <v/>
      </c>
      <c r="H8" s="16" t="str">
        <f aca="false">IF($A8="","",MIN(36,$G8+$D8-1))</f>
        <v/>
      </c>
    </row>
    <row r="9" customFormat="false" ht="15" hidden="false" customHeight="false" outlineLevel="0" collapsed="false">
      <c r="A9" s="10" t="str">
        <f aca="false">08_ロードマップ!C9</f>
        <v/>
      </c>
      <c r="B9" s="10" t="str">
        <f aca="false">IF($A9="","",08_ロードマップ!D9)</f>
        <v/>
      </c>
      <c r="C9" s="16" t="str">
        <f aca="false">IF($A9="","",08_ロードマップ!A9)</f>
        <v/>
      </c>
      <c r="D9" s="16" t="str">
        <f aca="false">IF($A9="","",08_ロードマップ!F9)</f>
        <v/>
      </c>
      <c r="E9" s="16" t="str">
        <f aca="false">IF($A9="","",IFERROR(VLOOKUP($A9,04_依存関係マスター!$A:$C,3,0),""))</f>
        <v/>
      </c>
      <c r="F9" s="16" t="str">
        <f aca="false">IF($E9="","",IF(COUNTIFS(06_重複排除後!$A:$A,$E9,06_重複排除後!$H:$H,"○")&gt;0,"採用",""))</f>
        <v/>
      </c>
      <c r="G9" s="16" t="str">
        <f aca="false">IF($A9="","",MAX(IF($C9="短期",00_はじめに!$B$20,IF($C9="中期",00_はじめに!$B$21,00_はじめに!$B$22)),IF($F9="採用",IFERROR(VLOOKUP($E9,$A:$H,8,0)+1,0),0)))</f>
        <v/>
      </c>
      <c r="H9" s="16" t="str">
        <f aca="false">IF($A9="","",MIN(36,$G9+$D9-1))</f>
        <v/>
      </c>
    </row>
    <row r="10" customFormat="false" ht="15" hidden="false" customHeight="false" outlineLevel="0" collapsed="false">
      <c r="A10" s="10" t="str">
        <f aca="false">08_ロードマップ!C10</f>
        <v/>
      </c>
      <c r="B10" s="10" t="str">
        <f aca="false">IF($A10="","",08_ロードマップ!D10)</f>
        <v/>
      </c>
      <c r="C10" s="16" t="str">
        <f aca="false">IF($A10="","",08_ロードマップ!A10)</f>
        <v/>
      </c>
      <c r="D10" s="16" t="str">
        <f aca="false">IF($A10="","",08_ロードマップ!F10)</f>
        <v/>
      </c>
      <c r="E10" s="16" t="str">
        <f aca="false">IF($A10="","",IFERROR(VLOOKUP($A10,04_依存関係マスター!$A:$C,3,0),""))</f>
        <v/>
      </c>
      <c r="F10" s="16" t="str">
        <f aca="false">IF($E10="","",IF(COUNTIFS(06_重複排除後!$A:$A,$E10,06_重複排除後!$H:$H,"○")&gt;0,"採用",""))</f>
        <v/>
      </c>
      <c r="G10" s="16" t="str">
        <f aca="false">IF($A10="","",MAX(IF($C10="短期",00_はじめに!$B$20,IF($C10="中期",00_はじめに!$B$21,00_はじめに!$B$22)),IF($F10="採用",IFERROR(VLOOKUP($E10,$A:$H,8,0)+1,0),0)))</f>
        <v/>
      </c>
      <c r="H10" s="16" t="str">
        <f aca="false">IF($A10="","",MIN(36,$G10+$D10-1))</f>
        <v/>
      </c>
    </row>
    <row r="11" customFormat="false" ht="15" hidden="false" customHeight="false" outlineLevel="0" collapsed="false">
      <c r="A11" s="10" t="str">
        <f aca="false">08_ロードマップ!C11</f>
        <v/>
      </c>
      <c r="B11" s="10" t="str">
        <f aca="false">IF($A11="","",08_ロードマップ!D11)</f>
        <v/>
      </c>
      <c r="C11" s="16" t="str">
        <f aca="false">IF($A11="","",08_ロードマップ!A11)</f>
        <v/>
      </c>
      <c r="D11" s="16" t="str">
        <f aca="false">IF($A11="","",08_ロードマップ!F11)</f>
        <v/>
      </c>
      <c r="E11" s="16" t="str">
        <f aca="false">IF($A11="","",IFERROR(VLOOKUP($A11,04_依存関係マスター!$A:$C,3,0),""))</f>
        <v/>
      </c>
      <c r="F11" s="16" t="str">
        <f aca="false">IF($E11="","",IF(COUNTIFS(06_重複排除後!$A:$A,$E11,06_重複排除後!$H:$H,"○")&gt;0,"採用",""))</f>
        <v/>
      </c>
      <c r="G11" s="16" t="str">
        <f aca="false">IF($A11="","",MAX(IF($C11="短期",00_はじめに!$B$20,IF($C11="中期",00_はじめに!$B$21,00_はじめに!$B$22)),IF($F11="採用",IFERROR(VLOOKUP($E11,$A:$H,8,0)+1,0),0)))</f>
        <v/>
      </c>
      <c r="H11" s="16" t="str">
        <f aca="false">IF($A11="","",MIN(36,$G11+$D11-1))</f>
        <v/>
      </c>
    </row>
    <row r="12" customFormat="false" ht="15" hidden="false" customHeight="false" outlineLevel="0" collapsed="false">
      <c r="A12" s="10" t="str">
        <f aca="false">08_ロードマップ!C12</f>
        <v/>
      </c>
      <c r="B12" s="10" t="str">
        <f aca="false">IF($A12="","",08_ロードマップ!D12)</f>
        <v/>
      </c>
      <c r="C12" s="16" t="str">
        <f aca="false">IF($A12="","",08_ロードマップ!A12)</f>
        <v/>
      </c>
      <c r="D12" s="16" t="str">
        <f aca="false">IF($A12="","",08_ロードマップ!F12)</f>
        <v/>
      </c>
      <c r="E12" s="16" t="str">
        <f aca="false">IF($A12="","",IFERROR(VLOOKUP($A12,04_依存関係マスター!$A:$C,3,0),""))</f>
        <v/>
      </c>
      <c r="F12" s="16" t="str">
        <f aca="false">IF($E12="","",IF(COUNTIFS(06_重複排除後!$A:$A,$E12,06_重複排除後!$H:$H,"○")&gt;0,"採用",""))</f>
        <v/>
      </c>
      <c r="G12" s="16" t="str">
        <f aca="false">IF($A12="","",MAX(IF($C12="短期",00_はじめに!$B$20,IF($C12="中期",00_はじめに!$B$21,00_はじめに!$B$22)),IF($F12="採用",IFERROR(VLOOKUP($E12,$A:$H,8,0)+1,0),0)))</f>
        <v/>
      </c>
      <c r="H12" s="16" t="str">
        <f aca="false">IF($A12="","",MIN(36,$G12+$D12-1))</f>
        <v/>
      </c>
    </row>
    <row r="13" customFormat="false" ht="15" hidden="false" customHeight="false" outlineLevel="0" collapsed="false">
      <c r="A13" s="10" t="str">
        <f aca="false">08_ロードマップ!C13</f>
        <v/>
      </c>
      <c r="B13" s="10" t="str">
        <f aca="false">IF($A13="","",08_ロードマップ!D13)</f>
        <v/>
      </c>
      <c r="C13" s="16" t="str">
        <f aca="false">IF($A13="","",08_ロードマップ!A13)</f>
        <v/>
      </c>
      <c r="D13" s="16" t="str">
        <f aca="false">IF($A13="","",08_ロードマップ!F13)</f>
        <v/>
      </c>
      <c r="E13" s="16" t="str">
        <f aca="false">IF($A13="","",IFERROR(VLOOKUP($A13,04_依存関係マスター!$A:$C,3,0),""))</f>
        <v/>
      </c>
      <c r="F13" s="16" t="str">
        <f aca="false">IF($E13="","",IF(COUNTIFS(06_重複排除後!$A:$A,$E13,06_重複排除後!$H:$H,"○")&gt;0,"採用",""))</f>
        <v/>
      </c>
      <c r="G13" s="16" t="str">
        <f aca="false">IF($A13="","",MAX(IF($C13="短期",00_はじめに!$B$20,IF($C13="中期",00_はじめに!$B$21,00_はじめに!$B$22)),IF($F13="採用",IFERROR(VLOOKUP($E13,$A:$H,8,0)+1,0),0)))</f>
        <v/>
      </c>
      <c r="H13" s="16" t="str">
        <f aca="false">IF($A13="","",MIN(36,$G13+$D13-1))</f>
        <v/>
      </c>
    </row>
    <row r="14" customFormat="false" ht="15" hidden="false" customHeight="false" outlineLevel="0" collapsed="false">
      <c r="A14" s="10" t="str">
        <f aca="false">08_ロードマップ!C14</f>
        <v/>
      </c>
      <c r="B14" s="10" t="str">
        <f aca="false">IF($A14="","",08_ロードマップ!D14)</f>
        <v/>
      </c>
      <c r="C14" s="16" t="str">
        <f aca="false">IF($A14="","",08_ロードマップ!A14)</f>
        <v/>
      </c>
      <c r="D14" s="16" t="str">
        <f aca="false">IF($A14="","",08_ロードマップ!F14)</f>
        <v/>
      </c>
      <c r="E14" s="16" t="str">
        <f aca="false">IF($A14="","",IFERROR(VLOOKUP($A14,04_依存関係マスター!$A:$C,3,0),""))</f>
        <v/>
      </c>
      <c r="F14" s="16" t="str">
        <f aca="false">IF($E14="","",IF(COUNTIFS(06_重複排除後!$A:$A,$E14,06_重複排除後!$H:$H,"○")&gt;0,"採用",""))</f>
        <v/>
      </c>
      <c r="G14" s="16" t="str">
        <f aca="false">IF($A14="","",MAX(IF($C14="短期",00_はじめに!$B$20,IF($C14="中期",00_はじめに!$B$21,00_はじめに!$B$22)),IF($F14="採用",IFERROR(VLOOKUP($E14,$A:$H,8,0)+1,0),0)))</f>
        <v/>
      </c>
      <c r="H14" s="16" t="str">
        <f aca="false">IF($A14="","",MIN(36,$G14+$D14-1))</f>
        <v/>
      </c>
    </row>
    <row r="15" customFormat="false" ht="15" hidden="false" customHeight="false" outlineLevel="0" collapsed="false">
      <c r="A15" s="10" t="str">
        <f aca="false">08_ロードマップ!C15</f>
        <v/>
      </c>
      <c r="B15" s="10" t="str">
        <f aca="false">IF($A15="","",08_ロードマップ!D15)</f>
        <v/>
      </c>
      <c r="C15" s="16" t="str">
        <f aca="false">IF($A15="","",08_ロードマップ!A15)</f>
        <v/>
      </c>
      <c r="D15" s="16" t="str">
        <f aca="false">IF($A15="","",08_ロードマップ!F15)</f>
        <v/>
      </c>
      <c r="E15" s="16" t="str">
        <f aca="false">IF($A15="","",IFERROR(VLOOKUP($A15,04_依存関係マスター!$A:$C,3,0),""))</f>
        <v/>
      </c>
      <c r="F15" s="16" t="str">
        <f aca="false">IF($E15="","",IF(COUNTIFS(06_重複排除後!$A:$A,$E15,06_重複排除後!$H:$H,"○")&gt;0,"採用",""))</f>
        <v/>
      </c>
      <c r="G15" s="16" t="str">
        <f aca="false">IF($A15="","",MAX(IF($C15="短期",00_はじめに!$B$20,IF($C15="中期",00_はじめに!$B$21,00_はじめに!$B$22)),IF($F15="採用",IFERROR(VLOOKUP($E15,$A:$H,8,0)+1,0),0)))</f>
        <v/>
      </c>
      <c r="H15" s="16" t="str">
        <f aca="false">IF($A15="","",MIN(36,$G15+$D15-1))</f>
        <v/>
      </c>
    </row>
    <row r="16" customFormat="false" ht="15" hidden="false" customHeight="false" outlineLevel="0" collapsed="false">
      <c r="A16" s="10" t="str">
        <f aca="false">08_ロードマップ!C16</f>
        <v/>
      </c>
      <c r="B16" s="10" t="str">
        <f aca="false">IF($A16="","",08_ロードマップ!D16)</f>
        <v/>
      </c>
      <c r="C16" s="16" t="str">
        <f aca="false">IF($A16="","",08_ロードマップ!A16)</f>
        <v/>
      </c>
      <c r="D16" s="16" t="str">
        <f aca="false">IF($A16="","",08_ロードマップ!F16)</f>
        <v/>
      </c>
      <c r="E16" s="16" t="str">
        <f aca="false">IF($A16="","",IFERROR(VLOOKUP($A16,04_依存関係マスター!$A:$C,3,0),""))</f>
        <v/>
      </c>
      <c r="F16" s="16" t="str">
        <f aca="false">IF($E16="","",IF(COUNTIFS(06_重複排除後!$A:$A,$E16,06_重複排除後!$H:$H,"○")&gt;0,"採用",""))</f>
        <v/>
      </c>
      <c r="G16" s="16" t="str">
        <f aca="false">IF($A16="","",MAX(IF($C16="短期",00_はじめに!$B$20,IF($C16="中期",00_はじめに!$B$21,00_はじめに!$B$22)),IF($F16="採用",IFERROR(VLOOKUP($E16,$A:$H,8,0)+1,0),0)))</f>
        <v/>
      </c>
      <c r="H16" s="16" t="str">
        <f aca="false">IF($A16="","",MIN(36,$G16+$D16-1))</f>
        <v/>
      </c>
    </row>
    <row r="17" customFormat="false" ht="15" hidden="false" customHeight="false" outlineLevel="0" collapsed="false">
      <c r="A17" s="10" t="str">
        <f aca="false">08_ロードマップ!C17</f>
        <v/>
      </c>
      <c r="B17" s="10" t="str">
        <f aca="false">IF($A17="","",08_ロードマップ!D17)</f>
        <v/>
      </c>
      <c r="C17" s="16" t="str">
        <f aca="false">IF($A17="","",08_ロードマップ!A17)</f>
        <v/>
      </c>
      <c r="D17" s="16" t="str">
        <f aca="false">IF($A17="","",08_ロードマップ!F17)</f>
        <v/>
      </c>
      <c r="E17" s="16" t="str">
        <f aca="false">IF($A17="","",IFERROR(VLOOKUP($A17,04_依存関係マスター!$A:$C,3,0),""))</f>
        <v/>
      </c>
      <c r="F17" s="16" t="str">
        <f aca="false">IF($E17="","",IF(COUNTIFS(06_重複排除後!$A:$A,$E17,06_重複排除後!$H:$H,"○")&gt;0,"採用",""))</f>
        <v/>
      </c>
      <c r="G17" s="16" t="str">
        <f aca="false">IF($A17="","",MAX(IF($C17="短期",00_はじめに!$B$20,IF($C17="中期",00_はじめに!$B$21,00_はじめに!$B$22)),IF($F17="採用",IFERROR(VLOOKUP($E17,$A:$H,8,0)+1,0),0)))</f>
        <v/>
      </c>
      <c r="H17" s="16" t="str">
        <f aca="false">IF($A17="","",MIN(36,$G17+$D17-1))</f>
        <v/>
      </c>
    </row>
    <row r="18" customFormat="false" ht="15" hidden="false" customHeight="false" outlineLevel="0" collapsed="false">
      <c r="A18" s="10" t="str">
        <f aca="false">08_ロードマップ!C18</f>
        <v/>
      </c>
      <c r="B18" s="10" t="str">
        <f aca="false">IF($A18="","",08_ロードマップ!D18)</f>
        <v/>
      </c>
      <c r="C18" s="16" t="str">
        <f aca="false">IF($A18="","",08_ロードマップ!A18)</f>
        <v/>
      </c>
      <c r="D18" s="16" t="str">
        <f aca="false">IF($A18="","",08_ロードマップ!F18)</f>
        <v/>
      </c>
      <c r="E18" s="16" t="str">
        <f aca="false">IF($A18="","",IFERROR(VLOOKUP($A18,04_依存関係マスター!$A:$C,3,0),""))</f>
        <v/>
      </c>
      <c r="F18" s="16" t="str">
        <f aca="false">IF($E18="","",IF(COUNTIFS(06_重複排除後!$A:$A,$E18,06_重複排除後!$H:$H,"○")&gt;0,"採用",""))</f>
        <v/>
      </c>
      <c r="G18" s="16" t="str">
        <f aca="false">IF($A18="","",MAX(IF($C18="短期",00_はじめに!$B$20,IF($C18="中期",00_はじめに!$B$21,00_はじめに!$B$22)),IF($F18="採用",IFERROR(VLOOKUP($E18,$A:$H,8,0)+1,0),0)))</f>
        <v/>
      </c>
      <c r="H18" s="16" t="str">
        <f aca="false">IF($A18="","",MIN(36,$G18+$D18-1))</f>
        <v/>
      </c>
    </row>
    <row r="19" customFormat="false" ht="15" hidden="false" customHeight="false" outlineLevel="0" collapsed="false">
      <c r="A19" s="10" t="str">
        <f aca="false">08_ロードマップ!C19</f>
        <v/>
      </c>
      <c r="B19" s="10" t="str">
        <f aca="false">IF($A19="","",08_ロードマップ!D19)</f>
        <v/>
      </c>
      <c r="C19" s="16" t="str">
        <f aca="false">IF($A19="","",08_ロードマップ!A19)</f>
        <v/>
      </c>
      <c r="D19" s="16" t="str">
        <f aca="false">IF($A19="","",08_ロードマップ!F19)</f>
        <v/>
      </c>
      <c r="E19" s="16" t="str">
        <f aca="false">IF($A19="","",IFERROR(VLOOKUP($A19,04_依存関係マスター!$A:$C,3,0),""))</f>
        <v/>
      </c>
      <c r="F19" s="16" t="str">
        <f aca="false">IF($E19="","",IF(COUNTIFS(06_重複排除後!$A:$A,$E19,06_重複排除後!$H:$H,"○")&gt;0,"採用",""))</f>
        <v/>
      </c>
      <c r="G19" s="16" t="str">
        <f aca="false">IF($A19="","",MAX(IF($C19="短期",00_はじめに!$B$20,IF($C19="中期",00_はじめに!$B$21,00_はじめに!$B$22)),IF($F19="採用",IFERROR(VLOOKUP($E19,$A:$H,8,0)+1,0),0)))</f>
        <v/>
      </c>
      <c r="H19" s="16" t="str">
        <f aca="false">IF($A19="","",MIN(36,$G19+$D19-1))</f>
        <v/>
      </c>
    </row>
    <row r="20" customFormat="false" ht="15" hidden="false" customHeight="false" outlineLevel="0" collapsed="false">
      <c r="A20" s="10" t="str">
        <f aca="false">08_ロードマップ!C20</f>
        <v/>
      </c>
      <c r="B20" s="10" t="str">
        <f aca="false">IF($A20="","",08_ロードマップ!D20)</f>
        <v/>
      </c>
      <c r="C20" s="16" t="str">
        <f aca="false">IF($A20="","",08_ロードマップ!A20)</f>
        <v/>
      </c>
      <c r="D20" s="16" t="str">
        <f aca="false">IF($A20="","",08_ロードマップ!F20)</f>
        <v/>
      </c>
      <c r="E20" s="16" t="str">
        <f aca="false">IF($A20="","",IFERROR(VLOOKUP($A20,04_依存関係マスター!$A:$C,3,0),""))</f>
        <v/>
      </c>
      <c r="F20" s="16" t="str">
        <f aca="false">IF($E20="","",IF(COUNTIFS(06_重複排除後!$A:$A,$E20,06_重複排除後!$H:$H,"○")&gt;0,"採用",""))</f>
        <v/>
      </c>
      <c r="G20" s="16" t="str">
        <f aca="false">IF($A20="","",MAX(IF($C20="短期",00_はじめに!$B$20,IF($C20="中期",00_はじめに!$B$21,00_はじめに!$B$22)),IF($F20="採用",IFERROR(VLOOKUP($E20,$A:$H,8,0)+1,0),0)))</f>
        <v/>
      </c>
      <c r="H20" s="16" t="str">
        <f aca="false">IF($A20="","",MIN(36,$G20+$D20-1))</f>
        <v/>
      </c>
    </row>
    <row r="21" customFormat="false" ht="15" hidden="false" customHeight="false" outlineLevel="0" collapsed="false">
      <c r="A21" s="10" t="str">
        <f aca="false">08_ロードマップ!C21</f>
        <v/>
      </c>
      <c r="B21" s="10" t="str">
        <f aca="false">IF($A21="","",08_ロードマップ!D21)</f>
        <v/>
      </c>
      <c r="C21" s="16" t="str">
        <f aca="false">IF($A21="","",08_ロードマップ!A21)</f>
        <v/>
      </c>
      <c r="D21" s="16" t="str">
        <f aca="false">IF($A21="","",08_ロードマップ!F21)</f>
        <v/>
      </c>
      <c r="E21" s="16" t="str">
        <f aca="false">IF($A21="","",IFERROR(VLOOKUP($A21,04_依存関係マスター!$A:$C,3,0),""))</f>
        <v/>
      </c>
      <c r="F21" s="16" t="str">
        <f aca="false">IF($E21="","",IF(COUNTIFS(06_重複排除後!$A:$A,$E21,06_重複排除後!$H:$H,"○")&gt;0,"採用",""))</f>
        <v/>
      </c>
      <c r="G21" s="16" t="str">
        <f aca="false">IF($A21="","",MAX(IF($C21="短期",00_はじめに!$B$20,IF($C21="中期",00_はじめに!$B$21,00_はじめに!$B$22)),IF($F21="採用",IFERROR(VLOOKUP($E21,$A:$H,8,0)+1,0),0)))</f>
        <v/>
      </c>
      <c r="H21" s="16" t="str">
        <f aca="false">IF($A21="","",MIN(36,$G21+$D21-1))</f>
        <v/>
      </c>
    </row>
    <row r="22" customFormat="false" ht="15" hidden="false" customHeight="false" outlineLevel="0" collapsed="false">
      <c r="A22" s="10" t="str">
        <f aca="false">08_ロードマップ!C22</f>
        <v/>
      </c>
      <c r="B22" s="10" t="str">
        <f aca="false">IF($A22="","",08_ロードマップ!D22)</f>
        <v/>
      </c>
      <c r="C22" s="16" t="str">
        <f aca="false">IF($A22="","",08_ロードマップ!A22)</f>
        <v/>
      </c>
      <c r="D22" s="16" t="str">
        <f aca="false">IF($A22="","",08_ロードマップ!F22)</f>
        <v/>
      </c>
      <c r="E22" s="16" t="str">
        <f aca="false">IF($A22="","",IFERROR(VLOOKUP($A22,04_依存関係マスター!$A:$C,3,0),""))</f>
        <v/>
      </c>
      <c r="F22" s="16" t="str">
        <f aca="false">IF($E22="","",IF(COUNTIFS(06_重複排除後!$A:$A,$E22,06_重複排除後!$H:$H,"○")&gt;0,"採用",""))</f>
        <v/>
      </c>
      <c r="G22" s="16" t="str">
        <f aca="false">IF($A22="","",MAX(IF($C22="短期",00_はじめに!$B$20,IF($C22="中期",00_はじめに!$B$21,00_はじめに!$B$22)),IF($F22="採用",IFERROR(VLOOKUP($E22,$A:$H,8,0)+1,0),0)))</f>
        <v/>
      </c>
      <c r="H22" s="16" t="str">
        <f aca="false">IF($A22="","",MIN(36,$G22+$D22-1))</f>
        <v/>
      </c>
    </row>
    <row r="23" customFormat="false" ht="15" hidden="false" customHeight="false" outlineLevel="0" collapsed="false">
      <c r="A23" s="10" t="str">
        <f aca="false">08_ロードマップ!C23</f>
        <v/>
      </c>
      <c r="B23" s="10" t="str">
        <f aca="false">IF($A23="","",08_ロードマップ!D23)</f>
        <v/>
      </c>
      <c r="C23" s="16" t="str">
        <f aca="false">IF($A23="","",08_ロードマップ!A23)</f>
        <v/>
      </c>
      <c r="D23" s="16" t="str">
        <f aca="false">IF($A23="","",08_ロードマップ!F23)</f>
        <v/>
      </c>
      <c r="E23" s="16" t="str">
        <f aca="false">IF($A23="","",IFERROR(VLOOKUP($A23,04_依存関係マスター!$A:$C,3,0),""))</f>
        <v/>
      </c>
      <c r="F23" s="16" t="str">
        <f aca="false">IF($E23="","",IF(COUNTIFS(06_重複排除後!$A:$A,$E23,06_重複排除後!$H:$H,"○")&gt;0,"採用",""))</f>
        <v/>
      </c>
      <c r="G23" s="16" t="str">
        <f aca="false">IF($A23="","",MAX(IF($C23="短期",00_はじめに!$B$20,IF($C23="中期",00_はじめに!$B$21,00_はじめに!$B$22)),IF($F23="採用",IFERROR(VLOOKUP($E23,$A:$H,8,0)+1,0),0)))</f>
        <v/>
      </c>
      <c r="H23" s="16" t="str">
        <f aca="false">IF($A23="","",MIN(36,$G23+$D23-1))</f>
        <v/>
      </c>
    </row>
    <row r="24" customFormat="false" ht="15" hidden="false" customHeight="false" outlineLevel="0" collapsed="false">
      <c r="A24" s="10" t="str">
        <f aca="false">08_ロードマップ!C24</f>
        <v/>
      </c>
      <c r="B24" s="10" t="str">
        <f aca="false">IF($A24="","",08_ロードマップ!D24)</f>
        <v/>
      </c>
      <c r="C24" s="16" t="str">
        <f aca="false">IF($A24="","",08_ロードマップ!A24)</f>
        <v/>
      </c>
      <c r="D24" s="16" t="str">
        <f aca="false">IF($A24="","",08_ロードマップ!F24)</f>
        <v/>
      </c>
      <c r="E24" s="16" t="str">
        <f aca="false">IF($A24="","",IFERROR(VLOOKUP($A24,04_依存関係マスター!$A:$C,3,0),""))</f>
        <v/>
      </c>
      <c r="F24" s="16" t="str">
        <f aca="false">IF($E24="","",IF(COUNTIFS(06_重複排除後!$A:$A,$E24,06_重複排除後!$H:$H,"○")&gt;0,"採用",""))</f>
        <v/>
      </c>
      <c r="G24" s="16" t="str">
        <f aca="false">IF($A24="","",MAX(IF($C24="短期",00_はじめに!$B$20,IF($C24="中期",00_はじめに!$B$21,00_はじめに!$B$22)),IF($F24="採用",IFERROR(VLOOKUP($E24,$A:$H,8,0)+1,0),0)))</f>
        <v/>
      </c>
      <c r="H24" s="16" t="str">
        <f aca="false">IF($A24="","",MIN(36,$G24+$D24-1))</f>
        <v/>
      </c>
    </row>
    <row r="25" customFormat="false" ht="15" hidden="false" customHeight="false" outlineLevel="0" collapsed="false">
      <c r="A25" s="10" t="str">
        <f aca="false">08_ロードマップ!C25</f>
        <v/>
      </c>
      <c r="B25" s="10" t="str">
        <f aca="false">IF($A25="","",08_ロードマップ!D25)</f>
        <v/>
      </c>
      <c r="C25" s="16" t="str">
        <f aca="false">IF($A25="","",08_ロードマップ!A25)</f>
        <v/>
      </c>
      <c r="D25" s="16" t="str">
        <f aca="false">IF($A25="","",08_ロードマップ!F25)</f>
        <v/>
      </c>
      <c r="E25" s="16" t="str">
        <f aca="false">IF($A25="","",IFERROR(VLOOKUP($A25,04_依存関係マスター!$A:$C,3,0),""))</f>
        <v/>
      </c>
      <c r="F25" s="16" t="str">
        <f aca="false">IF($E25="","",IF(COUNTIFS(06_重複排除後!$A:$A,$E25,06_重複排除後!$H:$H,"○")&gt;0,"採用",""))</f>
        <v/>
      </c>
      <c r="G25" s="16" t="str">
        <f aca="false">IF($A25="","",MAX(IF($C25="短期",00_はじめに!$B$20,IF($C25="中期",00_はじめに!$B$21,00_はじめに!$B$22)),IF($F25="採用",IFERROR(VLOOKUP($E25,$A:$H,8,0)+1,0),0)))</f>
        <v/>
      </c>
      <c r="H25" s="16" t="str">
        <f aca="false">IF($A25="","",MIN(36,$G25+$D25-1))</f>
        <v/>
      </c>
    </row>
    <row r="26" customFormat="false" ht="15" hidden="false" customHeight="false" outlineLevel="0" collapsed="false">
      <c r="A26" s="10" t="str">
        <f aca="false">08_ロードマップ!C26</f>
        <v/>
      </c>
      <c r="B26" s="10" t="str">
        <f aca="false">IF($A26="","",08_ロードマップ!D26)</f>
        <v/>
      </c>
      <c r="C26" s="16" t="str">
        <f aca="false">IF($A26="","",08_ロードマップ!A26)</f>
        <v/>
      </c>
      <c r="D26" s="16" t="str">
        <f aca="false">IF($A26="","",08_ロードマップ!F26)</f>
        <v/>
      </c>
      <c r="E26" s="16" t="str">
        <f aca="false">IF($A26="","",IFERROR(VLOOKUP($A26,04_依存関係マスター!$A:$C,3,0),""))</f>
        <v/>
      </c>
      <c r="F26" s="16" t="str">
        <f aca="false">IF($E26="","",IF(COUNTIFS(06_重複排除後!$A:$A,$E26,06_重複排除後!$H:$H,"○")&gt;0,"採用",""))</f>
        <v/>
      </c>
      <c r="G26" s="16" t="str">
        <f aca="false">IF($A26="","",MAX(IF($C26="短期",00_はじめに!$B$20,IF($C26="中期",00_はじめに!$B$21,00_はじめに!$B$22)),IF($F26="採用",IFERROR(VLOOKUP($E26,$A:$H,8,0)+1,0),0)))</f>
        <v/>
      </c>
      <c r="H26" s="16" t="str">
        <f aca="false">IF($A26="","",MIN(36,$G26+$D26-1))</f>
        <v/>
      </c>
    </row>
    <row r="27" customFormat="false" ht="15" hidden="false" customHeight="false" outlineLevel="0" collapsed="false">
      <c r="A27" s="10" t="str">
        <f aca="false">08_ロードマップ!C27</f>
        <v/>
      </c>
      <c r="B27" s="10" t="str">
        <f aca="false">IF($A27="","",08_ロードマップ!D27)</f>
        <v/>
      </c>
      <c r="C27" s="16" t="str">
        <f aca="false">IF($A27="","",08_ロードマップ!A27)</f>
        <v/>
      </c>
      <c r="D27" s="16" t="str">
        <f aca="false">IF($A27="","",08_ロードマップ!F27)</f>
        <v/>
      </c>
      <c r="E27" s="16" t="str">
        <f aca="false">IF($A27="","",IFERROR(VLOOKUP($A27,04_依存関係マスター!$A:$C,3,0),""))</f>
        <v/>
      </c>
      <c r="F27" s="16" t="str">
        <f aca="false">IF($E27="","",IF(COUNTIFS(06_重複排除後!$A:$A,$E27,06_重複排除後!$H:$H,"○")&gt;0,"採用",""))</f>
        <v/>
      </c>
      <c r="G27" s="16" t="str">
        <f aca="false">IF($A27="","",MAX(IF($C27="短期",00_はじめに!$B$20,IF($C27="中期",00_はじめに!$B$21,00_はじめに!$B$22)),IF($F27="採用",IFERROR(VLOOKUP($E27,$A:$H,8,0)+1,0),0)))</f>
        <v/>
      </c>
      <c r="H27" s="16" t="str">
        <f aca="false">IF($A27="","",MIN(36,$G27+$D27-1))</f>
        <v/>
      </c>
    </row>
    <row r="28" customFormat="false" ht="15" hidden="false" customHeight="false" outlineLevel="0" collapsed="false">
      <c r="A28" s="10" t="str">
        <f aca="false">08_ロードマップ!C28</f>
        <v/>
      </c>
      <c r="B28" s="10" t="str">
        <f aca="false">IF($A28="","",08_ロードマップ!D28)</f>
        <v/>
      </c>
      <c r="C28" s="16" t="str">
        <f aca="false">IF($A28="","",08_ロードマップ!A28)</f>
        <v/>
      </c>
      <c r="D28" s="16" t="str">
        <f aca="false">IF($A28="","",08_ロードマップ!F28)</f>
        <v/>
      </c>
      <c r="E28" s="16" t="str">
        <f aca="false">IF($A28="","",IFERROR(VLOOKUP($A28,04_依存関係マスター!$A:$C,3,0),""))</f>
        <v/>
      </c>
      <c r="F28" s="16" t="str">
        <f aca="false">IF($E28="","",IF(COUNTIFS(06_重複排除後!$A:$A,$E28,06_重複排除後!$H:$H,"○")&gt;0,"採用",""))</f>
        <v/>
      </c>
      <c r="G28" s="16" t="str">
        <f aca="false">IF($A28="","",MAX(IF($C28="短期",00_はじめに!$B$20,IF($C28="中期",00_はじめに!$B$21,00_はじめに!$B$22)),IF($F28="採用",IFERROR(VLOOKUP($E28,$A:$H,8,0)+1,0),0)))</f>
        <v/>
      </c>
      <c r="H28" s="16" t="str">
        <f aca="false">IF($A28="","",MIN(36,$G28+$D28-1))</f>
        <v/>
      </c>
    </row>
    <row r="29" customFormat="false" ht="15" hidden="false" customHeight="false" outlineLevel="0" collapsed="false">
      <c r="A29" s="10" t="str">
        <f aca="false">08_ロードマップ!C29</f>
        <v/>
      </c>
      <c r="B29" s="10" t="str">
        <f aca="false">IF($A29="","",08_ロードマップ!D29)</f>
        <v/>
      </c>
      <c r="C29" s="16" t="str">
        <f aca="false">IF($A29="","",08_ロードマップ!A29)</f>
        <v/>
      </c>
      <c r="D29" s="16" t="str">
        <f aca="false">IF($A29="","",08_ロードマップ!F29)</f>
        <v/>
      </c>
      <c r="E29" s="16" t="str">
        <f aca="false">IF($A29="","",IFERROR(VLOOKUP($A29,04_依存関係マスター!$A:$C,3,0),""))</f>
        <v/>
      </c>
      <c r="F29" s="16" t="str">
        <f aca="false">IF($E29="","",IF(COUNTIFS(06_重複排除後!$A:$A,$E29,06_重複排除後!$H:$H,"○")&gt;0,"採用",""))</f>
        <v/>
      </c>
      <c r="G29" s="16" t="str">
        <f aca="false">IF($A29="","",MAX(IF($C29="短期",00_はじめに!$B$20,IF($C29="中期",00_はじめに!$B$21,00_はじめに!$B$22)),IF($F29="採用",IFERROR(VLOOKUP($E29,$A:$H,8,0)+1,0),0)))</f>
        <v/>
      </c>
      <c r="H29" s="16" t="str">
        <f aca="false">IF($A29="","",MIN(36,$G29+$D29-1))</f>
        <v/>
      </c>
    </row>
    <row r="30" customFormat="false" ht="15" hidden="false" customHeight="false" outlineLevel="0" collapsed="false">
      <c r="A30" s="10" t="str">
        <f aca="false">08_ロードマップ!C30</f>
        <v/>
      </c>
      <c r="B30" s="10" t="str">
        <f aca="false">IF($A30="","",08_ロードマップ!D30)</f>
        <v/>
      </c>
      <c r="C30" s="16" t="str">
        <f aca="false">IF($A30="","",08_ロードマップ!A30)</f>
        <v/>
      </c>
      <c r="D30" s="16" t="str">
        <f aca="false">IF($A30="","",08_ロードマップ!F30)</f>
        <v/>
      </c>
      <c r="E30" s="16" t="str">
        <f aca="false">IF($A30="","",IFERROR(VLOOKUP($A30,04_依存関係マスター!$A:$C,3,0),""))</f>
        <v/>
      </c>
      <c r="F30" s="16" t="str">
        <f aca="false">IF($E30="","",IF(COUNTIFS(06_重複排除後!$A:$A,$E30,06_重複排除後!$H:$H,"○")&gt;0,"採用",""))</f>
        <v/>
      </c>
      <c r="G30" s="16" t="str">
        <f aca="false">IF($A30="","",MAX(IF($C30="短期",00_はじめに!$B$20,IF($C30="中期",00_はじめに!$B$21,00_はじめに!$B$22)),IF($F30="採用",IFERROR(VLOOKUP($E30,$A:$H,8,0)+1,0),0)))</f>
        <v/>
      </c>
      <c r="H30" s="16" t="str">
        <f aca="false">IF($A30="","",MIN(36,$G30+$D30-1))</f>
        <v/>
      </c>
    </row>
    <row r="31" customFormat="false" ht="15" hidden="false" customHeight="false" outlineLevel="0" collapsed="false">
      <c r="A31" s="10" t="str">
        <f aca="false">08_ロードマップ!C31</f>
        <v/>
      </c>
      <c r="B31" s="10" t="str">
        <f aca="false">IF($A31="","",08_ロードマップ!D31)</f>
        <v/>
      </c>
      <c r="C31" s="16" t="str">
        <f aca="false">IF($A31="","",08_ロードマップ!A31)</f>
        <v/>
      </c>
      <c r="D31" s="16" t="str">
        <f aca="false">IF($A31="","",08_ロードマップ!F31)</f>
        <v/>
      </c>
      <c r="E31" s="16" t="str">
        <f aca="false">IF($A31="","",IFERROR(VLOOKUP($A31,04_依存関係マスター!$A:$C,3,0),""))</f>
        <v/>
      </c>
      <c r="F31" s="16" t="str">
        <f aca="false">IF($E31="","",IF(COUNTIFS(06_重複排除後!$A:$A,$E31,06_重複排除後!$H:$H,"○")&gt;0,"採用",""))</f>
        <v/>
      </c>
      <c r="G31" s="16" t="str">
        <f aca="false">IF($A31="","",MAX(IF($C31="短期",00_はじめに!$B$20,IF($C31="中期",00_はじめに!$B$21,00_はじめに!$B$22)),IF($F31="採用",IFERROR(VLOOKUP($E31,$A:$H,8,0)+1,0),0)))</f>
        <v/>
      </c>
      <c r="H31" s="16" t="str">
        <f aca="false">IF($A31="","",MIN(36,$G31+$D31-1))</f>
        <v/>
      </c>
    </row>
    <row r="32" customFormat="false" ht="15" hidden="false" customHeight="false" outlineLevel="0" collapsed="false">
      <c r="A32" s="10" t="str">
        <f aca="false">08_ロードマップ!C32</f>
        <v/>
      </c>
      <c r="B32" s="10" t="str">
        <f aca="false">IF($A32="","",08_ロードマップ!D32)</f>
        <v/>
      </c>
      <c r="C32" s="16" t="str">
        <f aca="false">IF($A32="","",08_ロードマップ!A32)</f>
        <v/>
      </c>
      <c r="D32" s="16" t="str">
        <f aca="false">IF($A32="","",08_ロードマップ!F32)</f>
        <v/>
      </c>
      <c r="E32" s="16" t="str">
        <f aca="false">IF($A32="","",IFERROR(VLOOKUP($A32,04_依存関係マスター!$A:$C,3,0),""))</f>
        <v/>
      </c>
      <c r="F32" s="16" t="str">
        <f aca="false">IF($E32="","",IF(COUNTIFS(06_重複排除後!$A:$A,$E32,06_重複排除後!$H:$H,"○")&gt;0,"採用",""))</f>
        <v/>
      </c>
      <c r="G32" s="16" t="str">
        <f aca="false">IF($A32="","",MAX(IF($C32="短期",00_はじめに!$B$20,IF($C32="中期",00_はじめに!$B$21,00_はじめに!$B$22)),IF($F32="採用",IFERROR(VLOOKUP($E32,$A:$H,8,0)+1,0),0)))</f>
        <v/>
      </c>
      <c r="H32" s="16" t="str">
        <f aca="false">IF($A32="","",MIN(36,$G32+$D32-1))</f>
        <v/>
      </c>
    </row>
    <row r="33" customFormat="false" ht="15" hidden="false" customHeight="false" outlineLevel="0" collapsed="false">
      <c r="A33" s="10" t="str">
        <f aca="false">08_ロードマップ!C33</f>
        <v/>
      </c>
      <c r="B33" s="10" t="str">
        <f aca="false">IF($A33="","",08_ロードマップ!D33)</f>
        <v/>
      </c>
      <c r="C33" s="16" t="str">
        <f aca="false">IF($A33="","",08_ロードマップ!A33)</f>
        <v/>
      </c>
      <c r="D33" s="16" t="str">
        <f aca="false">IF($A33="","",08_ロードマップ!F33)</f>
        <v/>
      </c>
      <c r="E33" s="16" t="str">
        <f aca="false">IF($A33="","",IFERROR(VLOOKUP($A33,04_依存関係マスター!$A:$C,3,0),""))</f>
        <v/>
      </c>
      <c r="F33" s="16" t="str">
        <f aca="false">IF($E33="","",IF(COUNTIFS(06_重複排除後!$A:$A,$E33,06_重複排除後!$H:$H,"○")&gt;0,"採用",""))</f>
        <v/>
      </c>
      <c r="G33" s="16" t="str">
        <f aca="false">IF($A33="","",MAX(IF($C33="短期",00_はじめに!$B$20,IF($C33="中期",00_はじめに!$B$21,00_はじめに!$B$22)),IF($F33="採用",IFERROR(VLOOKUP($E33,$A:$H,8,0)+1,0),0)))</f>
        <v/>
      </c>
      <c r="H33" s="16" t="str">
        <f aca="false">IF($A33="","",MIN(36,$G33+$D33-1))</f>
        <v/>
      </c>
    </row>
    <row r="34" customFormat="false" ht="15" hidden="false" customHeight="false" outlineLevel="0" collapsed="false">
      <c r="A34" s="10" t="str">
        <f aca="false">08_ロードマップ!C34</f>
        <v/>
      </c>
      <c r="B34" s="10" t="str">
        <f aca="false">IF($A34="","",08_ロードマップ!D34)</f>
        <v/>
      </c>
      <c r="C34" s="16" t="str">
        <f aca="false">IF($A34="","",08_ロードマップ!A34)</f>
        <v/>
      </c>
      <c r="D34" s="16" t="str">
        <f aca="false">IF($A34="","",08_ロードマップ!F34)</f>
        <v/>
      </c>
      <c r="E34" s="16" t="str">
        <f aca="false">IF($A34="","",IFERROR(VLOOKUP($A34,04_依存関係マスター!$A:$C,3,0),""))</f>
        <v/>
      </c>
      <c r="F34" s="16" t="str">
        <f aca="false">IF($E34="","",IF(COUNTIFS(06_重複排除後!$A:$A,$E34,06_重複排除後!$H:$H,"○")&gt;0,"採用",""))</f>
        <v/>
      </c>
      <c r="G34" s="16" t="str">
        <f aca="false">IF($A34="","",MAX(IF($C34="短期",00_はじめに!$B$20,IF($C34="中期",00_はじめに!$B$21,00_はじめに!$B$22)),IF($F34="採用",IFERROR(VLOOKUP($E34,$A:$H,8,0)+1,0),0)))</f>
        <v/>
      </c>
      <c r="H34" s="16" t="str">
        <f aca="false">IF($A34="","",MIN(36,$G34+$D34-1))</f>
        <v/>
      </c>
    </row>
    <row r="35" customFormat="false" ht="15" hidden="false" customHeight="false" outlineLevel="0" collapsed="false">
      <c r="A35" s="10" t="str">
        <f aca="false">08_ロードマップ!C35</f>
        <v/>
      </c>
      <c r="B35" s="10" t="str">
        <f aca="false">IF($A35="","",08_ロードマップ!D35)</f>
        <v/>
      </c>
      <c r="C35" s="16" t="str">
        <f aca="false">IF($A35="","",08_ロードマップ!A35)</f>
        <v/>
      </c>
      <c r="D35" s="16" t="str">
        <f aca="false">IF($A35="","",08_ロードマップ!F35)</f>
        <v/>
      </c>
      <c r="E35" s="16" t="str">
        <f aca="false">IF($A35="","",IFERROR(VLOOKUP($A35,04_依存関係マスター!$A:$C,3,0),""))</f>
        <v/>
      </c>
      <c r="F35" s="16" t="str">
        <f aca="false">IF($E35="","",IF(COUNTIFS(06_重複排除後!$A:$A,$E35,06_重複排除後!$H:$H,"○")&gt;0,"採用",""))</f>
        <v/>
      </c>
      <c r="G35" s="16" t="str">
        <f aca="false">IF($A35="","",MAX(IF($C35="短期",00_はじめに!$B$20,IF($C35="中期",00_はじめに!$B$21,00_はじめに!$B$22)),IF($F35="採用",IFERROR(VLOOKUP($E35,$A:$H,8,0)+1,0),0)))</f>
        <v/>
      </c>
      <c r="H35" s="16" t="str">
        <f aca="false">IF($A35="","",MIN(36,$G35+$D35-1))</f>
        <v/>
      </c>
    </row>
    <row r="36" customFormat="false" ht="15" hidden="false" customHeight="false" outlineLevel="0" collapsed="false">
      <c r="A36" s="10" t="str">
        <f aca="false">08_ロードマップ!C36</f>
        <v/>
      </c>
      <c r="B36" s="10" t="str">
        <f aca="false">IF($A36="","",08_ロードマップ!D36)</f>
        <v/>
      </c>
      <c r="C36" s="16" t="str">
        <f aca="false">IF($A36="","",08_ロードマップ!A36)</f>
        <v/>
      </c>
      <c r="D36" s="16" t="str">
        <f aca="false">IF($A36="","",08_ロードマップ!F36)</f>
        <v/>
      </c>
      <c r="E36" s="16" t="str">
        <f aca="false">IF($A36="","",IFERROR(VLOOKUP($A36,04_依存関係マスター!$A:$C,3,0),""))</f>
        <v/>
      </c>
      <c r="F36" s="16" t="str">
        <f aca="false">IF($E36="","",IF(COUNTIFS(06_重複排除後!$A:$A,$E36,06_重複排除後!$H:$H,"○")&gt;0,"採用",""))</f>
        <v/>
      </c>
      <c r="G36" s="16" t="str">
        <f aca="false">IF($A36="","",MAX(IF($C36="短期",00_はじめに!$B$20,IF($C36="中期",00_はじめに!$B$21,00_はじめに!$B$22)),IF($F36="採用",IFERROR(VLOOKUP($E36,$A:$H,8,0)+1,0),0)))</f>
        <v/>
      </c>
      <c r="H36" s="16" t="str">
        <f aca="false">IF($A36="","",MIN(36,$G36+$D36-1))</f>
        <v/>
      </c>
    </row>
    <row r="37" customFormat="false" ht="15" hidden="false" customHeight="false" outlineLevel="0" collapsed="false">
      <c r="A37" s="10" t="str">
        <f aca="false">08_ロードマップ!C37</f>
        <v/>
      </c>
      <c r="B37" s="10" t="str">
        <f aca="false">IF($A37="","",08_ロードマップ!D37)</f>
        <v/>
      </c>
      <c r="C37" s="16" t="str">
        <f aca="false">IF($A37="","",08_ロードマップ!A37)</f>
        <v/>
      </c>
      <c r="D37" s="16" t="str">
        <f aca="false">IF($A37="","",08_ロードマップ!F37)</f>
        <v/>
      </c>
      <c r="E37" s="16" t="str">
        <f aca="false">IF($A37="","",IFERROR(VLOOKUP($A37,04_依存関係マスター!$A:$C,3,0),""))</f>
        <v/>
      </c>
      <c r="F37" s="16" t="str">
        <f aca="false">IF($E37="","",IF(COUNTIFS(06_重複排除後!$A:$A,$E37,06_重複排除後!$H:$H,"○")&gt;0,"採用",""))</f>
        <v/>
      </c>
      <c r="G37" s="16" t="str">
        <f aca="false">IF($A37="","",MAX(IF($C37="短期",00_はじめに!$B$20,IF($C37="中期",00_はじめに!$B$21,00_はじめに!$B$22)),IF($F37="採用",IFERROR(VLOOKUP($E37,$A:$H,8,0)+1,0),0)))</f>
        <v/>
      </c>
      <c r="H37" s="16" t="str">
        <f aca="false">IF($A37="","",MIN(36,$G37+$D37-1))</f>
        <v/>
      </c>
    </row>
    <row r="38" customFormat="false" ht="15" hidden="false" customHeight="false" outlineLevel="0" collapsed="false">
      <c r="A38" s="10" t="str">
        <f aca="false">08_ロードマップ!C38</f>
        <v/>
      </c>
      <c r="B38" s="10" t="str">
        <f aca="false">IF($A38="","",08_ロードマップ!D38)</f>
        <v/>
      </c>
      <c r="C38" s="16" t="str">
        <f aca="false">IF($A38="","",08_ロードマップ!A38)</f>
        <v/>
      </c>
      <c r="D38" s="16" t="str">
        <f aca="false">IF($A38="","",08_ロードマップ!F38)</f>
        <v/>
      </c>
      <c r="E38" s="16" t="str">
        <f aca="false">IF($A38="","",IFERROR(VLOOKUP($A38,04_依存関係マスター!$A:$C,3,0),""))</f>
        <v/>
      </c>
      <c r="F38" s="16" t="str">
        <f aca="false">IF($E38="","",IF(COUNTIFS(06_重複排除後!$A:$A,$E38,06_重複排除後!$H:$H,"○")&gt;0,"採用",""))</f>
        <v/>
      </c>
      <c r="G38" s="16" t="str">
        <f aca="false">IF($A38="","",MAX(IF($C38="短期",00_はじめに!$B$20,IF($C38="中期",00_はじめに!$B$21,00_はじめに!$B$22)),IF($F38="採用",IFERROR(VLOOKUP($E38,$A:$H,8,0)+1,0),0)))</f>
        <v/>
      </c>
      <c r="H38" s="16" t="str">
        <f aca="false">IF($A38="","",MIN(36,$G38+$D38-1))</f>
        <v/>
      </c>
    </row>
    <row r="39" customFormat="false" ht="15" hidden="false" customHeight="false" outlineLevel="0" collapsed="false">
      <c r="A39" s="10" t="str">
        <f aca="false">08_ロードマップ!C39</f>
        <v/>
      </c>
      <c r="B39" s="10" t="str">
        <f aca="false">IF($A39="","",08_ロードマップ!D39)</f>
        <v/>
      </c>
      <c r="C39" s="16" t="str">
        <f aca="false">IF($A39="","",08_ロードマップ!A39)</f>
        <v/>
      </c>
      <c r="D39" s="16" t="str">
        <f aca="false">IF($A39="","",08_ロードマップ!F39)</f>
        <v/>
      </c>
      <c r="E39" s="16" t="str">
        <f aca="false">IF($A39="","",IFERROR(VLOOKUP($A39,04_依存関係マスター!$A:$C,3,0),""))</f>
        <v/>
      </c>
      <c r="F39" s="16" t="str">
        <f aca="false">IF($E39="","",IF(COUNTIFS(06_重複排除後!$A:$A,$E39,06_重複排除後!$H:$H,"○")&gt;0,"採用",""))</f>
        <v/>
      </c>
      <c r="G39" s="16" t="str">
        <f aca="false">IF($A39="","",MAX(IF($C39="短期",00_はじめに!$B$20,IF($C39="中期",00_はじめに!$B$21,00_はじめに!$B$22)),IF($F39="採用",IFERROR(VLOOKUP($E39,$A:$H,8,0)+1,0),0)))</f>
        <v/>
      </c>
      <c r="H39" s="16" t="str">
        <f aca="false">IF($A39="","",MIN(36,$G39+$D39-1))</f>
        <v/>
      </c>
    </row>
    <row r="40" customFormat="false" ht="15" hidden="false" customHeight="false" outlineLevel="0" collapsed="false">
      <c r="A40" s="10" t="str">
        <f aca="false">08_ロードマップ!C40</f>
        <v/>
      </c>
      <c r="B40" s="10" t="str">
        <f aca="false">IF($A40="","",08_ロードマップ!D40)</f>
        <v/>
      </c>
      <c r="C40" s="16" t="str">
        <f aca="false">IF($A40="","",08_ロードマップ!A40)</f>
        <v/>
      </c>
      <c r="D40" s="16" t="str">
        <f aca="false">IF($A40="","",08_ロードマップ!F40)</f>
        <v/>
      </c>
      <c r="E40" s="16" t="str">
        <f aca="false">IF($A40="","",IFERROR(VLOOKUP($A40,04_依存関係マスター!$A:$C,3,0),""))</f>
        <v/>
      </c>
      <c r="F40" s="16" t="str">
        <f aca="false">IF($E40="","",IF(COUNTIFS(06_重複排除後!$A:$A,$E40,06_重複排除後!$H:$H,"○")&gt;0,"採用",""))</f>
        <v/>
      </c>
      <c r="G40" s="16" t="str">
        <f aca="false">IF($A40="","",MAX(IF($C40="短期",00_はじめに!$B$20,IF($C40="中期",00_はじめに!$B$21,00_はじめに!$B$22)),IF($F40="採用",IFERROR(VLOOKUP($E40,$A:$H,8,0)+1,0),0)))</f>
        <v/>
      </c>
      <c r="H40" s="16" t="str">
        <f aca="false">IF($A40="","",MIN(36,$G40+$D40-1))</f>
        <v/>
      </c>
    </row>
    <row r="41" customFormat="false" ht="15" hidden="false" customHeight="false" outlineLevel="0" collapsed="false">
      <c r="A41" s="10" t="str">
        <f aca="false">08_ロードマップ!C41</f>
        <v/>
      </c>
      <c r="B41" s="10" t="str">
        <f aca="false">IF($A41="","",08_ロードマップ!D41)</f>
        <v/>
      </c>
      <c r="C41" s="16" t="str">
        <f aca="false">IF($A41="","",08_ロードマップ!A41)</f>
        <v/>
      </c>
      <c r="D41" s="16" t="str">
        <f aca="false">IF($A41="","",08_ロードマップ!F41)</f>
        <v/>
      </c>
      <c r="E41" s="16" t="str">
        <f aca="false">IF($A41="","",IFERROR(VLOOKUP($A41,04_依存関係マスター!$A:$C,3,0),""))</f>
        <v/>
      </c>
      <c r="F41" s="16" t="str">
        <f aca="false">IF($E41="","",IF(COUNTIFS(06_重複排除後!$A:$A,$E41,06_重複排除後!$H:$H,"○")&gt;0,"採用",""))</f>
        <v/>
      </c>
      <c r="G41" s="16" t="str">
        <f aca="false">IF($A41="","",MAX(IF($C41="短期",00_はじめに!$B$20,IF($C41="中期",00_はじめに!$B$21,00_はじめに!$B$22)),IF($F41="採用",IFERROR(VLOOKUP($E41,$A:$H,8,0)+1,0),0)))</f>
        <v/>
      </c>
      <c r="H41" s="16" t="str">
        <f aca="false">IF($A41="","",MIN(36,$G41+$D41-1))</f>
        <v/>
      </c>
    </row>
    <row r="42" customFormat="false" ht="15" hidden="false" customHeight="false" outlineLevel="0" collapsed="false">
      <c r="A42" s="10" t="str">
        <f aca="false">08_ロードマップ!C42</f>
        <v/>
      </c>
      <c r="B42" s="10" t="str">
        <f aca="false">IF($A42="","",08_ロードマップ!D42)</f>
        <v/>
      </c>
      <c r="C42" s="16" t="str">
        <f aca="false">IF($A42="","",08_ロードマップ!A42)</f>
        <v/>
      </c>
      <c r="D42" s="16" t="str">
        <f aca="false">IF($A42="","",08_ロードマップ!F42)</f>
        <v/>
      </c>
      <c r="E42" s="16" t="str">
        <f aca="false">IF($A42="","",IFERROR(VLOOKUP($A42,04_依存関係マスター!$A:$C,3,0),""))</f>
        <v/>
      </c>
      <c r="F42" s="16" t="str">
        <f aca="false">IF($E42="","",IF(COUNTIFS(06_重複排除後!$A:$A,$E42,06_重複排除後!$H:$H,"○")&gt;0,"採用",""))</f>
        <v/>
      </c>
      <c r="G42" s="16" t="str">
        <f aca="false">IF($A42="","",MAX(IF($C42="短期",00_はじめに!$B$20,IF($C42="中期",00_はじめに!$B$21,00_はじめに!$B$22)),IF($F42="採用",IFERROR(VLOOKUP($E42,$A:$H,8,0)+1,0),0)))</f>
        <v/>
      </c>
      <c r="H42" s="16" t="str">
        <f aca="false">IF($A42="","",MIN(36,$G42+$D42-1))</f>
        <v/>
      </c>
    </row>
    <row r="43" customFormat="false" ht="15" hidden="false" customHeight="false" outlineLevel="0" collapsed="false">
      <c r="A43" s="10" t="str">
        <f aca="false">08_ロードマップ!C43</f>
        <v/>
      </c>
      <c r="B43" s="10" t="str">
        <f aca="false">IF($A43="","",08_ロードマップ!D43)</f>
        <v/>
      </c>
      <c r="C43" s="16" t="str">
        <f aca="false">IF($A43="","",08_ロードマップ!A43)</f>
        <v/>
      </c>
      <c r="D43" s="16" t="str">
        <f aca="false">IF($A43="","",08_ロードマップ!F43)</f>
        <v/>
      </c>
      <c r="E43" s="16" t="str">
        <f aca="false">IF($A43="","",IFERROR(VLOOKUP($A43,04_依存関係マスター!$A:$C,3,0),""))</f>
        <v/>
      </c>
      <c r="F43" s="16" t="str">
        <f aca="false">IF($E43="","",IF(COUNTIFS(06_重複排除後!$A:$A,$E43,06_重複排除後!$H:$H,"○")&gt;0,"採用",""))</f>
        <v/>
      </c>
      <c r="G43" s="16" t="str">
        <f aca="false">IF($A43="","",MAX(IF($C43="短期",00_はじめに!$B$20,IF($C43="中期",00_はじめに!$B$21,00_はじめに!$B$22)),IF($F43="採用",IFERROR(VLOOKUP($E43,$A:$H,8,0)+1,0),0)))</f>
        <v/>
      </c>
      <c r="H43" s="16" t="str">
        <f aca="false">IF($A43="","",MIN(36,$G43+$D43-1))</f>
        <v/>
      </c>
    </row>
    <row r="44" customFormat="false" ht="15" hidden="false" customHeight="false" outlineLevel="0" collapsed="false">
      <c r="A44" s="10" t="str">
        <f aca="false">08_ロードマップ!C44</f>
        <v/>
      </c>
      <c r="B44" s="10" t="str">
        <f aca="false">IF($A44="","",08_ロードマップ!D44)</f>
        <v/>
      </c>
      <c r="C44" s="16" t="str">
        <f aca="false">IF($A44="","",08_ロードマップ!A44)</f>
        <v/>
      </c>
      <c r="D44" s="16" t="str">
        <f aca="false">IF($A44="","",08_ロードマップ!F44)</f>
        <v/>
      </c>
      <c r="E44" s="16" t="str">
        <f aca="false">IF($A44="","",IFERROR(VLOOKUP($A44,04_依存関係マスター!$A:$C,3,0),""))</f>
        <v/>
      </c>
      <c r="F44" s="16" t="str">
        <f aca="false">IF($E44="","",IF(COUNTIFS(06_重複排除後!$A:$A,$E44,06_重複排除後!$H:$H,"○")&gt;0,"採用",""))</f>
        <v/>
      </c>
      <c r="G44" s="16" t="str">
        <f aca="false">IF($A44="","",MAX(IF($C44="短期",00_はじめに!$B$20,IF($C44="中期",00_はじめに!$B$21,00_はじめに!$B$22)),IF($F44="採用",IFERROR(VLOOKUP($E44,$A:$H,8,0)+1,0),0)))</f>
        <v/>
      </c>
      <c r="H44" s="16" t="str">
        <f aca="false">IF($A44="","",MIN(36,$G44+$D44-1))</f>
        <v/>
      </c>
    </row>
    <row r="45" customFormat="false" ht="15" hidden="false" customHeight="false" outlineLevel="0" collapsed="false">
      <c r="A45" s="10" t="str">
        <f aca="false">08_ロードマップ!C45</f>
        <v/>
      </c>
      <c r="B45" s="10" t="str">
        <f aca="false">IF($A45="","",08_ロードマップ!D45)</f>
        <v/>
      </c>
      <c r="C45" s="16" t="str">
        <f aca="false">IF($A45="","",08_ロードマップ!A45)</f>
        <v/>
      </c>
      <c r="D45" s="16" t="str">
        <f aca="false">IF($A45="","",08_ロードマップ!F45)</f>
        <v/>
      </c>
      <c r="E45" s="16" t="str">
        <f aca="false">IF($A45="","",IFERROR(VLOOKUP($A45,04_依存関係マスター!$A:$C,3,0),""))</f>
        <v/>
      </c>
      <c r="F45" s="16" t="str">
        <f aca="false">IF($E45="","",IF(COUNTIFS(06_重複排除後!$A:$A,$E45,06_重複排除後!$H:$H,"○")&gt;0,"採用",""))</f>
        <v/>
      </c>
      <c r="G45" s="16" t="str">
        <f aca="false">IF($A45="","",MAX(IF($C45="短期",00_はじめに!$B$20,IF($C45="中期",00_はじめに!$B$21,00_はじめに!$B$22)),IF($F45="採用",IFERROR(VLOOKUP($E45,$A:$H,8,0)+1,0),0)))</f>
        <v/>
      </c>
      <c r="H45" s="16" t="str">
        <f aca="false">IF($A45="","",MIN(36,$G45+$D45-1))</f>
        <v/>
      </c>
    </row>
    <row r="46" customFormat="false" ht="15" hidden="false" customHeight="false" outlineLevel="0" collapsed="false">
      <c r="A46" s="10" t="str">
        <f aca="false">08_ロードマップ!C46</f>
        <v/>
      </c>
      <c r="B46" s="10" t="str">
        <f aca="false">IF($A46="","",08_ロードマップ!D46)</f>
        <v/>
      </c>
      <c r="C46" s="16" t="str">
        <f aca="false">IF($A46="","",08_ロードマップ!A46)</f>
        <v/>
      </c>
      <c r="D46" s="16" t="str">
        <f aca="false">IF($A46="","",08_ロードマップ!F46)</f>
        <v/>
      </c>
      <c r="E46" s="16" t="str">
        <f aca="false">IF($A46="","",IFERROR(VLOOKUP($A46,04_依存関係マスター!$A:$C,3,0),""))</f>
        <v/>
      </c>
      <c r="F46" s="16" t="str">
        <f aca="false">IF($E46="","",IF(COUNTIFS(06_重複排除後!$A:$A,$E46,06_重複排除後!$H:$H,"○")&gt;0,"採用",""))</f>
        <v/>
      </c>
      <c r="G46" s="16" t="str">
        <f aca="false">IF($A46="","",MAX(IF($C46="短期",00_はじめに!$B$20,IF($C46="中期",00_はじめに!$B$21,00_はじめに!$B$22)),IF($F46="採用",IFERROR(VLOOKUP($E46,$A:$H,8,0)+1,0),0)))</f>
        <v/>
      </c>
      <c r="H46" s="16" t="str">
        <f aca="false">IF($A46="","",MIN(36,$G46+$D46-1))</f>
        <v/>
      </c>
    </row>
    <row r="47" customFormat="false" ht="15" hidden="false" customHeight="false" outlineLevel="0" collapsed="false">
      <c r="A47" s="10" t="str">
        <f aca="false">08_ロードマップ!C47</f>
        <v/>
      </c>
      <c r="B47" s="10" t="str">
        <f aca="false">IF($A47="","",08_ロードマップ!D47)</f>
        <v/>
      </c>
      <c r="C47" s="16" t="str">
        <f aca="false">IF($A47="","",08_ロードマップ!A47)</f>
        <v/>
      </c>
      <c r="D47" s="16" t="str">
        <f aca="false">IF($A47="","",08_ロードマップ!F47)</f>
        <v/>
      </c>
      <c r="E47" s="16" t="str">
        <f aca="false">IF($A47="","",IFERROR(VLOOKUP($A47,04_依存関係マスター!$A:$C,3,0),""))</f>
        <v/>
      </c>
      <c r="F47" s="16" t="str">
        <f aca="false">IF($E47="","",IF(COUNTIFS(06_重複排除後!$A:$A,$E47,06_重複排除後!$H:$H,"○")&gt;0,"採用",""))</f>
        <v/>
      </c>
      <c r="G47" s="16" t="str">
        <f aca="false">IF($A47="","",MAX(IF($C47="短期",00_はじめに!$B$20,IF($C47="中期",00_はじめに!$B$21,00_はじめに!$B$22)),IF($F47="採用",IFERROR(VLOOKUP($E47,$A:$H,8,0)+1,0),0)))</f>
        <v/>
      </c>
      <c r="H47" s="16" t="str">
        <f aca="false">IF($A47="","",MIN(36,$G47+$D47-1))</f>
        <v/>
      </c>
    </row>
    <row r="48" customFormat="false" ht="15" hidden="false" customHeight="false" outlineLevel="0" collapsed="false">
      <c r="A48" s="10" t="str">
        <f aca="false">08_ロードマップ!C48</f>
        <v/>
      </c>
      <c r="B48" s="10" t="str">
        <f aca="false">IF($A48="","",08_ロードマップ!D48)</f>
        <v/>
      </c>
      <c r="C48" s="16" t="str">
        <f aca="false">IF($A48="","",08_ロードマップ!A48)</f>
        <v/>
      </c>
      <c r="D48" s="16" t="str">
        <f aca="false">IF($A48="","",08_ロードマップ!F48)</f>
        <v/>
      </c>
      <c r="E48" s="16" t="str">
        <f aca="false">IF($A48="","",IFERROR(VLOOKUP($A48,04_依存関係マスター!$A:$C,3,0),""))</f>
        <v/>
      </c>
      <c r="F48" s="16" t="str">
        <f aca="false">IF($E48="","",IF(COUNTIFS(06_重複排除後!$A:$A,$E48,06_重複排除後!$H:$H,"○")&gt;0,"採用",""))</f>
        <v/>
      </c>
      <c r="G48" s="16" t="str">
        <f aca="false">IF($A48="","",MAX(IF($C48="短期",00_はじめに!$B$20,IF($C48="中期",00_はじめに!$B$21,00_はじめに!$B$22)),IF($F48="採用",IFERROR(VLOOKUP($E48,$A:$H,8,0)+1,0),0)))</f>
        <v/>
      </c>
      <c r="H48" s="16" t="str">
        <f aca="false">IF($A48="","",MIN(36,$G48+$D48-1))</f>
        <v/>
      </c>
    </row>
    <row r="49" customFormat="false" ht="15" hidden="false" customHeight="false" outlineLevel="0" collapsed="false">
      <c r="A49" s="10" t="str">
        <f aca="false">08_ロードマップ!C49</f>
        <v/>
      </c>
      <c r="B49" s="10" t="str">
        <f aca="false">IF($A49="","",08_ロードマップ!D49)</f>
        <v/>
      </c>
      <c r="C49" s="16" t="str">
        <f aca="false">IF($A49="","",08_ロードマップ!A49)</f>
        <v/>
      </c>
      <c r="D49" s="16" t="str">
        <f aca="false">IF($A49="","",08_ロードマップ!F49)</f>
        <v/>
      </c>
      <c r="E49" s="16" t="str">
        <f aca="false">IF($A49="","",IFERROR(VLOOKUP($A49,04_依存関係マスター!$A:$C,3,0),""))</f>
        <v/>
      </c>
      <c r="F49" s="16" t="str">
        <f aca="false">IF($E49="","",IF(COUNTIFS(06_重複排除後!$A:$A,$E49,06_重複排除後!$H:$H,"○")&gt;0,"採用",""))</f>
        <v/>
      </c>
      <c r="G49" s="16" t="str">
        <f aca="false">IF($A49="","",MAX(IF($C49="短期",00_はじめに!$B$20,IF($C49="中期",00_はじめに!$B$21,00_はじめに!$B$22)),IF($F49="採用",IFERROR(VLOOKUP($E49,$A:$H,8,0)+1,0),0)))</f>
        <v/>
      </c>
      <c r="H49" s="16" t="str">
        <f aca="false">IF($A49="","",MIN(36,$G49+$D49-1))</f>
        <v/>
      </c>
    </row>
    <row r="50" customFormat="false" ht="15" hidden="false" customHeight="false" outlineLevel="0" collapsed="false">
      <c r="A50" s="10" t="str">
        <f aca="false">08_ロードマップ!C50</f>
        <v/>
      </c>
      <c r="B50" s="10" t="str">
        <f aca="false">IF($A50="","",08_ロードマップ!D50)</f>
        <v/>
      </c>
      <c r="C50" s="16" t="str">
        <f aca="false">IF($A50="","",08_ロードマップ!A50)</f>
        <v/>
      </c>
      <c r="D50" s="16" t="str">
        <f aca="false">IF($A50="","",08_ロードマップ!F50)</f>
        <v/>
      </c>
      <c r="E50" s="16" t="str">
        <f aca="false">IF($A50="","",IFERROR(VLOOKUP($A50,04_依存関係マスター!$A:$C,3,0),""))</f>
        <v/>
      </c>
      <c r="F50" s="16" t="str">
        <f aca="false">IF($E50="","",IF(COUNTIFS(06_重複排除後!$A:$A,$E50,06_重複排除後!$H:$H,"○")&gt;0,"採用",""))</f>
        <v/>
      </c>
      <c r="G50" s="16" t="str">
        <f aca="false">IF($A50="","",MAX(IF($C50="短期",00_はじめに!$B$20,IF($C50="中期",00_はじめに!$B$21,00_はじめに!$B$22)),IF($F50="採用",IFERROR(VLOOKUP($E50,$A:$H,8,0)+1,0),0)))</f>
        <v/>
      </c>
      <c r="H50" s="16" t="str">
        <f aca="false">IF($A50="","",MIN(36,$G50+$D50-1))</f>
        <v/>
      </c>
    </row>
    <row r="51" customFormat="false" ht="15" hidden="false" customHeight="false" outlineLevel="0" collapsed="false">
      <c r="A51" s="10" t="str">
        <f aca="false">08_ロードマップ!C51</f>
        <v/>
      </c>
      <c r="B51" s="10" t="str">
        <f aca="false">IF($A51="","",08_ロードマップ!D51)</f>
        <v/>
      </c>
      <c r="C51" s="16" t="str">
        <f aca="false">IF($A51="","",08_ロードマップ!A51)</f>
        <v/>
      </c>
      <c r="D51" s="16" t="str">
        <f aca="false">IF($A51="","",08_ロードマップ!F51)</f>
        <v/>
      </c>
      <c r="E51" s="16" t="str">
        <f aca="false">IF($A51="","",IFERROR(VLOOKUP($A51,04_依存関係マスター!$A:$C,3,0),""))</f>
        <v/>
      </c>
      <c r="F51" s="16" t="str">
        <f aca="false">IF($E51="","",IF(COUNTIFS(06_重複排除後!$A:$A,$E51,06_重複排除後!$H:$H,"○")&gt;0,"採用",""))</f>
        <v/>
      </c>
      <c r="G51" s="16" t="str">
        <f aca="false">IF($A51="","",MAX(IF($C51="短期",00_はじめに!$B$20,IF($C51="中期",00_はじめに!$B$21,00_はじめに!$B$22)),IF($F51="採用",IFERROR(VLOOKUP($E51,$A:$H,8,0)+1,0),0)))</f>
        <v/>
      </c>
      <c r="H51" s="16" t="str">
        <f aca="false">IF($A51="","",MIN(36,$G51+$D51-1))</f>
        <v/>
      </c>
    </row>
    <row r="52" customFormat="false" ht="15" hidden="false" customHeight="false" outlineLevel="0" collapsed="false">
      <c r="A52" s="10" t="str">
        <f aca="false">08_ロードマップ!C52</f>
        <v/>
      </c>
      <c r="B52" s="10" t="str">
        <f aca="false">IF($A52="","",08_ロードマップ!D52)</f>
        <v/>
      </c>
      <c r="C52" s="16" t="str">
        <f aca="false">IF($A52="","",08_ロードマップ!A52)</f>
        <v/>
      </c>
      <c r="D52" s="16" t="str">
        <f aca="false">IF($A52="","",08_ロードマップ!F52)</f>
        <v/>
      </c>
      <c r="E52" s="16" t="str">
        <f aca="false">IF($A52="","",IFERROR(VLOOKUP($A52,04_依存関係マスター!$A:$C,3,0),""))</f>
        <v/>
      </c>
      <c r="F52" s="16" t="str">
        <f aca="false">IF($E52="","",IF(COUNTIFS(06_重複排除後!$A:$A,$E52,06_重複排除後!$H:$H,"○")&gt;0,"採用",""))</f>
        <v/>
      </c>
      <c r="G52" s="16" t="str">
        <f aca="false">IF($A52="","",MAX(IF($C52="短期",00_はじめに!$B$20,IF($C52="中期",00_はじめに!$B$21,00_はじめに!$B$22)),IF($F52="採用",IFERROR(VLOOKUP($E52,$A:$H,8,0)+1,0),0)))</f>
        <v/>
      </c>
      <c r="H52" s="16" t="str">
        <f aca="false">IF($A52="","",MIN(36,$G52+$D52-1))</f>
        <v/>
      </c>
    </row>
    <row r="53" customFormat="false" ht="15" hidden="false" customHeight="false" outlineLevel="0" collapsed="false">
      <c r="A53" s="10" t="str">
        <f aca="false">08_ロードマップ!C53</f>
        <v/>
      </c>
      <c r="B53" s="10" t="str">
        <f aca="false">IF($A53="","",08_ロードマップ!D53)</f>
        <v/>
      </c>
      <c r="C53" s="16" t="str">
        <f aca="false">IF($A53="","",08_ロードマップ!A53)</f>
        <v/>
      </c>
      <c r="D53" s="16" t="str">
        <f aca="false">IF($A53="","",08_ロードマップ!F53)</f>
        <v/>
      </c>
      <c r="E53" s="16" t="str">
        <f aca="false">IF($A53="","",IFERROR(VLOOKUP($A53,04_依存関係マスター!$A:$C,3,0),""))</f>
        <v/>
      </c>
      <c r="F53" s="16" t="str">
        <f aca="false">IF($E53="","",IF(COUNTIFS(06_重複排除後!$A:$A,$E53,06_重複排除後!$H:$H,"○")&gt;0,"採用",""))</f>
        <v/>
      </c>
      <c r="G53" s="16" t="str">
        <f aca="false">IF($A53="","",MAX(IF($C53="短期",00_はじめに!$B$20,IF($C53="中期",00_はじめに!$B$21,00_はじめに!$B$22)),IF($F53="採用",IFERROR(VLOOKUP($E53,$A:$H,8,0)+1,0),0)))</f>
        <v/>
      </c>
      <c r="H53" s="16" t="str">
        <f aca="false">IF($A53="","",MIN(36,$G53+$D53-1))</f>
        <v/>
      </c>
    </row>
    <row r="54" customFormat="false" ht="15" hidden="false" customHeight="false" outlineLevel="0" collapsed="false">
      <c r="A54" s="10" t="str">
        <f aca="false">08_ロードマップ!C54</f>
        <v/>
      </c>
      <c r="B54" s="10" t="str">
        <f aca="false">IF($A54="","",08_ロードマップ!D54)</f>
        <v/>
      </c>
      <c r="C54" s="16" t="str">
        <f aca="false">IF($A54="","",08_ロードマップ!A54)</f>
        <v/>
      </c>
      <c r="D54" s="16" t="str">
        <f aca="false">IF($A54="","",08_ロードマップ!F54)</f>
        <v/>
      </c>
      <c r="E54" s="16" t="str">
        <f aca="false">IF($A54="","",IFERROR(VLOOKUP($A54,04_依存関係マスター!$A:$C,3,0),""))</f>
        <v/>
      </c>
      <c r="F54" s="16" t="str">
        <f aca="false">IF($E54="","",IF(COUNTIFS(06_重複排除後!$A:$A,$E54,06_重複排除後!$H:$H,"○")&gt;0,"採用",""))</f>
        <v/>
      </c>
      <c r="G54" s="16" t="str">
        <f aca="false">IF($A54="","",MAX(IF($C54="短期",00_はじめに!$B$20,IF($C54="中期",00_はじめに!$B$21,00_はじめに!$B$22)),IF($F54="採用",IFERROR(VLOOKUP($E54,$A:$H,8,0)+1,0),0)))</f>
        <v/>
      </c>
      <c r="H54" s="16" t="str">
        <f aca="false">IF($A54="","",MIN(36,$G54+$D54-1))</f>
        <v/>
      </c>
    </row>
    <row r="55" customFormat="false" ht="15" hidden="false" customHeight="false" outlineLevel="0" collapsed="false">
      <c r="A55" s="10" t="str">
        <f aca="false">08_ロードマップ!C55</f>
        <v/>
      </c>
      <c r="B55" s="10" t="str">
        <f aca="false">IF($A55="","",08_ロードマップ!D55)</f>
        <v/>
      </c>
      <c r="C55" s="16" t="str">
        <f aca="false">IF($A55="","",08_ロードマップ!A55)</f>
        <v/>
      </c>
      <c r="D55" s="16" t="str">
        <f aca="false">IF($A55="","",08_ロードマップ!F55)</f>
        <v/>
      </c>
      <c r="E55" s="16" t="str">
        <f aca="false">IF($A55="","",IFERROR(VLOOKUP($A55,04_依存関係マスター!$A:$C,3,0),""))</f>
        <v/>
      </c>
      <c r="F55" s="16" t="str">
        <f aca="false">IF($E55="","",IF(COUNTIFS(06_重複排除後!$A:$A,$E55,06_重複排除後!$H:$H,"○")&gt;0,"採用",""))</f>
        <v/>
      </c>
      <c r="G55" s="16" t="str">
        <f aca="false">IF($A55="","",MAX(IF($C55="短期",00_はじめに!$B$20,IF($C55="中期",00_はじめに!$B$21,00_はじめに!$B$22)),IF($F55="採用",IFERROR(VLOOKUP($E55,$A:$H,8,0)+1,0),0)))</f>
        <v/>
      </c>
      <c r="H55" s="16" t="str">
        <f aca="false">IF($A55="","",MIN(36,$G55+$D55-1))</f>
        <v/>
      </c>
    </row>
    <row r="56" customFormat="false" ht="15" hidden="false" customHeight="false" outlineLevel="0" collapsed="false">
      <c r="A56" s="10" t="str">
        <f aca="false">08_ロードマップ!C56</f>
        <v/>
      </c>
      <c r="B56" s="10" t="str">
        <f aca="false">IF($A56="","",08_ロードマップ!D56)</f>
        <v/>
      </c>
      <c r="C56" s="16" t="str">
        <f aca="false">IF($A56="","",08_ロードマップ!A56)</f>
        <v/>
      </c>
      <c r="D56" s="16" t="str">
        <f aca="false">IF($A56="","",08_ロードマップ!F56)</f>
        <v/>
      </c>
      <c r="E56" s="16" t="str">
        <f aca="false">IF($A56="","",IFERROR(VLOOKUP($A56,04_依存関係マスター!$A:$C,3,0),""))</f>
        <v/>
      </c>
      <c r="F56" s="16" t="str">
        <f aca="false">IF($E56="","",IF(COUNTIFS(06_重複排除後!$A:$A,$E56,06_重複排除後!$H:$H,"○")&gt;0,"採用",""))</f>
        <v/>
      </c>
      <c r="G56" s="16" t="str">
        <f aca="false">IF($A56="","",MAX(IF($C56="短期",00_はじめに!$B$20,IF($C56="中期",00_はじめに!$B$21,00_はじめに!$B$22)),IF($F56="採用",IFERROR(VLOOKUP($E56,$A:$H,8,0)+1,0),0)))</f>
        <v/>
      </c>
      <c r="H56" s="16" t="str">
        <f aca="false">IF($A56="","",MIN(36,$G56+$D56-1))</f>
        <v/>
      </c>
    </row>
    <row r="57" customFormat="false" ht="15" hidden="false" customHeight="false" outlineLevel="0" collapsed="false">
      <c r="A57" s="10" t="str">
        <f aca="false">08_ロードマップ!C57</f>
        <v/>
      </c>
      <c r="B57" s="10" t="str">
        <f aca="false">IF($A57="","",08_ロードマップ!D57)</f>
        <v/>
      </c>
      <c r="C57" s="16" t="str">
        <f aca="false">IF($A57="","",08_ロードマップ!A57)</f>
        <v/>
      </c>
      <c r="D57" s="16" t="str">
        <f aca="false">IF($A57="","",08_ロードマップ!F57)</f>
        <v/>
      </c>
      <c r="E57" s="16" t="str">
        <f aca="false">IF($A57="","",IFERROR(VLOOKUP($A57,04_依存関係マスター!$A:$C,3,0),""))</f>
        <v/>
      </c>
      <c r="F57" s="16" t="str">
        <f aca="false">IF($E57="","",IF(COUNTIFS(06_重複排除後!$A:$A,$E57,06_重複排除後!$H:$H,"○")&gt;0,"採用",""))</f>
        <v/>
      </c>
      <c r="G57" s="16" t="str">
        <f aca="false">IF($A57="","",MAX(IF($C57="短期",00_はじめに!$B$20,IF($C57="中期",00_はじめに!$B$21,00_はじめに!$B$22)),IF($F57="採用",IFERROR(VLOOKUP($E57,$A:$H,8,0)+1,0),0)))</f>
        <v/>
      </c>
      <c r="H57" s="16" t="str">
        <f aca="false">IF($A57="","",MIN(36,$G57+$D57-1))</f>
        <v/>
      </c>
    </row>
    <row r="58" customFormat="false" ht="15" hidden="false" customHeight="false" outlineLevel="0" collapsed="false">
      <c r="A58" s="10" t="str">
        <f aca="false">08_ロードマップ!C58</f>
        <v/>
      </c>
      <c r="B58" s="10" t="str">
        <f aca="false">IF($A58="","",08_ロードマップ!D58)</f>
        <v/>
      </c>
      <c r="C58" s="16" t="str">
        <f aca="false">IF($A58="","",08_ロードマップ!A58)</f>
        <v/>
      </c>
      <c r="D58" s="16" t="str">
        <f aca="false">IF($A58="","",08_ロードマップ!F58)</f>
        <v/>
      </c>
      <c r="E58" s="16" t="str">
        <f aca="false">IF($A58="","",IFERROR(VLOOKUP($A58,04_依存関係マスター!$A:$C,3,0),""))</f>
        <v/>
      </c>
      <c r="F58" s="16" t="str">
        <f aca="false">IF($E58="","",IF(COUNTIFS(06_重複排除後!$A:$A,$E58,06_重複排除後!$H:$H,"○")&gt;0,"採用",""))</f>
        <v/>
      </c>
      <c r="G58" s="16" t="str">
        <f aca="false">IF($A58="","",MAX(IF($C58="短期",00_はじめに!$B$20,IF($C58="中期",00_はじめに!$B$21,00_はじめに!$B$22)),IF($F58="採用",IFERROR(VLOOKUP($E58,$A:$H,8,0)+1,0),0)))</f>
        <v/>
      </c>
      <c r="H58" s="16" t="str">
        <f aca="false">IF($A58="","",MIN(36,$G58+$D58-1))</f>
        <v/>
      </c>
    </row>
    <row r="59" customFormat="false" ht="15" hidden="false" customHeight="false" outlineLevel="0" collapsed="false">
      <c r="A59" s="10" t="str">
        <f aca="false">08_ロードマップ!C59</f>
        <v/>
      </c>
      <c r="B59" s="10" t="str">
        <f aca="false">IF($A59="","",08_ロードマップ!D59)</f>
        <v/>
      </c>
      <c r="C59" s="16" t="str">
        <f aca="false">IF($A59="","",08_ロードマップ!A59)</f>
        <v/>
      </c>
      <c r="D59" s="16" t="str">
        <f aca="false">IF($A59="","",08_ロードマップ!F59)</f>
        <v/>
      </c>
      <c r="E59" s="16" t="str">
        <f aca="false">IF($A59="","",IFERROR(VLOOKUP($A59,04_依存関係マスター!$A:$C,3,0),""))</f>
        <v/>
      </c>
      <c r="F59" s="16" t="str">
        <f aca="false">IF($E59="","",IF(COUNTIFS(06_重複排除後!$A:$A,$E59,06_重複排除後!$H:$H,"○")&gt;0,"採用",""))</f>
        <v/>
      </c>
      <c r="G59" s="16" t="str">
        <f aca="false">IF($A59="","",MAX(IF($C59="短期",00_はじめに!$B$20,IF($C59="中期",00_はじめに!$B$21,00_はじめに!$B$22)),IF($F59="採用",IFERROR(VLOOKUP($E59,$A:$H,8,0)+1,0),0)))</f>
        <v/>
      </c>
      <c r="H59" s="16" t="str">
        <f aca="false">IF($A59="","",MIN(36,$G59+$D59-1))</f>
        <v/>
      </c>
    </row>
    <row r="60" customFormat="false" ht="15" hidden="false" customHeight="false" outlineLevel="0" collapsed="false">
      <c r="A60" s="10" t="str">
        <f aca="false">08_ロードマップ!C60</f>
        <v/>
      </c>
      <c r="B60" s="10" t="str">
        <f aca="false">IF($A60="","",08_ロードマップ!D60)</f>
        <v/>
      </c>
      <c r="C60" s="16" t="str">
        <f aca="false">IF($A60="","",08_ロードマップ!A60)</f>
        <v/>
      </c>
      <c r="D60" s="16" t="str">
        <f aca="false">IF($A60="","",08_ロードマップ!F60)</f>
        <v/>
      </c>
      <c r="E60" s="16" t="str">
        <f aca="false">IF($A60="","",IFERROR(VLOOKUP($A60,04_依存関係マスター!$A:$C,3,0),""))</f>
        <v/>
      </c>
      <c r="F60" s="16" t="str">
        <f aca="false">IF($E60="","",IF(COUNTIFS(06_重複排除後!$A:$A,$E60,06_重複排除後!$H:$H,"○")&gt;0,"採用",""))</f>
        <v/>
      </c>
      <c r="G60" s="16" t="str">
        <f aca="false">IF($A60="","",MAX(IF($C60="短期",00_はじめに!$B$20,IF($C60="中期",00_はじめに!$B$21,00_はじめに!$B$22)),IF($F60="採用",IFERROR(VLOOKUP($E60,$A:$H,8,0)+1,0),0)))</f>
        <v/>
      </c>
      <c r="H60" s="16" t="str">
        <f aca="false">IF($A60="","",MIN(36,$G60+$D60-1))</f>
        <v/>
      </c>
    </row>
    <row r="61" customFormat="false" ht="15" hidden="false" customHeight="false" outlineLevel="0" collapsed="false">
      <c r="A61" s="10" t="str">
        <f aca="false">08_ロードマップ!C61</f>
        <v/>
      </c>
      <c r="B61" s="10" t="str">
        <f aca="false">IF($A61="","",08_ロードマップ!D61)</f>
        <v/>
      </c>
      <c r="C61" s="16" t="str">
        <f aca="false">IF($A61="","",08_ロードマップ!A61)</f>
        <v/>
      </c>
      <c r="D61" s="16" t="str">
        <f aca="false">IF($A61="","",08_ロードマップ!F61)</f>
        <v/>
      </c>
      <c r="E61" s="16" t="str">
        <f aca="false">IF($A61="","",IFERROR(VLOOKUP($A61,04_依存関係マスター!$A:$C,3,0),""))</f>
        <v/>
      </c>
      <c r="F61" s="16" t="str">
        <f aca="false">IF($E61="","",IF(COUNTIFS(06_重複排除後!$A:$A,$E61,06_重複排除後!$H:$H,"○")&gt;0,"採用",""))</f>
        <v/>
      </c>
      <c r="G61" s="16" t="str">
        <f aca="false">IF($A61="","",MAX(IF($C61="短期",00_はじめに!$B$20,IF($C61="中期",00_はじめに!$B$21,00_はじめに!$B$22)),IF($F61="採用",IFERROR(VLOOKUP($E61,$A:$H,8,0)+1,0),0)))</f>
        <v/>
      </c>
      <c r="H61" s="16" t="str">
        <f aca="false">IF($A61="","",MIN(36,$G61+$D61-1))</f>
        <v/>
      </c>
    </row>
    <row r="62" customFormat="false" ht="15" hidden="false" customHeight="false" outlineLevel="0" collapsed="false">
      <c r="A62" s="10" t="str">
        <f aca="false">08_ロードマップ!C62</f>
        <v/>
      </c>
      <c r="B62" s="10" t="str">
        <f aca="false">IF($A62="","",08_ロードマップ!D62)</f>
        <v/>
      </c>
      <c r="C62" s="16" t="str">
        <f aca="false">IF($A62="","",08_ロードマップ!A62)</f>
        <v/>
      </c>
      <c r="D62" s="16" t="str">
        <f aca="false">IF($A62="","",08_ロードマップ!F62)</f>
        <v/>
      </c>
      <c r="E62" s="16" t="str">
        <f aca="false">IF($A62="","",IFERROR(VLOOKUP($A62,04_依存関係マスター!$A:$C,3,0),""))</f>
        <v/>
      </c>
      <c r="F62" s="16" t="str">
        <f aca="false">IF($E62="","",IF(COUNTIFS(06_重複排除後!$A:$A,$E62,06_重複排除後!$H:$H,"○")&gt;0,"採用",""))</f>
        <v/>
      </c>
      <c r="G62" s="16" t="str">
        <f aca="false">IF($A62="","",MAX(IF($C62="短期",00_はじめに!$B$20,IF($C62="中期",00_はじめに!$B$21,00_はじめに!$B$22)),IF($F62="採用",IFERROR(VLOOKUP($E62,$A:$H,8,0)+1,0),0)))</f>
        <v/>
      </c>
      <c r="H62" s="16" t="str">
        <f aca="false">IF($A62="","",MIN(36,$G62+$D62-1))</f>
        <v/>
      </c>
    </row>
    <row r="63" customFormat="false" ht="15" hidden="false" customHeight="false" outlineLevel="0" collapsed="false">
      <c r="A63" s="10" t="str">
        <f aca="false">08_ロードマップ!C63</f>
        <v/>
      </c>
      <c r="B63" s="10" t="str">
        <f aca="false">IF($A63="","",08_ロードマップ!D63)</f>
        <v/>
      </c>
      <c r="C63" s="16" t="str">
        <f aca="false">IF($A63="","",08_ロードマップ!A63)</f>
        <v/>
      </c>
      <c r="D63" s="16" t="str">
        <f aca="false">IF($A63="","",08_ロードマップ!F63)</f>
        <v/>
      </c>
      <c r="E63" s="16" t="str">
        <f aca="false">IF($A63="","",IFERROR(VLOOKUP($A63,04_依存関係マスター!$A:$C,3,0),""))</f>
        <v/>
      </c>
      <c r="F63" s="16" t="str">
        <f aca="false">IF($E63="","",IF(COUNTIFS(06_重複排除後!$A:$A,$E63,06_重複排除後!$H:$H,"○")&gt;0,"採用",""))</f>
        <v/>
      </c>
      <c r="G63" s="16" t="str">
        <f aca="false">IF($A63="","",MAX(IF($C63="短期",00_はじめに!$B$20,IF($C63="中期",00_はじめに!$B$21,00_はじめに!$B$22)),IF($F63="採用",IFERROR(VLOOKUP($E63,$A:$H,8,0)+1,0),0)))</f>
        <v/>
      </c>
      <c r="H63" s="16" t="str">
        <f aca="false">IF($A63="","",MIN(36,$G63+$D63-1))</f>
        <v/>
      </c>
    </row>
    <row r="64" customFormat="false" ht="15" hidden="false" customHeight="false" outlineLevel="0" collapsed="false">
      <c r="A64" s="10" t="str">
        <f aca="false">08_ロードマップ!C64</f>
        <v/>
      </c>
      <c r="B64" s="10" t="str">
        <f aca="false">IF($A64="","",08_ロードマップ!D64)</f>
        <v/>
      </c>
      <c r="C64" s="16" t="str">
        <f aca="false">IF($A64="","",08_ロードマップ!A64)</f>
        <v/>
      </c>
      <c r="D64" s="16" t="str">
        <f aca="false">IF($A64="","",08_ロードマップ!F64)</f>
        <v/>
      </c>
      <c r="E64" s="16" t="str">
        <f aca="false">IF($A64="","",IFERROR(VLOOKUP($A64,04_依存関係マスター!$A:$C,3,0),""))</f>
        <v/>
      </c>
      <c r="F64" s="16" t="str">
        <f aca="false">IF($E64="","",IF(COUNTIFS(06_重複排除後!$A:$A,$E64,06_重複排除後!$H:$H,"○")&gt;0,"採用",""))</f>
        <v/>
      </c>
      <c r="G64" s="16" t="str">
        <f aca="false">IF($A64="","",MAX(IF($C64="短期",00_はじめに!$B$20,IF($C64="中期",00_はじめに!$B$21,00_はじめに!$B$22)),IF($F64="採用",IFERROR(VLOOKUP($E64,$A:$H,8,0)+1,0),0)))</f>
        <v/>
      </c>
      <c r="H64" s="16" t="str">
        <f aca="false">IF($A64="","",MIN(36,$G64+$D64-1))</f>
        <v/>
      </c>
    </row>
    <row r="65" customFormat="false" ht="15" hidden="false" customHeight="false" outlineLevel="0" collapsed="false">
      <c r="A65" s="10" t="str">
        <f aca="false">08_ロードマップ!C65</f>
        <v/>
      </c>
      <c r="B65" s="10" t="str">
        <f aca="false">IF($A65="","",08_ロードマップ!D65)</f>
        <v/>
      </c>
      <c r="C65" s="16" t="str">
        <f aca="false">IF($A65="","",08_ロードマップ!A65)</f>
        <v/>
      </c>
      <c r="D65" s="16" t="str">
        <f aca="false">IF($A65="","",08_ロードマップ!F65)</f>
        <v/>
      </c>
      <c r="E65" s="16" t="str">
        <f aca="false">IF($A65="","",IFERROR(VLOOKUP($A65,04_依存関係マスター!$A:$C,3,0),""))</f>
        <v/>
      </c>
      <c r="F65" s="16" t="str">
        <f aca="false">IF($E65="","",IF(COUNTIFS(06_重複排除後!$A:$A,$E65,06_重複排除後!$H:$H,"○")&gt;0,"採用",""))</f>
        <v/>
      </c>
      <c r="G65" s="16" t="str">
        <f aca="false">IF($A65="","",MAX(IF($C65="短期",00_はじめに!$B$20,IF($C65="中期",00_はじめに!$B$21,00_はじめに!$B$22)),IF($F65="採用",IFERROR(VLOOKUP($E65,$A:$H,8,0)+1,0),0)))</f>
        <v/>
      </c>
      <c r="H65" s="16" t="str">
        <f aca="false">IF($A65="","",MIN(36,$G65+$D65-1))</f>
        <v/>
      </c>
    </row>
    <row r="66" customFormat="false" ht="15" hidden="false" customHeight="false" outlineLevel="0" collapsed="false">
      <c r="A66" s="10" t="str">
        <f aca="false">08_ロードマップ!C66</f>
        <v/>
      </c>
      <c r="B66" s="10" t="str">
        <f aca="false">IF($A66="","",08_ロードマップ!D66)</f>
        <v/>
      </c>
      <c r="C66" s="16" t="str">
        <f aca="false">IF($A66="","",08_ロードマップ!A66)</f>
        <v/>
      </c>
      <c r="D66" s="16" t="str">
        <f aca="false">IF($A66="","",08_ロードマップ!F66)</f>
        <v/>
      </c>
      <c r="E66" s="16" t="str">
        <f aca="false">IF($A66="","",IFERROR(VLOOKUP($A66,04_依存関係マスター!$A:$C,3,0),""))</f>
        <v/>
      </c>
      <c r="F66" s="16" t="str">
        <f aca="false">IF($E66="","",IF(COUNTIFS(06_重複排除後!$A:$A,$E66,06_重複排除後!$H:$H,"○")&gt;0,"採用",""))</f>
        <v/>
      </c>
      <c r="G66" s="16" t="str">
        <f aca="false">IF($A66="","",MAX(IF($C66="短期",00_はじめに!$B$20,IF($C66="中期",00_はじめに!$B$21,00_はじめに!$B$22)),IF($F66="採用",IFERROR(VLOOKUP($E66,$A:$H,8,0)+1,0),0)))</f>
        <v/>
      </c>
      <c r="H66" s="16" t="str">
        <f aca="false">IF($A66="","",MIN(36,$G66+$D66-1))</f>
        <v/>
      </c>
    </row>
    <row r="67" customFormat="false" ht="15" hidden="false" customHeight="false" outlineLevel="0" collapsed="false">
      <c r="A67" s="10" t="str">
        <f aca="false">08_ロードマップ!C67</f>
        <v/>
      </c>
      <c r="B67" s="10" t="str">
        <f aca="false">IF($A67="","",08_ロードマップ!D67)</f>
        <v/>
      </c>
      <c r="C67" s="16" t="str">
        <f aca="false">IF($A67="","",08_ロードマップ!A67)</f>
        <v/>
      </c>
      <c r="D67" s="16" t="str">
        <f aca="false">IF($A67="","",08_ロードマップ!F67)</f>
        <v/>
      </c>
      <c r="E67" s="16" t="str">
        <f aca="false">IF($A67="","",IFERROR(VLOOKUP($A67,04_依存関係マスター!$A:$C,3,0),""))</f>
        <v/>
      </c>
      <c r="F67" s="16" t="str">
        <f aca="false">IF($E67="","",IF(COUNTIFS(06_重複排除後!$A:$A,$E67,06_重複排除後!$H:$H,"○")&gt;0,"採用",""))</f>
        <v/>
      </c>
      <c r="G67" s="16" t="str">
        <f aca="false">IF($A67="","",MAX(IF($C67="短期",00_はじめに!$B$20,IF($C67="中期",00_はじめに!$B$21,00_はじめに!$B$22)),IF($F67="採用",IFERROR(VLOOKUP($E67,$A:$H,8,0)+1,0),0)))</f>
        <v/>
      </c>
      <c r="H67" s="16" t="str">
        <f aca="false">IF($A67="","",MIN(36,$G67+$D67-1))</f>
        <v/>
      </c>
    </row>
    <row r="68" customFormat="false" ht="15" hidden="false" customHeight="false" outlineLevel="0" collapsed="false">
      <c r="A68" s="10" t="str">
        <f aca="false">08_ロードマップ!C68</f>
        <v/>
      </c>
      <c r="B68" s="10" t="str">
        <f aca="false">IF($A68="","",08_ロードマップ!D68)</f>
        <v/>
      </c>
      <c r="C68" s="16" t="str">
        <f aca="false">IF($A68="","",08_ロードマップ!A68)</f>
        <v/>
      </c>
      <c r="D68" s="16" t="str">
        <f aca="false">IF($A68="","",08_ロードマップ!F68)</f>
        <v/>
      </c>
      <c r="E68" s="16" t="str">
        <f aca="false">IF($A68="","",IFERROR(VLOOKUP($A68,04_依存関係マスター!$A:$C,3,0),""))</f>
        <v/>
      </c>
      <c r="F68" s="16" t="str">
        <f aca="false">IF($E68="","",IF(COUNTIFS(06_重複排除後!$A:$A,$E68,06_重複排除後!$H:$H,"○")&gt;0,"採用",""))</f>
        <v/>
      </c>
      <c r="G68" s="16" t="str">
        <f aca="false">IF($A68="","",MAX(IF($C68="短期",00_はじめに!$B$20,IF($C68="中期",00_はじめに!$B$21,00_はじめに!$B$22)),IF($F68="採用",IFERROR(VLOOKUP($E68,$A:$H,8,0)+1,0),0)))</f>
        <v/>
      </c>
      <c r="H68" s="16" t="str">
        <f aca="false">IF($A68="","",MIN(36,$G68+$D68-1))</f>
        <v/>
      </c>
    </row>
    <row r="69" customFormat="false" ht="15" hidden="false" customHeight="false" outlineLevel="0" collapsed="false">
      <c r="A69" s="10" t="str">
        <f aca="false">08_ロードマップ!C69</f>
        <v/>
      </c>
      <c r="B69" s="10" t="str">
        <f aca="false">IF($A69="","",08_ロードマップ!D69)</f>
        <v/>
      </c>
      <c r="C69" s="16" t="str">
        <f aca="false">IF($A69="","",08_ロードマップ!A69)</f>
        <v/>
      </c>
      <c r="D69" s="16" t="str">
        <f aca="false">IF($A69="","",08_ロードマップ!F69)</f>
        <v/>
      </c>
      <c r="E69" s="16" t="str">
        <f aca="false">IF($A69="","",IFERROR(VLOOKUP($A69,04_依存関係マスター!$A:$C,3,0),""))</f>
        <v/>
      </c>
      <c r="F69" s="16" t="str">
        <f aca="false">IF($E69="","",IF(COUNTIFS(06_重複排除後!$A:$A,$E69,06_重複排除後!$H:$H,"○")&gt;0,"採用",""))</f>
        <v/>
      </c>
      <c r="G69" s="16" t="str">
        <f aca="false">IF($A69="","",MAX(IF($C69="短期",00_はじめに!$B$20,IF($C69="中期",00_はじめに!$B$21,00_はじめに!$B$22)),IF($F69="採用",IFERROR(VLOOKUP($E69,$A:$H,8,0)+1,0),0)))</f>
        <v/>
      </c>
      <c r="H69" s="16" t="str">
        <f aca="false">IF($A69="","",MIN(36,$G69+$D69-1))</f>
        <v/>
      </c>
    </row>
    <row r="70" customFormat="false" ht="15" hidden="false" customHeight="false" outlineLevel="0" collapsed="false">
      <c r="A70" s="10" t="str">
        <f aca="false">08_ロードマップ!C70</f>
        <v/>
      </c>
      <c r="B70" s="10" t="str">
        <f aca="false">IF($A70="","",08_ロードマップ!D70)</f>
        <v/>
      </c>
      <c r="C70" s="16" t="str">
        <f aca="false">IF($A70="","",08_ロードマップ!A70)</f>
        <v/>
      </c>
      <c r="D70" s="16" t="str">
        <f aca="false">IF($A70="","",08_ロードマップ!F70)</f>
        <v/>
      </c>
      <c r="E70" s="16" t="str">
        <f aca="false">IF($A70="","",IFERROR(VLOOKUP($A70,04_依存関係マスター!$A:$C,3,0),""))</f>
        <v/>
      </c>
      <c r="F70" s="16" t="str">
        <f aca="false">IF($E70="","",IF(COUNTIFS(06_重複排除後!$A:$A,$E70,06_重複排除後!$H:$H,"○")&gt;0,"採用",""))</f>
        <v/>
      </c>
      <c r="G70" s="16" t="str">
        <f aca="false">IF($A70="","",MAX(IF($C70="短期",00_はじめに!$B$20,IF($C70="中期",00_はじめに!$B$21,00_はじめに!$B$22)),IF($F70="採用",IFERROR(VLOOKUP($E70,$A:$H,8,0)+1,0),0)))</f>
        <v/>
      </c>
      <c r="H70" s="16" t="str">
        <f aca="false">IF($A70="","",MIN(36,$G70+$D70-1))</f>
        <v/>
      </c>
    </row>
    <row r="71" customFormat="false" ht="15" hidden="false" customHeight="false" outlineLevel="0" collapsed="false">
      <c r="A71" s="10" t="str">
        <f aca="false">08_ロードマップ!C71</f>
        <v/>
      </c>
      <c r="B71" s="10" t="str">
        <f aca="false">IF($A71="","",08_ロードマップ!D71)</f>
        <v/>
      </c>
      <c r="C71" s="16" t="str">
        <f aca="false">IF($A71="","",08_ロードマップ!A71)</f>
        <v/>
      </c>
      <c r="D71" s="16" t="str">
        <f aca="false">IF($A71="","",08_ロードマップ!F71)</f>
        <v/>
      </c>
      <c r="E71" s="16" t="str">
        <f aca="false">IF($A71="","",IFERROR(VLOOKUP($A71,04_依存関係マスター!$A:$C,3,0),""))</f>
        <v/>
      </c>
      <c r="F71" s="16" t="str">
        <f aca="false">IF($E71="","",IF(COUNTIFS(06_重複排除後!$A:$A,$E71,06_重複排除後!$H:$H,"○")&gt;0,"採用",""))</f>
        <v/>
      </c>
      <c r="G71" s="16" t="str">
        <f aca="false">IF($A71="","",MAX(IF($C71="短期",00_はじめに!$B$20,IF($C71="中期",00_はじめに!$B$21,00_はじめに!$B$22)),IF($F71="採用",IFERROR(VLOOKUP($E71,$A:$H,8,0)+1,0),0)))</f>
        <v/>
      </c>
      <c r="H71" s="16" t="str">
        <f aca="false">IF($A71="","",MIN(36,$G71+$D71-1))</f>
        <v/>
      </c>
    </row>
    <row r="72" customFormat="false" ht="15" hidden="false" customHeight="false" outlineLevel="0" collapsed="false">
      <c r="A72" s="10" t="str">
        <f aca="false">08_ロードマップ!C72</f>
        <v/>
      </c>
      <c r="B72" s="10" t="str">
        <f aca="false">IF($A72="","",08_ロードマップ!D72)</f>
        <v/>
      </c>
      <c r="C72" s="16" t="str">
        <f aca="false">IF($A72="","",08_ロードマップ!A72)</f>
        <v/>
      </c>
      <c r="D72" s="16" t="str">
        <f aca="false">IF($A72="","",08_ロードマップ!F72)</f>
        <v/>
      </c>
      <c r="E72" s="16" t="str">
        <f aca="false">IF($A72="","",IFERROR(VLOOKUP($A72,04_依存関係マスター!$A:$C,3,0),""))</f>
        <v/>
      </c>
      <c r="F72" s="16" t="str">
        <f aca="false">IF($E72="","",IF(COUNTIFS(06_重複排除後!$A:$A,$E72,06_重複排除後!$H:$H,"○")&gt;0,"採用",""))</f>
        <v/>
      </c>
      <c r="G72" s="16" t="str">
        <f aca="false">IF($A72="","",MAX(IF($C72="短期",00_はじめに!$B$20,IF($C72="中期",00_はじめに!$B$21,00_はじめに!$B$22)),IF($F72="採用",IFERROR(VLOOKUP($E72,$A:$H,8,0)+1,0),0)))</f>
        <v/>
      </c>
      <c r="H72" s="16" t="str">
        <f aca="false">IF($A72="","",MIN(36,$G72+$D72-1))</f>
        <v/>
      </c>
    </row>
    <row r="73" customFormat="false" ht="15" hidden="false" customHeight="false" outlineLevel="0" collapsed="false">
      <c r="A73" s="10" t="str">
        <f aca="false">08_ロードマップ!C73</f>
        <v/>
      </c>
      <c r="B73" s="10" t="str">
        <f aca="false">IF($A73="","",08_ロードマップ!D73)</f>
        <v/>
      </c>
      <c r="C73" s="16" t="str">
        <f aca="false">IF($A73="","",08_ロードマップ!A73)</f>
        <v/>
      </c>
      <c r="D73" s="16" t="str">
        <f aca="false">IF($A73="","",08_ロードマップ!F73)</f>
        <v/>
      </c>
      <c r="E73" s="16" t="str">
        <f aca="false">IF($A73="","",IFERROR(VLOOKUP($A73,04_依存関係マスター!$A:$C,3,0),""))</f>
        <v/>
      </c>
      <c r="F73" s="16" t="str">
        <f aca="false">IF($E73="","",IF(COUNTIFS(06_重複排除後!$A:$A,$E73,06_重複排除後!$H:$H,"○")&gt;0,"採用",""))</f>
        <v/>
      </c>
      <c r="G73" s="16" t="str">
        <f aca="false">IF($A73="","",MAX(IF($C73="短期",00_はじめに!$B$20,IF($C73="中期",00_はじめに!$B$21,00_はじめに!$B$22)),IF($F73="採用",IFERROR(VLOOKUP($E73,$A:$H,8,0)+1,0),0)))</f>
        <v/>
      </c>
      <c r="H73" s="16" t="str">
        <f aca="false">IF($A73="","",MIN(36,$G73+$D73-1))</f>
        <v/>
      </c>
    </row>
    <row r="74" customFormat="false" ht="15" hidden="false" customHeight="false" outlineLevel="0" collapsed="false">
      <c r="A74" s="10" t="str">
        <f aca="false">08_ロードマップ!C74</f>
        <v/>
      </c>
      <c r="B74" s="10" t="str">
        <f aca="false">IF($A74="","",08_ロードマップ!D74)</f>
        <v/>
      </c>
      <c r="C74" s="16" t="str">
        <f aca="false">IF($A74="","",08_ロードマップ!A74)</f>
        <v/>
      </c>
      <c r="D74" s="16" t="str">
        <f aca="false">IF($A74="","",08_ロードマップ!F74)</f>
        <v/>
      </c>
      <c r="E74" s="16" t="str">
        <f aca="false">IF($A74="","",IFERROR(VLOOKUP($A74,04_依存関係マスター!$A:$C,3,0),""))</f>
        <v/>
      </c>
      <c r="F74" s="16" t="str">
        <f aca="false">IF($E74="","",IF(COUNTIFS(06_重複排除後!$A:$A,$E74,06_重複排除後!$H:$H,"○")&gt;0,"採用",""))</f>
        <v/>
      </c>
      <c r="G74" s="16" t="str">
        <f aca="false">IF($A74="","",MAX(IF($C74="短期",00_はじめに!$B$20,IF($C74="中期",00_はじめに!$B$21,00_はじめに!$B$22)),IF($F74="採用",IFERROR(VLOOKUP($E74,$A:$H,8,0)+1,0),0)))</f>
        <v/>
      </c>
      <c r="H74" s="16" t="str">
        <f aca="false">IF($A74="","",MIN(36,$G74+$D74-1))</f>
        <v/>
      </c>
    </row>
    <row r="75" customFormat="false" ht="15" hidden="false" customHeight="false" outlineLevel="0" collapsed="false">
      <c r="A75" s="10" t="str">
        <f aca="false">08_ロードマップ!C75</f>
        <v/>
      </c>
      <c r="B75" s="10" t="str">
        <f aca="false">IF($A75="","",08_ロードマップ!D75)</f>
        <v/>
      </c>
      <c r="C75" s="16" t="str">
        <f aca="false">IF($A75="","",08_ロードマップ!A75)</f>
        <v/>
      </c>
      <c r="D75" s="16" t="str">
        <f aca="false">IF($A75="","",08_ロードマップ!F75)</f>
        <v/>
      </c>
      <c r="E75" s="16" t="str">
        <f aca="false">IF($A75="","",IFERROR(VLOOKUP($A75,04_依存関係マスター!$A:$C,3,0),""))</f>
        <v/>
      </c>
      <c r="F75" s="16" t="str">
        <f aca="false">IF($E75="","",IF(COUNTIFS(06_重複排除後!$A:$A,$E75,06_重複排除後!$H:$H,"○")&gt;0,"採用",""))</f>
        <v/>
      </c>
      <c r="G75" s="16" t="str">
        <f aca="false">IF($A75="","",MAX(IF($C75="短期",00_はじめに!$B$20,IF($C75="中期",00_はじめに!$B$21,00_はじめに!$B$22)),IF($F75="採用",IFERROR(VLOOKUP($E75,$A:$H,8,0)+1,0),0)))</f>
        <v/>
      </c>
      <c r="H75" s="16" t="str">
        <f aca="false">IF($A75="","",MIN(36,$G75+$D75-1))</f>
        <v/>
      </c>
    </row>
    <row r="76" customFormat="false" ht="15" hidden="false" customHeight="false" outlineLevel="0" collapsed="false">
      <c r="A76" s="10" t="str">
        <f aca="false">08_ロードマップ!C76</f>
        <v/>
      </c>
      <c r="B76" s="10" t="str">
        <f aca="false">IF($A76="","",08_ロードマップ!D76)</f>
        <v/>
      </c>
      <c r="C76" s="16" t="str">
        <f aca="false">IF($A76="","",08_ロードマップ!A76)</f>
        <v/>
      </c>
      <c r="D76" s="16" t="str">
        <f aca="false">IF($A76="","",08_ロードマップ!F76)</f>
        <v/>
      </c>
      <c r="E76" s="16" t="str">
        <f aca="false">IF($A76="","",IFERROR(VLOOKUP($A76,04_依存関係マスター!$A:$C,3,0),""))</f>
        <v/>
      </c>
      <c r="F76" s="16" t="str">
        <f aca="false">IF($E76="","",IF(COUNTIFS(06_重複排除後!$A:$A,$E76,06_重複排除後!$H:$H,"○")&gt;0,"採用",""))</f>
        <v/>
      </c>
      <c r="G76" s="16" t="str">
        <f aca="false">IF($A76="","",MAX(IF($C76="短期",00_はじめに!$B$20,IF($C76="中期",00_はじめに!$B$21,00_はじめに!$B$22)),IF($F76="採用",IFERROR(VLOOKUP($E76,$A:$H,8,0)+1,0),0)))</f>
        <v/>
      </c>
      <c r="H76" s="16" t="str">
        <f aca="false">IF($A76="","",MIN(36,$G76+$D76-1))</f>
        <v/>
      </c>
    </row>
    <row r="77" customFormat="false" ht="15" hidden="false" customHeight="false" outlineLevel="0" collapsed="false">
      <c r="A77" s="10" t="str">
        <f aca="false">08_ロードマップ!C77</f>
        <v/>
      </c>
      <c r="B77" s="10" t="str">
        <f aca="false">IF($A77="","",08_ロードマップ!D77)</f>
        <v/>
      </c>
      <c r="C77" s="16" t="str">
        <f aca="false">IF($A77="","",08_ロードマップ!A77)</f>
        <v/>
      </c>
      <c r="D77" s="16" t="str">
        <f aca="false">IF($A77="","",08_ロードマップ!F77)</f>
        <v/>
      </c>
      <c r="E77" s="16" t="str">
        <f aca="false">IF($A77="","",IFERROR(VLOOKUP($A77,04_依存関係マスター!$A:$C,3,0),""))</f>
        <v/>
      </c>
      <c r="F77" s="16" t="str">
        <f aca="false">IF($E77="","",IF(COUNTIFS(06_重複排除後!$A:$A,$E77,06_重複排除後!$H:$H,"○")&gt;0,"採用",""))</f>
        <v/>
      </c>
      <c r="G77" s="16" t="str">
        <f aca="false">IF($A77="","",MAX(IF($C77="短期",00_はじめに!$B$20,IF($C77="中期",00_はじめに!$B$21,00_はじめに!$B$22)),IF($F77="採用",IFERROR(VLOOKUP($E77,$A:$H,8,0)+1,0),0)))</f>
        <v/>
      </c>
      <c r="H77" s="16" t="str">
        <f aca="false">IF($A77="","",MIN(36,$G77+$D77-1))</f>
        <v/>
      </c>
    </row>
    <row r="78" customFormat="false" ht="15" hidden="false" customHeight="false" outlineLevel="0" collapsed="false">
      <c r="A78" s="10" t="str">
        <f aca="false">08_ロードマップ!C78</f>
        <v/>
      </c>
      <c r="B78" s="10" t="str">
        <f aca="false">IF($A78="","",08_ロードマップ!D78)</f>
        <v/>
      </c>
      <c r="C78" s="16" t="str">
        <f aca="false">IF($A78="","",08_ロードマップ!A78)</f>
        <v/>
      </c>
      <c r="D78" s="16" t="str">
        <f aca="false">IF($A78="","",08_ロードマップ!F78)</f>
        <v/>
      </c>
      <c r="E78" s="16" t="str">
        <f aca="false">IF($A78="","",IFERROR(VLOOKUP($A78,04_依存関係マスター!$A:$C,3,0),""))</f>
        <v/>
      </c>
      <c r="F78" s="16" t="str">
        <f aca="false">IF($E78="","",IF(COUNTIFS(06_重複排除後!$A:$A,$E78,06_重複排除後!$H:$H,"○")&gt;0,"採用",""))</f>
        <v/>
      </c>
      <c r="G78" s="16" t="str">
        <f aca="false">IF($A78="","",MAX(IF($C78="短期",00_はじめに!$B$20,IF($C78="中期",00_はじめに!$B$21,00_はじめに!$B$22)),IF($F78="採用",IFERROR(VLOOKUP($E78,$A:$H,8,0)+1,0),0)))</f>
        <v/>
      </c>
      <c r="H78" s="16" t="str">
        <f aca="false">IF($A78="","",MIN(36,$G78+$D78-1))</f>
        <v/>
      </c>
    </row>
    <row r="79" customFormat="false" ht="15" hidden="false" customHeight="false" outlineLevel="0" collapsed="false">
      <c r="A79" s="10" t="str">
        <f aca="false">08_ロードマップ!C79</f>
        <v/>
      </c>
      <c r="B79" s="10" t="str">
        <f aca="false">IF($A79="","",08_ロードマップ!D79)</f>
        <v/>
      </c>
      <c r="C79" s="16" t="str">
        <f aca="false">IF($A79="","",08_ロードマップ!A79)</f>
        <v/>
      </c>
      <c r="D79" s="16" t="str">
        <f aca="false">IF($A79="","",08_ロードマップ!F79)</f>
        <v/>
      </c>
      <c r="E79" s="16" t="str">
        <f aca="false">IF($A79="","",IFERROR(VLOOKUP($A79,04_依存関係マスター!$A:$C,3,0),""))</f>
        <v/>
      </c>
      <c r="F79" s="16" t="str">
        <f aca="false">IF($E79="","",IF(COUNTIFS(06_重複排除後!$A:$A,$E79,06_重複排除後!$H:$H,"○")&gt;0,"採用",""))</f>
        <v/>
      </c>
      <c r="G79" s="16" t="str">
        <f aca="false">IF($A79="","",MAX(IF($C79="短期",00_はじめに!$B$20,IF($C79="中期",00_はじめに!$B$21,00_はじめに!$B$22)),IF($F79="採用",IFERROR(VLOOKUP($E79,$A:$H,8,0)+1,0),0)))</f>
        <v/>
      </c>
      <c r="H79" s="16" t="str">
        <f aca="false">IF($A79="","",MIN(36,$G79+$D79-1))</f>
        <v/>
      </c>
    </row>
    <row r="80" customFormat="false" ht="15" hidden="false" customHeight="false" outlineLevel="0" collapsed="false">
      <c r="A80" s="10" t="str">
        <f aca="false">08_ロードマップ!C80</f>
        <v/>
      </c>
      <c r="B80" s="10" t="str">
        <f aca="false">IF($A80="","",08_ロードマップ!D80)</f>
        <v/>
      </c>
      <c r="C80" s="16" t="str">
        <f aca="false">IF($A80="","",08_ロードマップ!A80)</f>
        <v/>
      </c>
      <c r="D80" s="16" t="str">
        <f aca="false">IF($A80="","",08_ロードマップ!F80)</f>
        <v/>
      </c>
      <c r="E80" s="16" t="str">
        <f aca="false">IF($A80="","",IFERROR(VLOOKUP($A80,04_依存関係マスター!$A:$C,3,0),""))</f>
        <v/>
      </c>
      <c r="F80" s="16" t="str">
        <f aca="false">IF($E80="","",IF(COUNTIFS(06_重複排除後!$A:$A,$E80,06_重複排除後!$H:$H,"○")&gt;0,"採用",""))</f>
        <v/>
      </c>
      <c r="G80" s="16" t="str">
        <f aca="false">IF($A80="","",MAX(IF($C80="短期",00_はじめに!$B$20,IF($C80="中期",00_はじめに!$B$21,00_はじめに!$B$22)),IF($F80="採用",IFERROR(VLOOKUP($E80,$A:$H,8,0)+1,0),0)))</f>
        <v/>
      </c>
      <c r="H80" s="16" t="str">
        <f aca="false">IF($A80="","",MIN(36,$G80+$D80-1))</f>
        <v/>
      </c>
    </row>
    <row r="81" customFormat="false" ht="15" hidden="false" customHeight="false" outlineLevel="0" collapsed="false">
      <c r="A81" s="10" t="str">
        <f aca="false">08_ロードマップ!C81</f>
        <v/>
      </c>
      <c r="B81" s="10" t="str">
        <f aca="false">IF($A81="","",08_ロードマップ!D81)</f>
        <v/>
      </c>
      <c r="C81" s="16" t="str">
        <f aca="false">IF($A81="","",08_ロードマップ!A81)</f>
        <v/>
      </c>
      <c r="D81" s="16" t="str">
        <f aca="false">IF($A81="","",08_ロードマップ!F81)</f>
        <v/>
      </c>
      <c r="E81" s="16" t="str">
        <f aca="false">IF($A81="","",IFERROR(VLOOKUP($A81,04_依存関係マスター!$A:$C,3,0),""))</f>
        <v/>
      </c>
      <c r="F81" s="16" t="str">
        <f aca="false">IF($E81="","",IF(COUNTIFS(06_重複排除後!$A:$A,$E81,06_重複排除後!$H:$H,"○")&gt;0,"採用",""))</f>
        <v/>
      </c>
      <c r="G81" s="16" t="str">
        <f aca="false">IF($A81="","",MAX(IF($C81="短期",00_はじめに!$B$20,IF($C81="中期",00_はじめに!$B$21,00_はじめに!$B$22)),IF($F81="採用",IFERROR(VLOOKUP($E81,$A:$H,8,0)+1,0),0)))</f>
        <v/>
      </c>
      <c r="H81" s="16" t="str">
        <f aca="false">IF($A81="","",MIN(36,$G81+$D81-1))</f>
        <v/>
      </c>
    </row>
    <row r="82" customFormat="false" ht="15" hidden="false" customHeight="false" outlineLevel="0" collapsed="false">
      <c r="A82" s="10" t="str">
        <f aca="false">08_ロードマップ!C82</f>
        <v/>
      </c>
      <c r="B82" s="10" t="str">
        <f aca="false">IF($A82="","",08_ロードマップ!D82)</f>
        <v/>
      </c>
      <c r="C82" s="16" t="str">
        <f aca="false">IF($A82="","",08_ロードマップ!A82)</f>
        <v/>
      </c>
      <c r="D82" s="16" t="str">
        <f aca="false">IF($A82="","",08_ロードマップ!F82)</f>
        <v/>
      </c>
      <c r="E82" s="16" t="str">
        <f aca="false">IF($A82="","",IFERROR(VLOOKUP($A82,04_依存関係マスター!$A:$C,3,0),""))</f>
        <v/>
      </c>
      <c r="F82" s="16" t="str">
        <f aca="false">IF($E82="","",IF(COUNTIFS(06_重複排除後!$A:$A,$E82,06_重複排除後!$H:$H,"○")&gt;0,"採用",""))</f>
        <v/>
      </c>
      <c r="G82" s="16" t="str">
        <f aca="false">IF($A82="","",MAX(IF($C82="短期",00_はじめに!$B$20,IF($C82="中期",00_はじめに!$B$21,00_はじめに!$B$22)),IF($F82="採用",IFERROR(VLOOKUP($E82,$A:$H,8,0)+1,0),0)))</f>
        <v/>
      </c>
      <c r="H82" s="16" t="str">
        <f aca="false">IF($A82="","",MIN(36,$G82+$D82-1))</f>
        <v/>
      </c>
    </row>
    <row r="83" customFormat="false" ht="15" hidden="false" customHeight="false" outlineLevel="0" collapsed="false">
      <c r="A83" s="10" t="str">
        <f aca="false">08_ロードマップ!C83</f>
        <v/>
      </c>
      <c r="B83" s="10" t="str">
        <f aca="false">IF($A83="","",08_ロードマップ!D83)</f>
        <v/>
      </c>
      <c r="C83" s="16" t="str">
        <f aca="false">IF($A83="","",08_ロードマップ!A83)</f>
        <v/>
      </c>
      <c r="D83" s="16" t="str">
        <f aca="false">IF($A83="","",08_ロードマップ!F83)</f>
        <v/>
      </c>
      <c r="E83" s="16" t="str">
        <f aca="false">IF($A83="","",IFERROR(VLOOKUP($A83,04_依存関係マスター!$A:$C,3,0),""))</f>
        <v/>
      </c>
      <c r="F83" s="16" t="str">
        <f aca="false">IF($E83="","",IF(COUNTIFS(06_重複排除後!$A:$A,$E83,06_重複排除後!$H:$H,"○")&gt;0,"採用",""))</f>
        <v/>
      </c>
      <c r="G83" s="16" t="str">
        <f aca="false">IF($A83="","",MAX(IF($C83="短期",00_はじめに!$B$20,IF($C83="中期",00_はじめに!$B$21,00_はじめに!$B$22)),IF($F83="採用",IFERROR(VLOOKUP($E83,$A:$H,8,0)+1,0),0)))</f>
        <v/>
      </c>
      <c r="H83" s="16" t="str">
        <f aca="false">IF($A83="","",MIN(36,$G83+$D83-1))</f>
        <v/>
      </c>
    </row>
    <row r="84" customFormat="false" ht="15" hidden="false" customHeight="false" outlineLevel="0" collapsed="false">
      <c r="A84" s="10" t="str">
        <f aca="false">08_ロードマップ!C84</f>
        <v/>
      </c>
      <c r="B84" s="10" t="str">
        <f aca="false">IF($A84="","",08_ロードマップ!D84)</f>
        <v/>
      </c>
      <c r="C84" s="16" t="str">
        <f aca="false">IF($A84="","",08_ロードマップ!A84)</f>
        <v/>
      </c>
      <c r="D84" s="16" t="str">
        <f aca="false">IF($A84="","",08_ロードマップ!F84)</f>
        <v/>
      </c>
      <c r="E84" s="16" t="str">
        <f aca="false">IF($A84="","",IFERROR(VLOOKUP($A84,04_依存関係マスター!$A:$C,3,0),""))</f>
        <v/>
      </c>
      <c r="F84" s="16" t="str">
        <f aca="false">IF($E84="","",IF(COUNTIFS(06_重複排除後!$A:$A,$E84,06_重複排除後!$H:$H,"○")&gt;0,"採用",""))</f>
        <v/>
      </c>
      <c r="G84" s="16" t="str">
        <f aca="false">IF($A84="","",MAX(IF($C84="短期",00_はじめに!$B$20,IF($C84="中期",00_はじめに!$B$21,00_はじめに!$B$22)),IF($F84="採用",IFERROR(VLOOKUP($E84,$A:$H,8,0)+1,0),0)))</f>
        <v/>
      </c>
      <c r="H84" s="16" t="str">
        <f aca="false">IF($A84="","",MIN(36,$G84+$D84-1))</f>
        <v/>
      </c>
    </row>
    <row r="85" customFormat="false" ht="15" hidden="false" customHeight="false" outlineLevel="0" collapsed="false">
      <c r="A85" s="10" t="str">
        <f aca="false">08_ロードマップ!C85</f>
        <v/>
      </c>
      <c r="B85" s="10" t="str">
        <f aca="false">IF($A85="","",08_ロードマップ!D85)</f>
        <v/>
      </c>
      <c r="C85" s="16" t="str">
        <f aca="false">IF($A85="","",08_ロードマップ!A85)</f>
        <v/>
      </c>
      <c r="D85" s="16" t="str">
        <f aca="false">IF($A85="","",08_ロードマップ!F85)</f>
        <v/>
      </c>
      <c r="E85" s="16" t="str">
        <f aca="false">IF($A85="","",IFERROR(VLOOKUP($A85,04_依存関係マスター!$A:$C,3,0),""))</f>
        <v/>
      </c>
      <c r="F85" s="16" t="str">
        <f aca="false">IF($E85="","",IF(COUNTIFS(06_重複排除後!$A:$A,$E85,06_重複排除後!$H:$H,"○")&gt;0,"採用",""))</f>
        <v/>
      </c>
      <c r="G85" s="16" t="str">
        <f aca="false">IF($A85="","",MAX(IF($C85="短期",00_はじめに!$B$20,IF($C85="中期",00_はじめに!$B$21,00_はじめに!$B$22)),IF($F85="採用",IFERROR(VLOOKUP($E85,$A:$H,8,0)+1,0),0)))</f>
        <v/>
      </c>
      <c r="H85" s="16" t="str">
        <f aca="false">IF($A85="","",MIN(36,$G85+$D85-1))</f>
        <v/>
      </c>
    </row>
    <row r="86" customFormat="false" ht="15" hidden="false" customHeight="false" outlineLevel="0" collapsed="false">
      <c r="A86" s="10" t="str">
        <f aca="false">08_ロードマップ!C86</f>
        <v/>
      </c>
      <c r="B86" s="10" t="str">
        <f aca="false">IF($A86="","",08_ロードマップ!D86)</f>
        <v/>
      </c>
      <c r="C86" s="16" t="str">
        <f aca="false">IF($A86="","",08_ロードマップ!A86)</f>
        <v/>
      </c>
      <c r="D86" s="16" t="str">
        <f aca="false">IF($A86="","",08_ロードマップ!F86)</f>
        <v/>
      </c>
      <c r="E86" s="16" t="str">
        <f aca="false">IF($A86="","",IFERROR(VLOOKUP($A86,04_依存関係マスター!$A:$C,3,0),""))</f>
        <v/>
      </c>
      <c r="F86" s="16" t="str">
        <f aca="false">IF($E86="","",IF(COUNTIFS(06_重複排除後!$A:$A,$E86,06_重複排除後!$H:$H,"○")&gt;0,"採用",""))</f>
        <v/>
      </c>
      <c r="G86" s="16" t="str">
        <f aca="false">IF($A86="","",MAX(IF($C86="短期",00_はじめに!$B$20,IF($C86="中期",00_はじめに!$B$21,00_はじめに!$B$22)),IF($F86="採用",IFERROR(VLOOKUP($E86,$A:$H,8,0)+1,0),0)))</f>
        <v/>
      </c>
      <c r="H86" s="16" t="str">
        <f aca="false">IF($A86="","",MIN(36,$G86+$D86-1))</f>
        <v/>
      </c>
    </row>
    <row r="87" customFormat="false" ht="15" hidden="false" customHeight="false" outlineLevel="0" collapsed="false">
      <c r="A87" s="10" t="str">
        <f aca="false">08_ロードマップ!C87</f>
        <v/>
      </c>
      <c r="B87" s="10" t="str">
        <f aca="false">IF($A87="","",08_ロードマップ!D87)</f>
        <v/>
      </c>
      <c r="C87" s="16" t="str">
        <f aca="false">IF($A87="","",08_ロードマップ!A87)</f>
        <v/>
      </c>
      <c r="D87" s="16" t="str">
        <f aca="false">IF($A87="","",08_ロードマップ!F87)</f>
        <v/>
      </c>
      <c r="E87" s="16" t="str">
        <f aca="false">IF($A87="","",IFERROR(VLOOKUP($A87,04_依存関係マスター!$A:$C,3,0),""))</f>
        <v/>
      </c>
      <c r="F87" s="16" t="str">
        <f aca="false">IF($E87="","",IF(COUNTIFS(06_重複排除後!$A:$A,$E87,06_重複排除後!$H:$H,"○")&gt;0,"採用",""))</f>
        <v/>
      </c>
      <c r="G87" s="16" t="str">
        <f aca="false">IF($A87="","",MAX(IF($C87="短期",00_はじめに!$B$20,IF($C87="中期",00_はじめに!$B$21,00_はじめに!$B$22)),IF($F87="採用",IFERROR(VLOOKUP($E87,$A:$H,8,0)+1,0),0)))</f>
        <v/>
      </c>
      <c r="H87" s="16" t="str">
        <f aca="false">IF($A87="","",MIN(36,$G87+$D87-1))</f>
        <v/>
      </c>
    </row>
    <row r="88" customFormat="false" ht="15" hidden="false" customHeight="false" outlineLevel="0" collapsed="false">
      <c r="A88" s="10" t="str">
        <f aca="false">08_ロードマップ!C88</f>
        <v/>
      </c>
      <c r="B88" s="10" t="str">
        <f aca="false">IF($A88="","",08_ロードマップ!D88)</f>
        <v/>
      </c>
      <c r="C88" s="16" t="str">
        <f aca="false">IF($A88="","",08_ロードマップ!A88)</f>
        <v/>
      </c>
      <c r="D88" s="16" t="str">
        <f aca="false">IF($A88="","",08_ロードマップ!F88)</f>
        <v/>
      </c>
      <c r="E88" s="16" t="str">
        <f aca="false">IF($A88="","",IFERROR(VLOOKUP($A88,04_依存関係マスター!$A:$C,3,0),""))</f>
        <v/>
      </c>
      <c r="F88" s="16" t="str">
        <f aca="false">IF($E88="","",IF(COUNTIFS(06_重複排除後!$A:$A,$E88,06_重複排除後!$H:$H,"○")&gt;0,"採用",""))</f>
        <v/>
      </c>
      <c r="G88" s="16" t="str">
        <f aca="false">IF($A88="","",MAX(IF($C88="短期",00_はじめに!$B$20,IF($C88="中期",00_はじめに!$B$21,00_はじめに!$B$22)),IF($F88="採用",IFERROR(VLOOKUP($E88,$A:$H,8,0)+1,0),0)))</f>
        <v/>
      </c>
      <c r="H88" s="16" t="str">
        <f aca="false">IF($A88="","",MIN(36,$G88+$D88-1))</f>
        <v/>
      </c>
    </row>
    <row r="89" customFormat="false" ht="15" hidden="false" customHeight="false" outlineLevel="0" collapsed="false">
      <c r="A89" s="10" t="str">
        <f aca="false">08_ロードマップ!C89</f>
        <v/>
      </c>
      <c r="B89" s="10" t="str">
        <f aca="false">IF($A89="","",08_ロードマップ!D89)</f>
        <v/>
      </c>
      <c r="C89" s="16" t="str">
        <f aca="false">IF($A89="","",08_ロードマップ!A89)</f>
        <v/>
      </c>
      <c r="D89" s="16" t="str">
        <f aca="false">IF($A89="","",08_ロードマップ!F89)</f>
        <v/>
      </c>
      <c r="E89" s="16" t="str">
        <f aca="false">IF($A89="","",IFERROR(VLOOKUP($A89,04_依存関係マスター!$A:$C,3,0),""))</f>
        <v/>
      </c>
      <c r="F89" s="16" t="str">
        <f aca="false">IF($E89="","",IF(COUNTIFS(06_重複排除後!$A:$A,$E89,06_重複排除後!$H:$H,"○")&gt;0,"採用",""))</f>
        <v/>
      </c>
      <c r="G89" s="16" t="str">
        <f aca="false">IF($A89="","",MAX(IF($C89="短期",00_はじめに!$B$20,IF($C89="中期",00_はじめに!$B$21,00_はじめに!$B$22)),IF($F89="採用",IFERROR(VLOOKUP($E89,$A:$H,8,0)+1,0),0)))</f>
        <v/>
      </c>
      <c r="H89" s="16" t="str">
        <f aca="false">IF($A89="","",MIN(36,$G89+$D89-1))</f>
        <v/>
      </c>
    </row>
    <row r="90" customFormat="false" ht="15" hidden="false" customHeight="false" outlineLevel="0" collapsed="false">
      <c r="A90" s="10" t="str">
        <f aca="false">08_ロードマップ!C90</f>
        <v/>
      </c>
      <c r="B90" s="10" t="str">
        <f aca="false">IF($A90="","",08_ロードマップ!D90)</f>
        <v/>
      </c>
      <c r="C90" s="16" t="str">
        <f aca="false">IF($A90="","",08_ロードマップ!A90)</f>
        <v/>
      </c>
      <c r="D90" s="16" t="str">
        <f aca="false">IF($A90="","",08_ロードマップ!F90)</f>
        <v/>
      </c>
      <c r="E90" s="16" t="str">
        <f aca="false">IF($A90="","",IFERROR(VLOOKUP($A90,04_依存関係マスター!$A:$C,3,0),""))</f>
        <v/>
      </c>
      <c r="F90" s="16" t="str">
        <f aca="false">IF($E90="","",IF(COUNTIFS(06_重複排除後!$A:$A,$E90,06_重複排除後!$H:$H,"○")&gt;0,"採用",""))</f>
        <v/>
      </c>
      <c r="G90" s="16" t="str">
        <f aca="false">IF($A90="","",MAX(IF($C90="短期",00_はじめに!$B$20,IF($C90="中期",00_はじめに!$B$21,00_はじめに!$B$22)),IF($F90="採用",IFERROR(VLOOKUP($E90,$A:$H,8,0)+1,0),0)))</f>
        <v/>
      </c>
      <c r="H90" s="16" t="str">
        <f aca="false">IF($A90="","",MIN(36,$G90+$D90-1))</f>
        <v/>
      </c>
    </row>
    <row r="91" customFormat="false" ht="15" hidden="false" customHeight="false" outlineLevel="0" collapsed="false">
      <c r="A91" s="10" t="str">
        <f aca="false">08_ロードマップ!C91</f>
        <v/>
      </c>
      <c r="B91" s="10" t="str">
        <f aca="false">IF($A91="","",08_ロードマップ!D91)</f>
        <v/>
      </c>
      <c r="C91" s="16" t="str">
        <f aca="false">IF($A91="","",08_ロードマップ!A91)</f>
        <v/>
      </c>
      <c r="D91" s="16" t="str">
        <f aca="false">IF($A91="","",08_ロードマップ!F91)</f>
        <v/>
      </c>
      <c r="E91" s="16" t="str">
        <f aca="false">IF($A91="","",IFERROR(VLOOKUP($A91,04_依存関係マスター!$A:$C,3,0),""))</f>
        <v/>
      </c>
      <c r="F91" s="16" t="str">
        <f aca="false">IF($E91="","",IF(COUNTIFS(06_重複排除後!$A:$A,$E91,06_重複排除後!$H:$H,"○")&gt;0,"採用",""))</f>
        <v/>
      </c>
      <c r="G91" s="16" t="str">
        <f aca="false">IF($A91="","",MAX(IF($C91="短期",00_はじめに!$B$20,IF($C91="中期",00_はじめに!$B$21,00_はじめに!$B$22)),IF($F91="採用",IFERROR(VLOOKUP($E91,$A:$H,8,0)+1,0),0)))</f>
        <v/>
      </c>
      <c r="H91" s="16" t="str">
        <f aca="false">IF($A91="","",MIN(36,$G91+$D91-1))</f>
        <v/>
      </c>
    </row>
    <row r="92" customFormat="false" ht="15" hidden="false" customHeight="false" outlineLevel="0" collapsed="false">
      <c r="A92" s="10" t="str">
        <f aca="false">08_ロードマップ!C92</f>
        <v/>
      </c>
      <c r="B92" s="10" t="str">
        <f aca="false">IF($A92="","",08_ロードマップ!D92)</f>
        <v/>
      </c>
      <c r="C92" s="16" t="str">
        <f aca="false">IF($A92="","",08_ロードマップ!A92)</f>
        <v/>
      </c>
      <c r="D92" s="16" t="str">
        <f aca="false">IF($A92="","",08_ロードマップ!F92)</f>
        <v/>
      </c>
      <c r="E92" s="16" t="str">
        <f aca="false">IF($A92="","",IFERROR(VLOOKUP($A92,04_依存関係マスター!$A:$C,3,0),""))</f>
        <v/>
      </c>
      <c r="F92" s="16" t="str">
        <f aca="false">IF($E92="","",IF(COUNTIFS(06_重複排除後!$A:$A,$E92,06_重複排除後!$H:$H,"○")&gt;0,"採用",""))</f>
        <v/>
      </c>
      <c r="G92" s="16" t="str">
        <f aca="false">IF($A92="","",MAX(IF($C92="短期",00_はじめに!$B$20,IF($C92="中期",00_はじめに!$B$21,00_はじめに!$B$22)),IF($F92="採用",IFERROR(VLOOKUP($E92,$A:$H,8,0)+1,0),0)))</f>
        <v/>
      </c>
      <c r="H92" s="16" t="str">
        <f aca="false">IF($A92="","",MIN(36,$G92+$D92-1))</f>
        <v/>
      </c>
    </row>
    <row r="93" customFormat="false" ht="15" hidden="false" customHeight="false" outlineLevel="0" collapsed="false">
      <c r="A93" s="10" t="str">
        <f aca="false">08_ロードマップ!C93</f>
        <v/>
      </c>
      <c r="B93" s="10" t="str">
        <f aca="false">IF($A93="","",08_ロードマップ!D93)</f>
        <v/>
      </c>
      <c r="C93" s="16" t="str">
        <f aca="false">IF($A93="","",08_ロードマップ!A93)</f>
        <v/>
      </c>
      <c r="D93" s="16" t="str">
        <f aca="false">IF($A93="","",08_ロードマップ!F93)</f>
        <v/>
      </c>
      <c r="E93" s="16" t="str">
        <f aca="false">IF($A93="","",IFERROR(VLOOKUP($A93,04_依存関係マスター!$A:$C,3,0),""))</f>
        <v/>
      </c>
      <c r="F93" s="16" t="str">
        <f aca="false">IF($E93="","",IF(COUNTIFS(06_重複排除後!$A:$A,$E93,06_重複排除後!$H:$H,"○")&gt;0,"採用",""))</f>
        <v/>
      </c>
      <c r="G93" s="16" t="str">
        <f aca="false">IF($A93="","",MAX(IF($C93="短期",00_はじめに!$B$20,IF($C93="中期",00_はじめに!$B$21,00_はじめに!$B$22)),IF($F93="採用",IFERROR(VLOOKUP($E93,$A:$H,8,0)+1,0),0)))</f>
        <v/>
      </c>
      <c r="H93" s="16" t="str">
        <f aca="false">IF($A93="","",MIN(36,$G93+$D93-1))</f>
        <v/>
      </c>
    </row>
    <row r="94" customFormat="false" ht="15" hidden="false" customHeight="false" outlineLevel="0" collapsed="false">
      <c r="A94" s="10" t="str">
        <f aca="false">08_ロードマップ!C94</f>
        <v/>
      </c>
      <c r="B94" s="10" t="str">
        <f aca="false">IF($A94="","",08_ロードマップ!D94)</f>
        <v/>
      </c>
      <c r="C94" s="16" t="str">
        <f aca="false">IF($A94="","",08_ロードマップ!A94)</f>
        <v/>
      </c>
      <c r="D94" s="16" t="str">
        <f aca="false">IF($A94="","",08_ロードマップ!F94)</f>
        <v/>
      </c>
      <c r="E94" s="16" t="str">
        <f aca="false">IF($A94="","",IFERROR(VLOOKUP($A94,04_依存関係マスター!$A:$C,3,0),""))</f>
        <v/>
      </c>
      <c r="F94" s="16" t="str">
        <f aca="false">IF($E94="","",IF(COUNTIFS(06_重複排除後!$A:$A,$E94,06_重複排除後!$H:$H,"○")&gt;0,"採用",""))</f>
        <v/>
      </c>
      <c r="G94" s="16" t="str">
        <f aca="false">IF($A94="","",MAX(IF($C94="短期",00_はじめに!$B$20,IF($C94="中期",00_はじめに!$B$21,00_はじめに!$B$22)),IF($F94="採用",IFERROR(VLOOKUP($E94,$A:$H,8,0)+1,0),0)))</f>
        <v/>
      </c>
      <c r="H94" s="16" t="str">
        <f aca="false">IF($A94="","",MIN(36,$G94+$D94-1))</f>
        <v/>
      </c>
    </row>
    <row r="95" customFormat="false" ht="15" hidden="false" customHeight="false" outlineLevel="0" collapsed="false">
      <c r="A95" s="10" t="str">
        <f aca="false">08_ロードマップ!C95</f>
        <v/>
      </c>
      <c r="B95" s="10" t="str">
        <f aca="false">IF($A95="","",08_ロードマップ!D95)</f>
        <v/>
      </c>
      <c r="C95" s="16" t="str">
        <f aca="false">IF($A95="","",08_ロードマップ!A95)</f>
        <v/>
      </c>
      <c r="D95" s="16" t="str">
        <f aca="false">IF($A95="","",08_ロードマップ!F95)</f>
        <v/>
      </c>
      <c r="E95" s="16" t="str">
        <f aca="false">IF($A95="","",IFERROR(VLOOKUP($A95,04_依存関係マスター!$A:$C,3,0),""))</f>
        <v/>
      </c>
      <c r="F95" s="16" t="str">
        <f aca="false">IF($E95="","",IF(COUNTIFS(06_重複排除後!$A:$A,$E95,06_重複排除後!$H:$H,"○")&gt;0,"採用",""))</f>
        <v/>
      </c>
      <c r="G95" s="16" t="str">
        <f aca="false">IF($A95="","",MAX(IF($C95="短期",00_はじめに!$B$20,IF($C95="中期",00_はじめに!$B$21,00_はじめに!$B$22)),IF($F95="採用",IFERROR(VLOOKUP($E95,$A:$H,8,0)+1,0),0)))</f>
        <v/>
      </c>
      <c r="H95" s="16" t="str">
        <f aca="false">IF($A95="","",MIN(36,$G95+$D95-1))</f>
        <v/>
      </c>
    </row>
    <row r="96" customFormat="false" ht="15" hidden="false" customHeight="false" outlineLevel="0" collapsed="false">
      <c r="A96" s="10" t="str">
        <f aca="false">08_ロードマップ!C96</f>
        <v/>
      </c>
      <c r="B96" s="10" t="str">
        <f aca="false">IF($A96="","",08_ロードマップ!D96)</f>
        <v/>
      </c>
      <c r="C96" s="16" t="str">
        <f aca="false">IF($A96="","",08_ロードマップ!A96)</f>
        <v/>
      </c>
      <c r="D96" s="16" t="str">
        <f aca="false">IF($A96="","",08_ロードマップ!F96)</f>
        <v/>
      </c>
      <c r="E96" s="16" t="str">
        <f aca="false">IF($A96="","",IFERROR(VLOOKUP($A96,04_依存関係マスター!$A:$C,3,0),""))</f>
        <v/>
      </c>
      <c r="F96" s="16" t="str">
        <f aca="false">IF($E96="","",IF(COUNTIFS(06_重複排除後!$A:$A,$E96,06_重複排除後!$H:$H,"○")&gt;0,"採用",""))</f>
        <v/>
      </c>
      <c r="G96" s="16" t="str">
        <f aca="false">IF($A96="","",MAX(IF($C96="短期",00_はじめに!$B$20,IF($C96="中期",00_はじめに!$B$21,00_はじめに!$B$22)),IF($F96="採用",IFERROR(VLOOKUP($E96,$A:$H,8,0)+1,0),0)))</f>
        <v/>
      </c>
      <c r="H96" s="16" t="str">
        <f aca="false">IF($A96="","",MIN(36,$G96+$D96-1))</f>
        <v/>
      </c>
    </row>
    <row r="97" customFormat="false" ht="15" hidden="false" customHeight="false" outlineLevel="0" collapsed="false">
      <c r="A97" s="10" t="str">
        <f aca="false">08_ロードマップ!C97</f>
        <v/>
      </c>
      <c r="B97" s="10" t="str">
        <f aca="false">IF($A97="","",08_ロードマップ!D97)</f>
        <v/>
      </c>
      <c r="C97" s="16" t="str">
        <f aca="false">IF($A97="","",08_ロードマップ!A97)</f>
        <v/>
      </c>
      <c r="D97" s="16" t="str">
        <f aca="false">IF($A97="","",08_ロードマップ!F97)</f>
        <v/>
      </c>
      <c r="E97" s="16" t="str">
        <f aca="false">IF($A97="","",IFERROR(VLOOKUP($A97,04_依存関係マスター!$A:$C,3,0),""))</f>
        <v/>
      </c>
      <c r="F97" s="16" t="str">
        <f aca="false">IF($E97="","",IF(COUNTIFS(06_重複排除後!$A:$A,$E97,06_重複排除後!$H:$H,"○")&gt;0,"採用",""))</f>
        <v/>
      </c>
      <c r="G97" s="16" t="str">
        <f aca="false">IF($A97="","",MAX(IF($C97="短期",00_はじめに!$B$20,IF($C97="中期",00_はじめに!$B$21,00_はじめに!$B$22)),IF($F97="採用",IFERROR(VLOOKUP($E97,$A:$H,8,0)+1,0),0)))</f>
        <v/>
      </c>
      <c r="H97" s="16" t="str">
        <f aca="false">IF($A97="","",MIN(36,$G97+$D97-1))</f>
        <v/>
      </c>
    </row>
    <row r="98" customFormat="false" ht="15" hidden="false" customHeight="false" outlineLevel="0" collapsed="false">
      <c r="A98" s="10" t="str">
        <f aca="false">08_ロードマップ!C98</f>
        <v/>
      </c>
      <c r="B98" s="10" t="str">
        <f aca="false">IF($A98="","",08_ロードマップ!D98)</f>
        <v/>
      </c>
      <c r="C98" s="16" t="str">
        <f aca="false">IF($A98="","",08_ロードマップ!A98)</f>
        <v/>
      </c>
      <c r="D98" s="16" t="str">
        <f aca="false">IF($A98="","",08_ロードマップ!F98)</f>
        <v/>
      </c>
      <c r="E98" s="16" t="str">
        <f aca="false">IF($A98="","",IFERROR(VLOOKUP($A98,04_依存関係マスター!$A:$C,3,0),""))</f>
        <v/>
      </c>
      <c r="F98" s="16" t="str">
        <f aca="false">IF($E98="","",IF(COUNTIFS(06_重複排除後!$A:$A,$E98,06_重複排除後!$H:$H,"○")&gt;0,"採用",""))</f>
        <v/>
      </c>
      <c r="G98" s="16" t="str">
        <f aca="false">IF($A98="","",MAX(IF($C98="短期",00_はじめに!$B$20,IF($C98="中期",00_はじめに!$B$21,00_はじめに!$B$22)),IF($F98="採用",IFERROR(VLOOKUP($E98,$A:$H,8,0)+1,0),0)))</f>
        <v/>
      </c>
      <c r="H98" s="16" t="str">
        <f aca="false">IF($A98="","",MIN(36,$G98+$D98-1))</f>
        <v/>
      </c>
    </row>
    <row r="99" customFormat="false" ht="15" hidden="false" customHeight="false" outlineLevel="0" collapsed="false">
      <c r="A99" s="10" t="str">
        <f aca="false">08_ロードマップ!C99</f>
        <v/>
      </c>
      <c r="B99" s="10" t="str">
        <f aca="false">IF($A99="","",08_ロードマップ!D99)</f>
        <v/>
      </c>
      <c r="C99" s="16" t="str">
        <f aca="false">IF($A99="","",08_ロードマップ!A99)</f>
        <v/>
      </c>
      <c r="D99" s="16" t="str">
        <f aca="false">IF($A99="","",08_ロードマップ!F99)</f>
        <v/>
      </c>
      <c r="E99" s="16" t="str">
        <f aca="false">IF($A99="","",IFERROR(VLOOKUP($A99,04_依存関係マスター!$A:$C,3,0),""))</f>
        <v/>
      </c>
      <c r="F99" s="16" t="str">
        <f aca="false">IF($E99="","",IF(COUNTIFS(06_重複排除後!$A:$A,$E99,06_重複排除後!$H:$H,"○")&gt;0,"採用",""))</f>
        <v/>
      </c>
      <c r="G99" s="16" t="str">
        <f aca="false">IF($A99="","",MAX(IF($C99="短期",00_はじめに!$B$20,IF($C99="中期",00_はじめに!$B$21,00_はじめに!$B$22)),IF($F99="採用",IFERROR(VLOOKUP($E99,$A:$H,8,0)+1,0),0)))</f>
        <v/>
      </c>
      <c r="H99" s="16" t="str">
        <f aca="false">IF($A99="","",MIN(36,$G99+$D99-1))</f>
        <v/>
      </c>
    </row>
    <row r="100" customFormat="false" ht="15" hidden="false" customHeight="false" outlineLevel="0" collapsed="false">
      <c r="A100" s="10" t="str">
        <f aca="false">08_ロードマップ!C100</f>
        <v/>
      </c>
      <c r="B100" s="10" t="str">
        <f aca="false">IF($A100="","",08_ロードマップ!D100)</f>
        <v/>
      </c>
      <c r="C100" s="16" t="str">
        <f aca="false">IF($A100="","",08_ロードマップ!A100)</f>
        <v/>
      </c>
      <c r="D100" s="16" t="str">
        <f aca="false">IF($A100="","",08_ロードマップ!F100)</f>
        <v/>
      </c>
      <c r="E100" s="16" t="str">
        <f aca="false">IF($A100="","",IFERROR(VLOOKUP($A100,04_依存関係マスター!$A:$C,3,0),""))</f>
        <v/>
      </c>
      <c r="F100" s="16" t="str">
        <f aca="false">IF($E100="","",IF(COUNTIFS(06_重複排除後!$A:$A,$E100,06_重複排除後!$H:$H,"○")&gt;0,"採用",""))</f>
        <v/>
      </c>
      <c r="G100" s="16" t="str">
        <f aca="false">IF($A100="","",MAX(IF($C100="短期",00_はじめに!$B$20,IF($C100="中期",00_はじめに!$B$21,00_はじめに!$B$22)),IF($F100="採用",IFERROR(VLOOKUP($E100,$A:$H,8,0)+1,0),0)))</f>
        <v/>
      </c>
      <c r="H100" s="16" t="str">
        <f aca="false">IF($A100="","",MIN(36,$G100+$D100-1))</f>
        <v/>
      </c>
    </row>
    <row r="101" customFormat="false" ht="15" hidden="false" customHeight="false" outlineLevel="0" collapsed="false">
      <c r="A101" s="10" t="str">
        <f aca="false">08_ロードマップ!C101</f>
        <v/>
      </c>
      <c r="B101" s="10" t="str">
        <f aca="false">IF($A101="","",08_ロードマップ!D101)</f>
        <v/>
      </c>
      <c r="C101" s="16" t="str">
        <f aca="false">IF($A101="","",08_ロードマップ!A101)</f>
        <v/>
      </c>
      <c r="D101" s="16" t="str">
        <f aca="false">IF($A101="","",08_ロードマップ!F101)</f>
        <v/>
      </c>
      <c r="E101" s="16" t="str">
        <f aca="false">IF($A101="","",IFERROR(VLOOKUP($A101,04_依存関係マスター!$A:$C,3,0),""))</f>
        <v/>
      </c>
      <c r="F101" s="16" t="str">
        <f aca="false">IF($E101="","",IF(COUNTIFS(06_重複排除後!$A:$A,$E101,06_重複排除後!$H:$H,"○")&gt;0,"採用",""))</f>
        <v/>
      </c>
      <c r="G101" s="16" t="str">
        <f aca="false">IF($A101="","",MAX(IF($C101="短期",00_はじめに!$B$20,IF($C101="中期",00_はじめに!$B$21,00_はじめに!$B$22)),IF($F101="採用",IFERROR(VLOOKUP($E101,$A:$H,8,0)+1,0),0)))</f>
        <v/>
      </c>
      <c r="H101" s="16" t="str">
        <f aca="false">IF($A101="","",MIN(36,$G101+$D101-1))</f>
        <v/>
      </c>
    </row>
    <row r="102" customFormat="false" ht="15" hidden="false" customHeight="false" outlineLevel="0" collapsed="false">
      <c r="A102" s="10" t="str">
        <f aca="false">08_ロードマップ!C102</f>
        <v/>
      </c>
      <c r="B102" s="10" t="str">
        <f aca="false">IF($A102="","",08_ロードマップ!D102)</f>
        <v/>
      </c>
      <c r="C102" s="16" t="str">
        <f aca="false">IF($A102="","",08_ロードマップ!A102)</f>
        <v/>
      </c>
      <c r="D102" s="16" t="str">
        <f aca="false">IF($A102="","",08_ロードマップ!F102)</f>
        <v/>
      </c>
      <c r="E102" s="16" t="str">
        <f aca="false">IF($A102="","",IFERROR(VLOOKUP($A102,04_依存関係マスター!$A:$C,3,0),""))</f>
        <v/>
      </c>
      <c r="F102" s="16" t="str">
        <f aca="false">IF($E102="","",IF(COUNTIFS(06_重複排除後!$A:$A,$E102,06_重複排除後!$H:$H,"○")&gt;0,"採用",""))</f>
        <v/>
      </c>
      <c r="G102" s="16" t="str">
        <f aca="false">IF($A102="","",MAX(IF($C102="短期",00_はじめに!$B$20,IF($C102="中期",00_はじめに!$B$21,00_はじめに!$B$22)),IF($F102="採用",IFERROR(VLOOKUP($E102,$A:$H,8,0)+1,0),0)))</f>
        <v/>
      </c>
      <c r="H102" s="16" t="str">
        <f aca="false">IF($A102="","",MIN(36,$G102+$D102-1))</f>
        <v/>
      </c>
    </row>
    <row r="103" customFormat="false" ht="15" hidden="false" customHeight="false" outlineLevel="0" collapsed="false">
      <c r="A103" s="10" t="str">
        <f aca="false">08_ロードマップ!C103</f>
        <v/>
      </c>
      <c r="B103" s="10" t="str">
        <f aca="false">IF($A103="","",08_ロードマップ!D103)</f>
        <v/>
      </c>
      <c r="C103" s="16" t="str">
        <f aca="false">IF($A103="","",08_ロードマップ!A103)</f>
        <v/>
      </c>
      <c r="D103" s="16" t="str">
        <f aca="false">IF($A103="","",08_ロードマップ!F103)</f>
        <v/>
      </c>
      <c r="E103" s="16" t="str">
        <f aca="false">IF($A103="","",IFERROR(VLOOKUP($A103,04_依存関係マスター!$A:$C,3,0),""))</f>
        <v/>
      </c>
      <c r="F103" s="16" t="str">
        <f aca="false">IF($E103="","",IF(COUNTIFS(06_重複排除後!$A:$A,$E103,06_重複排除後!$H:$H,"○")&gt;0,"採用",""))</f>
        <v/>
      </c>
      <c r="G103" s="16" t="str">
        <f aca="false">IF($A103="","",MAX(IF($C103="短期",00_はじめに!$B$20,IF($C103="中期",00_はじめに!$B$21,00_はじめに!$B$22)),IF($F103="採用",IFERROR(VLOOKUP($E103,$A:$H,8,0)+1,0),0)))</f>
        <v/>
      </c>
      <c r="H103" s="16" t="str">
        <f aca="false">IF($A103="","",MIN(36,$G103+$D103-1))</f>
        <v/>
      </c>
    </row>
    <row r="104" customFormat="false" ht="15" hidden="false" customHeight="false" outlineLevel="0" collapsed="false">
      <c r="A104" s="10" t="str">
        <f aca="false">08_ロードマップ!C104</f>
        <v/>
      </c>
      <c r="B104" s="10" t="str">
        <f aca="false">IF($A104="","",08_ロードマップ!D104)</f>
        <v/>
      </c>
      <c r="C104" s="16" t="str">
        <f aca="false">IF($A104="","",08_ロードマップ!A104)</f>
        <v/>
      </c>
      <c r="D104" s="16" t="str">
        <f aca="false">IF($A104="","",08_ロードマップ!F104)</f>
        <v/>
      </c>
      <c r="E104" s="16" t="str">
        <f aca="false">IF($A104="","",IFERROR(VLOOKUP($A104,04_依存関係マスター!$A:$C,3,0),""))</f>
        <v/>
      </c>
      <c r="F104" s="16" t="str">
        <f aca="false">IF($E104="","",IF(COUNTIFS(06_重複排除後!$A:$A,$E104,06_重複排除後!$H:$H,"○")&gt;0,"採用",""))</f>
        <v/>
      </c>
      <c r="G104" s="16" t="str">
        <f aca="false">IF($A104="","",MAX(IF($C104="短期",00_はじめに!$B$20,IF($C104="中期",00_はじめに!$B$21,00_はじめに!$B$22)),IF($F104="採用",IFERROR(VLOOKUP($E104,$A:$H,8,0)+1,0),0)))</f>
        <v/>
      </c>
      <c r="H104" s="16" t="str">
        <f aca="false">IF($A104="","",MIN(36,$G104+$D104-1))</f>
        <v/>
      </c>
    </row>
    <row r="105" customFormat="false" ht="15" hidden="false" customHeight="false" outlineLevel="0" collapsed="false">
      <c r="A105" s="10" t="str">
        <f aca="false">08_ロードマップ!C105</f>
        <v/>
      </c>
      <c r="B105" s="10" t="str">
        <f aca="false">IF($A105="","",08_ロードマップ!D105)</f>
        <v/>
      </c>
      <c r="C105" s="16" t="str">
        <f aca="false">IF($A105="","",08_ロードマップ!A105)</f>
        <v/>
      </c>
      <c r="D105" s="16" t="str">
        <f aca="false">IF($A105="","",08_ロードマップ!F105)</f>
        <v/>
      </c>
      <c r="E105" s="16" t="str">
        <f aca="false">IF($A105="","",IFERROR(VLOOKUP($A105,04_依存関係マスター!$A:$C,3,0),""))</f>
        <v/>
      </c>
      <c r="F105" s="16" t="str">
        <f aca="false">IF($E105="","",IF(COUNTIFS(06_重複排除後!$A:$A,$E105,06_重複排除後!$H:$H,"○")&gt;0,"採用",""))</f>
        <v/>
      </c>
      <c r="G105" s="16" t="str">
        <f aca="false">IF($A105="","",MAX(IF($C105="短期",00_はじめに!$B$20,IF($C105="中期",00_はじめに!$B$21,00_はじめに!$B$22)),IF($F105="採用",IFERROR(VLOOKUP($E105,$A:$H,8,0)+1,0),0)))</f>
        <v/>
      </c>
      <c r="H105" s="16" t="str">
        <f aca="false">IF($A105="","",MIN(36,$G105+$D105-1))</f>
        <v/>
      </c>
    </row>
    <row r="106" customFormat="false" ht="15" hidden="false" customHeight="false" outlineLevel="0" collapsed="false">
      <c r="A106" s="10" t="str">
        <f aca="false">08_ロードマップ!C106</f>
        <v/>
      </c>
      <c r="B106" s="10" t="str">
        <f aca="false">IF($A106="","",08_ロードマップ!D106)</f>
        <v/>
      </c>
      <c r="C106" s="16" t="str">
        <f aca="false">IF($A106="","",08_ロードマップ!A106)</f>
        <v/>
      </c>
      <c r="D106" s="16" t="str">
        <f aca="false">IF($A106="","",08_ロードマップ!F106)</f>
        <v/>
      </c>
      <c r="E106" s="16" t="str">
        <f aca="false">IF($A106="","",IFERROR(VLOOKUP($A106,04_依存関係マスター!$A:$C,3,0),""))</f>
        <v/>
      </c>
      <c r="F106" s="16" t="str">
        <f aca="false">IF($E106="","",IF(COUNTIFS(06_重複排除後!$A:$A,$E106,06_重複排除後!$H:$H,"○")&gt;0,"採用",""))</f>
        <v/>
      </c>
      <c r="G106" s="16" t="str">
        <f aca="false">IF($A106="","",MAX(IF($C106="短期",00_はじめに!$B$20,IF($C106="中期",00_はじめに!$B$21,00_はじめに!$B$22)),IF($F106="採用",IFERROR(VLOOKUP($E106,$A:$H,8,0)+1,0),0)))</f>
        <v/>
      </c>
      <c r="H106" s="16" t="str">
        <f aca="false">IF($A106="","",MIN(36,$G106+$D106-1))</f>
        <v/>
      </c>
    </row>
    <row r="107" customFormat="false" ht="15" hidden="false" customHeight="false" outlineLevel="0" collapsed="false">
      <c r="A107" s="10" t="str">
        <f aca="false">08_ロードマップ!C107</f>
        <v/>
      </c>
      <c r="B107" s="10" t="str">
        <f aca="false">IF($A107="","",08_ロードマップ!D107)</f>
        <v/>
      </c>
      <c r="C107" s="16" t="str">
        <f aca="false">IF($A107="","",08_ロードマップ!A107)</f>
        <v/>
      </c>
      <c r="D107" s="16" t="str">
        <f aca="false">IF($A107="","",08_ロードマップ!F107)</f>
        <v/>
      </c>
      <c r="E107" s="16" t="str">
        <f aca="false">IF($A107="","",IFERROR(VLOOKUP($A107,04_依存関係マスター!$A:$C,3,0),""))</f>
        <v/>
      </c>
      <c r="F107" s="16" t="str">
        <f aca="false">IF($E107="","",IF(COUNTIFS(06_重複排除後!$A:$A,$E107,06_重複排除後!$H:$H,"○")&gt;0,"採用",""))</f>
        <v/>
      </c>
      <c r="G107" s="16" t="str">
        <f aca="false">IF($A107="","",MAX(IF($C107="短期",00_はじめに!$B$20,IF($C107="中期",00_はじめに!$B$21,00_はじめに!$B$22)),IF($F107="採用",IFERROR(VLOOKUP($E107,$A:$H,8,0)+1,0),0)))</f>
        <v/>
      </c>
      <c r="H107" s="16" t="str">
        <f aca="false">IF($A107="","",MIN(36,$G107+$D107-1))</f>
        <v/>
      </c>
    </row>
    <row r="108" customFormat="false" ht="15" hidden="false" customHeight="false" outlineLevel="0" collapsed="false">
      <c r="A108" s="10" t="str">
        <f aca="false">08_ロードマップ!C108</f>
        <v/>
      </c>
      <c r="B108" s="10" t="str">
        <f aca="false">IF($A108="","",08_ロードマップ!D108)</f>
        <v/>
      </c>
      <c r="C108" s="16" t="str">
        <f aca="false">IF($A108="","",08_ロードマップ!A108)</f>
        <v/>
      </c>
      <c r="D108" s="16" t="str">
        <f aca="false">IF($A108="","",08_ロードマップ!F108)</f>
        <v/>
      </c>
      <c r="E108" s="16" t="str">
        <f aca="false">IF($A108="","",IFERROR(VLOOKUP($A108,04_依存関係マスター!$A:$C,3,0),""))</f>
        <v/>
      </c>
      <c r="F108" s="16" t="str">
        <f aca="false">IF($E108="","",IF(COUNTIFS(06_重複排除後!$A:$A,$E108,06_重複排除後!$H:$H,"○")&gt;0,"採用",""))</f>
        <v/>
      </c>
      <c r="G108" s="16" t="str">
        <f aca="false">IF($A108="","",MAX(IF($C108="短期",00_はじめに!$B$20,IF($C108="中期",00_はじめに!$B$21,00_はじめに!$B$22)),IF($F108="採用",IFERROR(VLOOKUP($E108,$A:$H,8,0)+1,0),0)))</f>
        <v/>
      </c>
      <c r="H108" s="16" t="str">
        <f aca="false">IF($A108="","",MIN(36,$G108+$D108-1))</f>
        <v/>
      </c>
    </row>
    <row r="109" customFormat="false" ht="15" hidden="false" customHeight="false" outlineLevel="0" collapsed="false">
      <c r="A109" s="10" t="str">
        <f aca="false">08_ロードマップ!C109</f>
        <v/>
      </c>
      <c r="B109" s="10" t="str">
        <f aca="false">IF($A109="","",08_ロードマップ!D109)</f>
        <v/>
      </c>
      <c r="C109" s="16" t="str">
        <f aca="false">IF($A109="","",08_ロードマップ!A109)</f>
        <v/>
      </c>
      <c r="D109" s="16" t="str">
        <f aca="false">IF($A109="","",08_ロードマップ!F109)</f>
        <v/>
      </c>
      <c r="E109" s="16" t="str">
        <f aca="false">IF($A109="","",IFERROR(VLOOKUP($A109,04_依存関係マスター!$A:$C,3,0),""))</f>
        <v/>
      </c>
      <c r="F109" s="16" t="str">
        <f aca="false">IF($E109="","",IF(COUNTIFS(06_重複排除後!$A:$A,$E109,06_重複排除後!$H:$H,"○")&gt;0,"採用",""))</f>
        <v/>
      </c>
      <c r="G109" s="16" t="str">
        <f aca="false">IF($A109="","",MAX(IF($C109="短期",00_はじめに!$B$20,IF($C109="中期",00_はじめに!$B$21,00_はじめに!$B$22)),IF($F109="採用",IFERROR(VLOOKUP($E109,$A:$H,8,0)+1,0),0)))</f>
        <v/>
      </c>
      <c r="H109" s="16" t="str">
        <f aca="false">IF($A109="","",MIN(36,$G109+$D109-1))</f>
        <v/>
      </c>
    </row>
    <row r="110" customFormat="false" ht="15" hidden="false" customHeight="false" outlineLevel="0" collapsed="false">
      <c r="A110" s="10" t="str">
        <f aca="false">08_ロードマップ!C110</f>
        <v/>
      </c>
      <c r="B110" s="10" t="str">
        <f aca="false">IF($A110="","",08_ロードマップ!D110)</f>
        <v/>
      </c>
      <c r="C110" s="16" t="str">
        <f aca="false">IF($A110="","",08_ロードマップ!A110)</f>
        <v/>
      </c>
      <c r="D110" s="16" t="str">
        <f aca="false">IF($A110="","",08_ロードマップ!F110)</f>
        <v/>
      </c>
      <c r="E110" s="16" t="str">
        <f aca="false">IF($A110="","",IFERROR(VLOOKUP($A110,04_依存関係マスター!$A:$C,3,0),""))</f>
        <v/>
      </c>
      <c r="F110" s="16" t="str">
        <f aca="false">IF($E110="","",IF(COUNTIFS(06_重複排除後!$A:$A,$E110,06_重複排除後!$H:$H,"○")&gt;0,"採用",""))</f>
        <v/>
      </c>
      <c r="G110" s="16" t="str">
        <f aca="false">IF($A110="","",MAX(IF($C110="短期",00_はじめに!$B$20,IF($C110="中期",00_はじめに!$B$21,00_はじめに!$B$22)),IF($F110="採用",IFERROR(VLOOKUP($E110,$A:$H,8,0)+1,0),0)))</f>
        <v/>
      </c>
      <c r="H110" s="16" t="str">
        <f aca="false">IF($A110="","",MIN(36,$G110+$D110-1))</f>
        <v/>
      </c>
    </row>
    <row r="111" customFormat="false" ht="15" hidden="false" customHeight="false" outlineLevel="0" collapsed="false">
      <c r="A111" s="10" t="str">
        <f aca="false">08_ロードマップ!C111</f>
        <v/>
      </c>
      <c r="B111" s="10" t="str">
        <f aca="false">IF($A111="","",08_ロードマップ!D111)</f>
        <v/>
      </c>
      <c r="C111" s="16" t="str">
        <f aca="false">IF($A111="","",08_ロードマップ!A111)</f>
        <v/>
      </c>
      <c r="D111" s="16" t="str">
        <f aca="false">IF($A111="","",08_ロードマップ!F111)</f>
        <v/>
      </c>
      <c r="E111" s="16" t="str">
        <f aca="false">IF($A111="","",IFERROR(VLOOKUP($A111,04_依存関係マスター!$A:$C,3,0),""))</f>
        <v/>
      </c>
      <c r="F111" s="16" t="str">
        <f aca="false">IF($E111="","",IF(COUNTIFS(06_重複排除後!$A:$A,$E111,06_重複排除後!$H:$H,"○")&gt;0,"採用",""))</f>
        <v/>
      </c>
      <c r="G111" s="16" t="str">
        <f aca="false">IF($A111="","",MAX(IF($C111="短期",00_はじめに!$B$20,IF($C111="中期",00_はじめに!$B$21,00_はじめに!$B$22)),IF($F111="採用",IFERROR(VLOOKUP($E111,$A:$H,8,0)+1,0),0)))</f>
        <v/>
      </c>
      <c r="H111" s="16" t="str">
        <f aca="false">IF($A111="","",MIN(36,$G111+$D111-1))</f>
        <v/>
      </c>
    </row>
    <row r="112" customFormat="false" ht="15" hidden="false" customHeight="false" outlineLevel="0" collapsed="false">
      <c r="A112" s="10" t="str">
        <f aca="false">08_ロードマップ!C112</f>
        <v/>
      </c>
      <c r="B112" s="10" t="str">
        <f aca="false">IF($A112="","",08_ロードマップ!D112)</f>
        <v/>
      </c>
      <c r="C112" s="16" t="str">
        <f aca="false">IF($A112="","",08_ロードマップ!A112)</f>
        <v/>
      </c>
      <c r="D112" s="16" t="str">
        <f aca="false">IF($A112="","",08_ロードマップ!F112)</f>
        <v/>
      </c>
      <c r="E112" s="16" t="str">
        <f aca="false">IF($A112="","",IFERROR(VLOOKUP($A112,04_依存関係マスター!$A:$C,3,0),""))</f>
        <v/>
      </c>
      <c r="F112" s="16" t="str">
        <f aca="false">IF($E112="","",IF(COUNTIFS(06_重複排除後!$A:$A,$E112,06_重複排除後!$H:$H,"○")&gt;0,"採用",""))</f>
        <v/>
      </c>
      <c r="G112" s="16" t="str">
        <f aca="false">IF($A112="","",MAX(IF($C112="短期",00_はじめに!$B$20,IF($C112="中期",00_はじめに!$B$21,00_はじめに!$B$22)),IF($F112="採用",IFERROR(VLOOKUP($E112,$A:$H,8,0)+1,0),0)))</f>
        <v/>
      </c>
      <c r="H112" s="16" t="str">
        <f aca="false">IF($A112="","",MIN(36,$G112+$D112-1))</f>
        <v/>
      </c>
    </row>
    <row r="113" customFormat="false" ht="15" hidden="false" customHeight="false" outlineLevel="0" collapsed="false">
      <c r="A113" s="10" t="str">
        <f aca="false">08_ロードマップ!C113</f>
        <v/>
      </c>
      <c r="B113" s="10" t="str">
        <f aca="false">IF($A113="","",08_ロードマップ!D113)</f>
        <v/>
      </c>
      <c r="C113" s="16" t="str">
        <f aca="false">IF($A113="","",08_ロードマップ!A113)</f>
        <v/>
      </c>
      <c r="D113" s="16" t="str">
        <f aca="false">IF($A113="","",08_ロードマップ!F113)</f>
        <v/>
      </c>
      <c r="E113" s="16" t="str">
        <f aca="false">IF($A113="","",IFERROR(VLOOKUP($A113,04_依存関係マスター!$A:$C,3,0),""))</f>
        <v/>
      </c>
      <c r="F113" s="16" t="str">
        <f aca="false">IF($E113="","",IF(COUNTIFS(06_重複排除後!$A:$A,$E113,06_重複排除後!$H:$H,"○")&gt;0,"採用",""))</f>
        <v/>
      </c>
      <c r="G113" s="16" t="str">
        <f aca="false">IF($A113="","",MAX(IF($C113="短期",00_はじめに!$B$20,IF($C113="中期",00_はじめに!$B$21,00_はじめに!$B$22)),IF($F113="採用",IFERROR(VLOOKUP($E113,$A:$H,8,0)+1,0),0)))</f>
        <v/>
      </c>
      <c r="H113" s="16" t="str">
        <f aca="false">IF($A113="","",MIN(36,$G113+$D113-1))</f>
        <v/>
      </c>
    </row>
    <row r="114" customFormat="false" ht="15" hidden="false" customHeight="false" outlineLevel="0" collapsed="false">
      <c r="A114" s="10" t="str">
        <f aca="false">08_ロードマップ!C114</f>
        <v/>
      </c>
      <c r="B114" s="10" t="str">
        <f aca="false">IF($A114="","",08_ロードマップ!D114)</f>
        <v/>
      </c>
      <c r="C114" s="16" t="str">
        <f aca="false">IF($A114="","",08_ロードマップ!A114)</f>
        <v/>
      </c>
      <c r="D114" s="16" t="str">
        <f aca="false">IF($A114="","",08_ロードマップ!F114)</f>
        <v/>
      </c>
      <c r="E114" s="16" t="str">
        <f aca="false">IF($A114="","",IFERROR(VLOOKUP($A114,04_依存関係マスター!$A:$C,3,0),""))</f>
        <v/>
      </c>
      <c r="F114" s="16" t="str">
        <f aca="false">IF($E114="","",IF(COUNTIFS(06_重複排除後!$A:$A,$E114,06_重複排除後!$H:$H,"○")&gt;0,"採用",""))</f>
        <v/>
      </c>
      <c r="G114" s="16" t="str">
        <f aca="false">IF($A114="","",MAX(IF($C114="短期",00_はじめに!$B$20,IF($C114="中期",00_はじめに!$B$21,00_はじめに!$B$22)),IF($F114="採用",IFERROR(VLOOKUP($E114,$A:$H,8,0)+1,0),0)))</f>
        <v/>
      </c>
      <c r="H114" s="16" t="str">
        <f aca="false">IF($A114="","",MIN(36,$G114+$D114-1))</f>
        <v/>
      </c>
    </row>
    <row r="115" customFormat="false" ht="15" hidden="false" customHeight="false" outlineLevel="0" collapsed="false">
      <c r="A115" s="10" t="str">
        <f aca="false">08_ロードマップ!C115</f>
        <v/>
      </c>
      <c r="B115" s="10" t="str">
        <f aca="false">IF($A115="","",08_ロードマップ!D115)</f>
        <v/>
      </c>
      <c r="C115" s="16" t="str">
        <f aca="false">IF($A115="","",08_ロードマップ!A115)</f>
        <v/>
      </c>
      <c r="D115" s="16" t="str">
        <f aca="false">IF($A115="","",08_ロードマップ!F115)</f>
        <v/>
      </c>
      <c r="E115" s="16" t="str">
        <f aca="false">IF($A115="","",IFERROR(VLOOKUP($A115,04_依存関係マスター!$A:$C,3,0),""))</f>
        <v/>
      </c>
      <c r="F115" s="16" t="str">
        <f aca="false">IF($E115="","",IF(COUNTIFS(06_重複排除後!$A:$A,$E115,06_重複排除後!$H:$H,"○")&gt;0,"採用",""))</f>
        <v/>
      </c>
      <c r="G115" s="16" t="str">
        <f aca="false">IF($A115="","",MAX(IF($C115="短期",00_はじめに!$B$20,IF($C115="中期",00_はじめに!$B$21,00_はじめに!$B$22)),IF($F115="採用",IFERROR(VLOOKUP($E115,$A:$H,8,0)+1,0),0)))</f>
        <v/>
      </c>
      <c r="H115" s="16" t="str">
        <f aca="false">IF($A115="","",MIN(36,$G115+$D115-1))</f>
        <v/>
      </c>
    </row>
    <row r="116" customFormat="false" ht="15" hidden="false" customHeight="false" outlineLevel="0" collapsed="false">
      <c r="A116" s="10" t="str">
        <f aca="false">08_ロードマップ!C116</f>
        <v/>
      </c>
      <c r="B116" s="10" t="str">
        <f aca="false">IF($A116="","",08_ロードマップ!D116)</f>
        <v/>
      </c>
      <c r="C116" s="16" t="str">
        <f aca="false">IF($A116="","",08_ロードマップ!A116)</f>
        <v/>
      </c>
      <c r="D116" s="16" t="str">
        <f aca="false">IF($A116="","",08_ロードマップ!F116)</f>
        <v/>
      </c>
      <c r="E116" s="16" t="str">
        <f aca="false">IF($A116="","",IFERROR(VLOOKUP($A116,04_依存関係マスター!$A:$C,3,0),""))</f>
        <v/>
      </c>
      <c r="F116" s="16" t="str">
        <f aca="false">IF($E116="","",IF(COUNTIFS(06_重複排除後!$A:$A,$E116,06_重複排除後!$H:$H,"○")&gt;0,"採用",""))</f>
        <v/>
      </c>
      <c r="G116" s="16" t="str">
        <f aca="false">IF($A116="","",MAX(IF($C116="短期",00_はじめに!$B$20,IF($C116="中期",00_はじめに!$B$21,00_はじめに!$B$22)),IF($F116="採用",IFERROR(VLOOKUP($E116,$A:$H,8,0)+1,0),0)))</f>
        <v/>
      </c>
      <c r="H116" s="16" t="str">
        <f aca="false">IF($A116="","",MIN(36,$G116+$D116-1))</f>
        <v/>
      </c>
    </row>
    <row r="117" customFormat="false" ht="15" hidden="false" customHeight="false" outlineLevel="0" collapsed="false">
      <c r="A117" s="10" t="str">
        <f aca="false">08_ロードマップ!C117</f>
        <v/>
      </c>
      <c r="B117" s="10" t="str">
        <f aca="false">IF($A117="","",08_ロードマップ!D117)</f>
        <v/>
      </c>
      <c r="C117" s="16" t="str">
        <f aca="false">IF($A117="","",08_ロードマップ!A117)</f>
        <v/>
      </c>
      <c r="D117" s="16" t="str">
        <f aca="false">IF($A117="","",08_ロードマップ!F117)</f>
        <v/>
      </c>
      <c r="E117" s="16" t="str">
        <f aca="false">IF($A117="","",IFERROR(VLOOKUP($A117,04_依存関係マスター!$A:$C,3,0),""))</f>
        <v/>
      </c>
      <c r="F117" s="16" t="str">
        <f aca="false">IF($E117="","",IF(COUNTIFS(06_重複排除後!$A:$A,$E117,06_重複排除後!$H:$H,"○")&gt;0,"採用",""))</f>
        <v/>
      </c>
      <c r="G117" s="16" t="str">
        <f aca="false">IF($A117="","",MAX(IF($C117="短期",00_はじめに!$B$20,IF($C117="中期",00_はじめに!$B$21,00_はじめに!$B$22)),IF($F117="採用",IFERROR(VLOOKUP($E117,$A:$H,8,0)+1,0),0)))</f>
        <v/>
      </c>
      <c r="H117" s="16" t="str">
        <f aca="false">IF($A117="","",MIN(36,$G117+$D117-1))</f>
        <v/>
      </c>
    </row>
    <row r="118" customFormat="false" ht="15" hidden="false" customHeight="false" outlineLevel="0" collapsed="false">
      <c r="A118" s="10" t="str">
        <f aca="false">08_ロードマップ!C118</f>
        <v/>
      </c>
      <c r="B118" s="10" t="str">
        <f aca="false">IF($A118="","",08_ロードマップ!D118)</f>
        <v/>
      </c>
      <c r="C118" s="16" t="str">
        <f aca="false">IF($A118="","",08_ロードマップ!A118)</f>
        <v/>
      </c>
      <c r="D118" s="16" t="str">
        <f aca="false">IF($A118="","",08_ロードマップ!F118)</f>
        <v/>
      </c>
      <c r="E118" s="16" t="str">
        <f aca="false">IF($A118="","",IFERROR(VLOOKUP($A118,04_依存関係マスター!$A:$C,3,0),""))</f>
        <v/>
      </c>
      <c r="F118" s="16" t="str">
        <f aca="false">IF($E118="","",IF(COUNTIFS(06_重複排除後!$A:$A,$E118,06_重複排除後!$H:$H,"○")&gt;0,"採用",""))</f>
        <v/>
      </c>
      <c r="G118" s="16" t="str">
        <f aca="false">IF($A118="","",MAX(IF($C118="短期",00_はじめに!$B$20,IF($C118="中期",00_はじめに!$B$21,00_はじめに!$B$22)),IF($F118="採用",IFERROR(VLOOKUP($E118,$A:$H,8,0)+1,0),0)))</f>
        <v/>
      </c>
      <c r="H118" s="16" t="str">
        <f aca="false">IF($A118="","",MIN(36,$G118+$D118-1))</f>
        <v/>
      </c>
    </row>
    <row r="119" customFormat="false" ht="15" hidden="false" customHeight="false" outlineLevel="0" collapsed="false">
      <c r="A119" s="10" t="str">
        <f aca="false">08_ロードマップ!C119</f>
        <v/>
      </c>
      <c r="B119" s="10" t="str">
        <f aca="false">IF($A119="","",08_ロードマップ!D119)</f>
        <v/>
      </c>
      <c r="C119" s="16" t="str">
        <f aca="false">IF($A119="","",08_ロードマップ!A119)</f>
        <v/>
      </c>
      <c r="D119" s="16" t="str">
        <f aca="false">IF($A119="","",08_ロードマップ!F119)</f>
        <v/>
      </c>
      <c r="E119" s="16" t="str">
        <f aca="false">IF($A119="","",IFERROR(VLOOKUP($A119,04_依存関係マスター!$A:$C,3,0),""))</f>
        <v/>
      </c>
      <c r="F119" s="16" t="str">
        <f aca="false">IF($E119="","",IF(COUNTIFS(06_重複排除後!$A:$A,$E119,06_重複排除後!$H:$H,"○")&gt;0,"採用",""))</f>
        <v/>
      </c>
      <c r="G119" s="16" t="str">
        <f aca="false">IF($A119="","",MAX(IF($C119="短期",00_はじめに!$B$20,IF($C119="中期",00_はじめに!$B$21,00_はじめに!$B$22)),IF($F119="採用",IFERROR(VLOOKUP($E119,$A:$H,8,0)+1,0),0)))</f>
        <v/>
      </c>
      <c r="H119" s="16" t="str">
        <f aca="false">IF($A119="","",MIN(36,$G119+$D119-1))</f>
        <v/>
      </c>
    </row>
    <row r="120" customFormat="false" ht="15" hidden="false" customHeight="false" outlineLevel="0" collapsed="false">
      <c r="A120" s="10" t="str">
        <f aca="false">08_ロードマップ!C120</f>
        <v/>
      </c>
      <c r="B120" s="10" t="str">
        <f aca="false">IF($A120="","",08_ロードマップ!D120)</f>
        <v/>
      </c>
      <c r="C120" s="16" t="str">
        <f aca="false">IF($A120="","",08_ロードマップ!A120)</f>
        <v/>
      </c>
      <c r="D120" s="16" t="str">
        <f aca="false">IF($A120="","",08_ロードマップ!F120)</f>
        <v/>
      </c>
      <c r="E120" s="16" t="str">
        <f aca="false">IF($A120="","",IFERROR(VLOOKUP($A120,04_依存関係マスター!$A:$C,3,0),""))</f>
        <v/>
      </c>
      <c r="F120" s="16" t="str">
        <f aca="false">IF($E120="","",IF(COUNTIFS(06_重複排除後!$A:$A,$E120,06_重複排除後!$H:$H,"○")&gt;0,"採用",""))</f>
        <v/>
      </c>
      <c r="G120" s="16" t="str">
        <f aca="false">IF($A120="","",MAX(IF($C120="短期",00_はじめに!$B$20,IF($C120="中期",00_はじめに!$B$21,00_はじめに!$B$22)),IF($F120="採用",IFERROR(VLOOKUP($E120,$A:$H,8,0)+1,0),0)))</f>
        <v/>
      </c>
      <c r="H120" s="16" t="str">
        <f aca="false">IF($A120="","",MIN(36,$G120+$D120-1))</f>
        <v/>
      </c>
    </row>
    <row r="121" customFormat="false" ht="15" hidden="false" customHeight="false" outlineLevel="0" collapsed="false">
      <c r="A121" s="10" t="str">
        <f aca="false">08_ロードマップ!C121</f>
        <v/>
      </c>
      <c r="B121" s="10" t="str">
        <f aca="false">IF($A121="","",08_ロードマップ!D121)</f>
        <v/>
      </c>
      <c r="C121" s="16" t="str">
        <f aca="false">IF($A121="","",08_ロードマップ!A121)</f>
        <v/>
      </c>
      <c r="D121" s="16" t="str">
        <f aca="false">IF($A121="","",08_ロードマップ!F121)</f>
        <v/>
      </c>
      <c r="E121" s="16" t="str">
        <f aca="false">IF($A121="","",IFERROR(VLOOKUP($A121,04_依存関係マスター!$A:$C,3,0),""))</f>
        <v/>
      </c>
      <c r="F121" s="16" t="str">
        <f aca="false">IF($E121="","",IF(COUNTIFS(06_重複排除後!$A:$A,$E121,06_重複排除後!$H:$H,"○")&gt;0,"採用",""))</f>
        <v/>
      </c>
      <c r="G121" s="16" t="str">
        <f aca="false">IF($A121="","",MAX(IF($C121="短期",00_はじめに!$B$20,IF($C121="中期",00_はじめに!$B$21,00_はじめに!$B$22)),IF($F121="採用",IFERROR(VLOOKUP($E121,$A:$H,8,0)+1,0),0)))</f>
        <v/>
      </c>
      <c r="H121" s="16" t="str">
        <f aca="false">IF($A121="","",MIN(36,$G121+$D121-1))</f>
        <v/>
      </c>
    </row>
    <row r="122" customFormat="false" ht="15" hidden="false" customHeight="false" outlineLevel="0" collapsed="false">
      <c r="A122" s="10" t="str">
        <f aca="false">08_ロードマップ!C122</f>
        <v/>
      </c>
      <c r="B122" s="10" t="str">
        <f aca="false">IF($A122="","",08_ロードマップ!D122)</f>
        <v/>
      </c>
      <c r="C122" s="16" t="str">
        <f aca="false">IF($A122="","",08_ロードマップ!A122)</f>
        <v/>
      </c>
      <c r="D122" s="16" t="str">
        <f aca="false">IF($A122="","",08_ロードマップ!F122)</f>
        <v/>
      </c>
      <c r="E122" s="16" t="str">
        <f aca="false">IF($A122="","",IFERROR(VLOOKUP($A122,04_依存関係マスター!$A:$C,3,0),""))</f>
        <v/>
      </c>
      <c r="F122" s="16" t="str">
        <f aca="false">IF($E122="","",IF(COUNTIFS(06_重複排除後!$A:$A,$E122,06_重複排除後!$H:$H,"○")&gt;0,"採用",""))</f>
        <v/>
      </c>
      <c r="G122" s="16" t="str">
        <f aca="false">IF($A122="","",MAX(IF($C122="短期",00_はじめに!$B$20,IF($C122="中期",00_はじめに!$B$21,00_はじめに!$B$22)),IF($F122="採用",IFERROR(VLOOKUP($E122,$A:$H,8,0)+1,0),0)))</f>
        <v/>
      </c>
      <c r="H122" s="16" t="str">
        <f aca="false">IF($A122="","",MIN(36,$G122+$D122-1))</f>
        <v/>
      </c>
    </row>
    <row r="123" customFormat="false" ht="15" hidden="false" customHeight="false" outlineLevel="0" collapsed="false">
      <c r="A123" s="10" t="str">
        <f aca="false">08_ロードマップ!C123</f>
        <v/>
      </c>
      <c r="B123" s="10" t="str">
        <f aca="false">IF($A123="","",08_ロードマップ!D123)</f>
        <v/>
      </c>
      <c r="C123" s="16" t="str">
        <f aca="false">IF($A123="","",08_ロードマップ!A123)</f>
        <v/>
      </c>
      <c r="D123" s="16" t="str">
        <f aca="false">IF($A123="","",08_ロードマップ!F123)</f>
        <v/>
      </c>
      <c r="E123" s="16" t="str">
        <f aca="false">IF($A123="","",IFERROR(VLOOKUP($A123,04_依存関係マスター!$A:$C,3,0),""))</f>
        <v/>
      </c>
      <c r="F123" s="16" t="str">
        <f aca="false">IF($E123="","",IF(COUNTIFS(06_重複排除後!$A:$A,$E123,06_重複排除後!$H:$H,"○")&gt;0,"採用",""))</f>
        <v/>
      </c>
      <c r="G123" s="16" t="str">
        <f aca="false">IF($A123="","",MAX(IF($C123="短期",00_はじめに!$B$20,IF($C123="中期",00_はじめに!$B$21,00_はじめに!$B$22)),IF($F123="採用",IFERROR(VLOOKUP($E123,$A:$H,8,0)+1,0),0)))</f>
        <v/>
      </c>
      <c r="H123" s="16" t="str">
        <f aca="false">IF($A123="","",MIN(36,$G123+$D123-1))</f>
        <v/>
      </c>
    </row>
    <row r="124" customFormat="false" ht="15" hidden="false" customHeight="false" outlineLevel="0" collapsed="false">
      <c r="A124" s="10" t="str">
        <f aca="false">08_ロードマップ!C124</f>
        <v/>
      </c>
      <c r="B124" s="10" t="str">
        <f aca="false">IF($A124="","",08_ロードマップ!D124)</f>
        <v/>
      </c>
      <c r="C124" s="16" t="str">
        <f aca="false">IF($A124="","",08_ロードマップ!A124)</f>
        <v/>
      </c>
      <c r="D124" s="16" t="str">
        <f aca="false">IF($A124="","",08_ロードマップ!F124)</f>
        <v/>
      </c>
      <c r="E124" s="16" t="str">
        <f aca="false">IF($A124="","",IFERROR(VLOOKUP($A124,04_依存関係マスター!$A:$C,3,0),""))</f>
        <v/>
      </c>
      <c r="F124" s="16" t="str">
        <f aca="false">IF($E124="","",IF(COUNTIFS(06_重複排除後!$A:$A,$E124,06_重複排除後!$H:$H,"○")&gt;0,"採用",""))</f>
        <v/>
      </c>
      <c r="G124" s="16" t="str">
        <f aca="false">IF($A124="","",MAX(IF($C124="短期",00_はじめに!$B$20,IF($C124="中期",00_はじめに!$B$21,00_はじめに!$B$22)),IF($F124="採用",IFERROR(VLOOKUP($E124,$A:$H,8,0)+1,0),0)))</f>
        <v/>
      </c>
      <c r="H124" s="16" t="str">
        <f aca="false">IF($A124="","",MIN(36,$G124+$D124-1))</f>
        <v/>
      </c>
    </row>
    <row r="125" customFormat="false" ht="15" hidden="false" customHeight="false" outlineLevel="0" collapsed="false">
      <c r="A125" s="10" t="str">
        <f aca="false">08_ロードマップ!C125</f>
        <v/>
      </c>
      <c r="B125" s="10" t="str">
        <f aca="false">IF($A125="","",08_ロードマップ!D125)</f>
        <v/>
      </c>
      <c r="C125" s="16" t="str">
        <f aca="false">IF($A125="","",08_ロードマップ!A125)</f>
        <v/>
      </c>
      <c r="D125" s="16" t="str">
        <f aca="false">IF($A125="","",08_ロードマップ!F125)</f>
        <v/>
      </c>
      <c r="E125" s="16" t="str">
        <f aca="false">IF($A125="","",IFERROR(VLOOKUP($A125,04_依存関係マスター!$A:$C,3,0),""))</f>
        <v/>
      </c>
      <c r="F125" s="16" t="str">
        <f aca="false">IF($E125="","",IF(COUNTIFS(06_重複排除後!$A:$A,$E125,06_重複排除後!$H:$H,"○")&gt;0,"採用",""))</f>
        <v/>
      </c>
      <c r="G125" s="16" t="str">
        <f aca="false">IF($A125="","",MAX(IF($C125="短期",00_はじめに!$B$20,IF($C125="中期",00_はじめに!$B$21,00_はじめに!$B$22)),IF($F125="採用",IFERROR(VLOOKUP($E125,$A:$H,8,0)+1,0),0)))</f>
        <v/>
      </c>
      <c r="H125" s="16" t="str">
        <f aca="false">IF($A125="","",MIN(36,$G125+$D125-1))</f>
        <v/>
      </c>
    </row>
    <row r="126" customFormat="false" ht="15" hidden="false" customHeight="false" outlineLevel="0" collapsed="false">
      <c r="A126" s="10" t="str">
        <f aca="false">08_ロードマップ!C126</f>
        <v/>
      </c>
      <c r="B126" s="10" t="str">
        <f aca="false">IF($A126="","",08_ロードマップ!D126)</f>
        <v/>
      </c>
      <c r="C126" s="16" t="str">
        <f aca="false">IF($A126="","",08_ロードマップ!A126)</f>
        <v/>
      </c>
      <c r="D126" s="16" t="str">
        <f aca="false">IF($A126="","",08_ロードマップ!F126)</f>
        <v/>
      </c>
      <c r="E126" s="16" t="str">
        <f aca="false">IF($A126="","",IFERROR(VLOOKUP($A126,04_依存関係マスター!$A:$C,3,0),""))</f>
        <v/>
      </c>
      <c r="F126" s="16" t="str">
        <f aca="false">IF($E126="","",IF(COUNTIFS(06_重複排除後!$A:$A,$E126,06_重複排除後!$H:$H,"○")&gt;0,"採用",""))</f>
        <v/>
      </c>
      <c r="G126" s="16" t="str">
        <f aca="false">IF($A126="","",MAX(IF($C126="短期",00_はじめに!$B$20,IF($C126="中期",00_はじめに!$B$21,00_はじめに!$B$22)),IF($F126="採用",IFERROR(VLOOKUP($E126,$A:$H,8,0)+1,0),0)))</f>
        <v/>
      </c>
      <c r="H126" s="16" t="str">
        <f aca="false">IF($A126="","",MIN(36,$G126+$D126-1))</f>
        <v/>
      </c>
    </row>
    <row r="127" customFormat="false" ht="15" hidden="false" customHeight="false" outlineLevel="0" collapsed="false">
      <c r="A127" s="10" t="str">
        <f aca="false">08_ロードマップ!C127</f>
        <v/>
      </c>
      <c r="B127" s="10" t="str">
        <f aca="false">IF($A127="","",08_ロードマップ!D127)</f>
        <v/>
      </c>
      <c r="C127" s="16" t="str">
        <f aca="false">IF($A127="","",08_ロードマップ!A127)</f>
        <v/>
      </c>
      <c r="D127" s="16" t="str">
        <f aca="false">IF($A127="","",08_ロードマップ!F127)</f>
        <v/>
      </c>
      <c r="E127" s="16" t="str">
        <f aca="false">IF($A127="","",IFERROR(VLOOKUP($A127,04_依存関係マスター!$A:$C,3,0),""))</f>
        <v/>
      </c>
      <c r="F127" s="16" t="str">
        <f aca="false">IF($E127="","",IF(COUNTIFS(06_重複排除後!$A:$A,$E127,06_重複排除後!$H:$H,"○")&gt;0,"採用",""))</f>
        <v/>
      </c>
      <c r="G127" s="16" t="str">
        <f aca="false">IF($A127="","",MAX(IF($C127="短期",00_はじめに!$B$20,IF($C127="中期",00_はじめに!$B$21,00_はじめに!$B$22)),IF($F127="採用",IFERROR(VLOOKUP($E127,$A:$H,8,0)+1,0),0)))</f>
        <v/>
      </c>
      <c r="H127" s="16" t="str">
        <f aca="false">IF($A127="","",MIN(36,$G127+$D127-1))</f>
        <v/>
      </c>
    </row>
    <row r="128" customFormat="false" ht="15" hidden="false" customHeight="false" outlineLevel="0" collapsed="false">
      <c r="A128" s="10" t="str">
        <f aca="false">08_ロードマップ!C128</f>
        <v/>
      </c>
      <c r="B128" s="10" t="str">
        <f aca="false">IF($A128="","",08_ロードマップ!D128)</f>
        <v/>
      </c>
      <c r="C128" s="16" t="str">
        <f aca="false">IF($A128="","",08_ロードマップ!A128)</f>
        <v/>
      </c>
      <c r="D128" s="16" t="str">
        <f aca="false">IF($A128="","",08_ロードマップ!F128)</f>
        <v/>
      </c>
      <c r="E128" s="16" t="str">
        <f aca="false">IF($A128="","",IFERROR(VLOOKUP($A128,04_依存関係マスター!$A:$C,3,0),""))</f>
        <v/>
      </c>
      <c r="F128" s="16" t="str">
        <f aca="false">IF($E128="","",IF(COUNTIFS(06_重複排除後!$A:$A,$E128,06_重複排除後!$H:$H,"○")&gt;0,"採用",""))</f>
        <v/>
      </c>
      <c r="G128" s="16" t="str">
        <f aca="false">IF($A128="","",MAX(IF($C128="短期",00_はじめに!$B$20,IF($C128="中期",00_はじめに!$B$21,00_はじめに!$B$22)),IF($F128="採用",IFERROR(VLOOKUP($E128,$A:$H,8,0)+1,0),0)))</f>
        <v/>
      </c>
      <c r="H128" s="16" t="str">
        <f aca="false">IF($A128="","",MIN(36,$G128+$D128-1))</f>
        <v/>
      </c>
    </row>
    <row r="129" customFormat="false" ht="15" hidden="false" customHeight="false" outlineLevel="0" collapsed="false">
      <c r="A129" s="10" t="str">
        <f aca="false">08_ロードマップ!C129</f>
        <v/>
      </c>
      <c r="B129" s="10" t="str">
        <f aca="false">IF($A129="","",08_ロードマップ!D129)</f>
        <v/>
      </c>
      <c r="C129" s="16" t="str">
        <f aca="false">IF($A129="","",08_ロードマップ!A129)</f>
        <v/>
      </c>
      <c r="D129" s="16" t="str">
        <f aca="false">IF($A129="","",08_ロードマップ!F129)</f>
        <v/>
      </c>
      <c r="E129" s="16" t="str">
        <f aca="false">IF($A129="","",IFERROR(VLOOKUP($A129,04_依存関係マスター!$A:$C,3,0),""))</f>
        <v/>
      </c>
      <c r="F129" s="16" t="str">
        <f aca="false">IF($E129="","",IF(COUNTIFS(06_重複排除後!$A:$A,$E129,06_重複排除後!$H:$H,"○")&gt;0,"採用",""))</f>
        <v/>
      </c>
      <c r="G129" s="16" t="str">
        <f aca="false">IF($A129="","",MAX(IF($C129="短期",00_はじめに!$B$20,IF($C129="中期",00_はじめに!$B$21,00_はじめに!$B$22)),IF($F129="採用",IFERROR(VLOOKUP($E129,$A:$H,8,0)+1,0),0)))</f>
        <v/>
      </c>
      <c r="H129" s="16" t="str">
        <f aca="false">IF($A129="","",MIN(36,$G129+$D129-1))</f>
        <v/>
      </c>
    </row>
    <row r="130" customFormat="false" ht="15" hidden="false" customHeight="false" outlineLevel="0" collapsed="false">
      <c r="A130" s="10" t="str">
        <f aca="false">08_ロードマップ!C130</f>
        <v/>
      </c>
      <c r="B130" s="10" t="str">
        <f aca="false">IF($A130="","",08_ロードマップ!D130)</f>
        <v/>
      </c>
      <c r="C130" s="16" t="str">
        <f aca="false">IF($A130="","",08_ロードマップ!A130)</f>
        <v/>
      </c>
      <c r="D130" s="16" t="str">
        <f aca="false">IF($A130="","",08_ロードマップ!F130)</f>
        <v/>
      </c>
      <c r="E130" s="16" t="str">
        <f aca="false">IF($A130="","",IFERROR(VLOOKUP($A130,04_依存関係マスター!$A:$C,3,0),""))</f>
        <v/>
      </c>
      <c r="F130" s="16" t="str">
        <f aca="false">IF($E130="","",IF(COUNTIFS(06_重複排除後!$A:$A,$E130,06_重複排除後!$H:$H,"○")&gt;0,"採用",""))</f>
        <v/>
      </c>
      <c r="G130" s="16" t="str">
        <f aca="false">IF($A130="","",MAX(IF($C130="短期",00_はじめに!$B$20,IF($C130="中期",00_はじめに!$B$21,00_はじめに!$B$22)),IF($F130="採用",IFERROR(VLOOKUP($E130,$A:$H,8,0)+1,0),0)))</f>
        <v/>
      </c>
      <c r="H130" s="16" t="str">
        <f aca="false">IF($A130="","",MIN(36,$G130+$D130-1))</f>
        <v/>
      </c>
    </row>
    <row r="131" customFormat="false" ht="15" hidden="false" customHeight="false" outlineLevel="0" collapsed="false">
      <c r="A131" s="10" t="str">
        <f aca="false">08_ロードマップ!C131</f>
        <v/>
      </c>
      <c r="B131" s="10" t="str">
        <f aca="false">IF($A131="","",08_ロードマップ!D131)</f>
        <v/>
      </c>
      <c r="C131" s="16" t="str">
        <f aca="false">IF($A131="","",08_ロードマップ!A131)</f>
        <v/>
      </c>
      <c r="D131" s="16" t="str">
        <f aca="false">IF($A131="","",08_ロードマップ!F131)</f>
        <v/>
      </c>
      <c r="E131" s="16" t="str">
        <f aca="false">IF($A131="","",IFERROR(VLOOKUP($A131,04_依存関係マスター!$A:$C,3,0),""))</f>
        <v/>
      </c>
      <c r="F131" s="16" t="str">
        <f aca="false">IF($E131="","",IF(COUNTIFS(06_重複排除後!$A:$A,$E131,06_重複排除後!$H:$H,"○")&gt;0,"採用",""))</f>
        <v/>
      </c>
      <c r="G131" s="16" t="str">
        <f aca="false">IF($A131="","",MAX(IF($C131="短期",00_はじめに!$B$20,IF($C131="中期",00_はじめに!$B$21,00_はじめに!$B$22)),IF($F131="採用",IFERROR(VLOOKUP($E131,$A:$H,8,0)+1,0),0)))</f>
        <v/>
      </c>
      <c r="H131" s="16" t="str">
        <f aca="false">IF($A131="","",MIN(36,$G131+$D131-1))</f>
        <v/>
      </c>
    </row>
    <row r="132" customFormat="false" ht="15" hidden="false" customHeight="false" outlineLevel="0" collapsed="false">
      <c r="A132" s="10" t="str">
        <f aca="false">08_ロードマップ!C132</f>
        <v/>
      </c>
      <c r="B132" s="10" t="str">
        <f aca="false">IF($A132="","",08_ロードマップ!D132)</f>
        <v/>
      </c>
      <c r="C132" s="16" t="str">
        <f aca="false">IF($A132="","",08_ロードマップ!A132)</f>
        <v/>
      </c>
      <c r="D132" s="16" t="str">
        <f aca="false">IF($A132="","",08_ロードマップ!F132)</f>
        <v/>
      </c>
      <c r="E132" s="16" t="str">
        <f aca="false">IF($A132="","",IFERROR(VLOOKUP($A132,04_依存関係マスター!$A:$C,3,0),""))</f>
        <v/>
      </c>
      <c r="F132" s="16" t="str">
        <f aca="false">IF($E132="","",IF(COUNTIFS(06_重複排除後!$A:$A,$E132,06_重複排除後!$H:$H,"○")&gt;0,"採用",""))</f>
        <v/>
      </c>
      <c r="G132" s="16" t="str">
        <f aca="false">IF($A132="","",MAX(IF($C132="短期",00_はじめに!$B$20,IF($C132="中期",00_はじめに!$B$21,00_はじめに!$B$22)),IF($F132="採用",IFERROR(VLOOKUP($E132,$A:$H,8,0)+1,0),0)))</f>
        <v/>
      </c>
      <c r="H132" s="16" t="str">
        <f aca="false">IF($A132="","",MIN(36,$G132+$D132-1))</f>
        <v/>
      </c>
    </row>
    <row r="133" customFormat="false" ht="15" hidden="false" customHeight="false" outlineLevel="0" collapsed="false">
      <c r="A133" s="10" t="str">
        <f aca="false">08_ロードマップ!C133</f>
        <v/>
      </c>
      <c r="B133" s="10" t="str">
        <f aca="false">IF($A133="","",08_ロードマップ!D133)</f>
        <v/>
      </c>
      <c r="C133" s="16" t="str">
        <f aca="false">IF($A133="","",08_ロードマップ!A133)</f>
        <v/>
      </c>
      <c r="D133" s="16" t="str">
        <f aca="false">IF($A133="","",08_ロードマップ!F133)</f>
        <v/>
      </c>
      <c r="E133" s="16" t="str">
        <f aca="false">IF($A133="","",IFERROR(VLOOKUP($A133,04_依存関係マスター!$A:$C,3,0),""))</f>
        <v/>
      </c>
      <c r="F133" s="16" t="str">
        <f aca="false">IF($E133="","",IF(COUNTIFS(06_重複排除後!$A:$A,$E133,06_重複排除後!$H:$H,"○")&gt;0,"採用",""))</f>
        <v/>
      </c>
      <c r="G133" s="16" t="str">
        <f aca="false">IF($A133="","",MAX(IF($C133="短期",00_はじめに!$B$20,IF($C133="中期",00_はじめに!$B$21,00_はじめに!$B$22)),IF($F133="採用",IFERROR(VLOOKUP($E133,$A:$H,8,0)+1,0),0)))</f>
        <v/>
      </c>
      <c r="H133" s="16" t="str">
        <f aca="false">IF($A133="","",MIN(36,$G133+$D133-1))</f>
        <v/>
      </c>
    </row>
    <row r="134" customFormat="false" ht="15" hidden="false" customHeight="false" outlineLevel="0" collapsed="false">
      <c r="A134" s="10" t="str">
        <f aca="false">08_ロードマップ!C134</f>
        <v/>
      </c>
      <c r="B134" s="10" t="str">
        <f aca="false">IF($A134="","",08_ロードマップ!D134)</f>
        <v/>
      </c>
      <c r="C134" s="16" t="str">
        <f aca="false">IF($A134="","",08_ロードマップ!A134)</f>
        <v/>
      </c>
      <c r="D134" s="16" t="str">
        <f aca="false">IF($A134="","",08_ロードマップ!F134)</f>
        <v/>
      </c>
      <c r="E134" s="16" t="str">
        <f aca="false">IF($A134="","",IFERROR(VLOOKUP($A134,04_依存関係マスター!$A:$C,3,0),""))</f>
        <v/>
      </c>
      <c r="F134" s="16" t="str">
        <f aca="false">IF($E134="","",IF(COUNTIFS(06_重複排除後!$A:$A,$E134,06_重複排除後!$H:$H,"○")&gt;0,"採用",""))</f>
        <v/>
      </c>
      <c r="G134" s="16" t="str">
        <f aca="false">IF($A134="","",MAX(IF($C134="短期",00_はじめに!$B$20,IF($C134="中期",00_はじめに!$B$21,00_はじめに!$B$22)),IF($F134="採用",IFERROR(VLOOKUP($E134,$A:$H,8,0)+1,0),0)))</f>
        <v/>
      </c>
      <c r="H134" s="16" t="str">
        <f aca="false">IF($A134="","",MIN(36,$G134+$D134-1))</f>
        <v/>
      </c>
    </row>
    <row r="135" customFormat="false" ht="15" hidden="false" customHeight="false" outlineLevel="0" collapsed="false">
      <c r="A135" s="10" t="str">
        <f aca="false">08_ロードマップ!C135</f>
        <v/>
      </c>
      <c r="B135" s="10" t="str">
        <f aca="false">IF($A135="","",08_ロードマップ!D135)</f>
        <v/>
      </c>
      <c r="C135" s="16" t="str">
        <f aca="false">IF($A135="","",08_ロードマップ!A135)</f>
        <v/>
      </c>
      <c r="D135" s="16" t="str">
        <f aca="false">IF($A135="","",08_ロードマップ!F135)</f>
        <v/>
      </c>
      <c r="E135" s="16" t="str">
        <f aca="false">IF($A135="","",IFERROR(VLOOKUP($A135,04_依存関係マスター!$A:$C,3,0),""))</f>
        <v/>
      </c>
      <c r="F135" s="16" t="str">
        <f aca="false">IF($E135="","",IF(COUNTIFS(06_重複排除後!$A:$A,$E135,06_重複排除後!$H:$H,"○")&gt;0,"採用",""))</f>
        <v/>
      </c>
      <c r="G135" s="16" t="str">
        <f aca="false">IF($A135="","",MAX(IF($C135="短期",00_はじめに!$B$20,IF($C135="中期",00_はじめに!$B$21,00_はじめに!$B$22)),IF($F135="採用",IFERROR(VLOOKUP($E135,$A:$H,8,0)+1,0),0)))</f>
        <v/>
      </c>
      <c r="H135" s="16" t="str">
        <f aca="false">IF($A135="","",MIN(36,$G135+$D135-1))</f>
        <v/>
      </c>
    </row>
    <row r="136" customFormat="false" ht="15" hidden="false" customHeight="false" outlineLevel="0" collapsed="false">
      <c r="A136" s="10" t="str">
        <f aca="false">08_ロードマップ!C136</f>
        <v/>
      </c>
      <c r="B136" s="10" t="str">
        <f aca="false">IF($A136="","",08_ロードマップ!D136)</f>
        <v/>
      </c>
      <c r="C136" s="16" t="str">
        <f aca="false">IF($A136="","",08_ロードマップ!A136)</f>
        <v/>
      </c>
      <c r="D136" s="16" t="str">
        <f aca="false">IF($A136="","",08_ロードマップ!F136)</f>
        <v/>
      </c>
      <c r="E136" s="16" t="str">
        <f aca="false">IF($A136="","",IFERROR(VLOOKUP($A136,04_依存関係マスター!$A:$C,3,0),""))</f>
        <v/>
      </c>
      <c r="F136" s="16" t="str">
        <f aca="false">IF($E136="","",IF(COUNTIFS(06_重複排除後!$A:$A,$E136,06_重複排除後!$H:$H,"○")&gt;0,"採用",""))</f>
        <v/>
      </c>
      <c r="G136" s="16" t="str">
        <f aca="false">IF($A136="","",MAX(IF($C136="短期",00_はじめに!$B$20,IF($C136="中期",00_はじめに!$B$21,00_はじめに!$B$22)),IF($F136="採用",IFERROR(VLOOKUP($E136,$A:$H,8,0)+1,0),0)))</f>
        <v/>
      </c>
      <c r="H136" s="16" t="str">
        <f aca="false">IF($A136="","",MIN(36,$G136+$D136-1))</f>
        <v/>
      </c>
    </row>
    <row r="137" customFormat="false" ht="15" hidden="false" customHeight="false" outlineLevel="0" collapsed="false">
      <c r="A137" s="10" t="str">
        <f aca="false">08_ロードマップ!C137</f>
        <v/>
      </c>
      <c r="B137" s="10" t="str">
        <f aca="false">IF($A137="","",08_ロードマップ!D137)</f>
        <v/>
      </c>
      <c r="C137" s="16" t="str">
        <f aca="false">IF($A137="","",08_ロードマップ!A137)</f>
        <v/>
      </c>
      <c r="D137" s="16" t="str">
        <f aca="false">IF($A137="","",08_ロードマップ!F137)</f>
        <v/>
      </c>
      <c r="E137" s="16" t="str">
        <f aca="false">IF($A137="","",IFERROR(VLOOKUP($A137,04_依存関係マスター!$A:$C,3,0),""))</f>
        <v/>
      </c>
      <c r="F137" s="16" t="str">
        <f aca="false">IF($E137="","",IF(COUNTIFS(06_重複排除後!$A:$A,$E137,06_重複排除後!$H:$H,"○")&gt;0,"採用",""))</f>
        <v/>
      </c>
      <c r="G137" s="16" t="str">
        <f aca="false">IF($A137="","",MAX(IF($C137="短期",00_はじめに!$B$20,IF($C137="中期",00_はじめに!$B$21,00_はじめに!$B$22)),IF($F137="採用",IFERROR(VLOOKUP($E137,$A:$H,8,0)+1,0),0)))</f>
        <v/>
      </c>
      <c r="H137" s="16" t="str">
        <f aca="false">IF($A137="","",MIN(36,$G137+$D137-1))</f>
        <v/>
      </c>
    </row>
    <row r="138" customFormat="false" ht="15" hidden="false" customHeight="false" outlineLevel="0" collapsed="false">
      <c r="A138" s="10" t="str">
        <f aca="false">08_ロードマップ!C138</f>
        <v/>
      </c>
      <c r="B138" s="10" t="str">
        <f aca="false">IF($A138="","",08_ロードマップ!D138)</f>
        <v/>
      </c>
      <c r="C138" s="16" t="str">
        <f aca="false">IF($A138="","",08_ロードマップ!A138)</f>
        <v/>
      </c>
      <c r="D138" s="16" t="str">
        <f aca="false">IF($A138="","",08_ロードマップ!F138)</f>
        <v/>
      </c>
      <c r="E138" s="16" t="str">
        <f aca="false">IF($A138="","",IFERROR(VLOOKUP($A138,04_依存関係マスター!$A:$C,3,0),""))</f>
        <v/>
      </c>
      <c r="F138" s="16" t="str">
        <f aca="false">IF($E138="","",IF(COUNTIFS(06_重複排除後!$A:$A,$E138,06_重複排除後!$H:$H,"○")&gt;0,"採用",""))</f>
        <v/>
      </c>
      <c r="G138" s="16" t="str">
        <f aca="false">IF($A138="","",MAX(IF($C138="短期",00_はじめに!$B$20,IF($C138="中期",00_はじめに!$B$21,00_はじめに!$B$22)),IF($F138="採用",IFERROR(VLOOKUP($E138,$A:$H,8,0)+1,0),0)))</f>
        <v/>
      </c>
      <c r="H138" s="16" t="str">
        <f aca="false">IF($A138="","",MIN(36,$G138+$D138-1))</f>
        <v/>
      </c>
    </row>
    <row r="139" customFormat="false" ht="15" hidden="false" customHeight="false" outlineLevel="0" collapsed="false">
      <c r="A139" s="10" t="str">
        <f aca="false">08_ロードマップ!C139</f>
        <v/>
      </c>
      <c r="B139" s="10" t="str">
        <f aca="false">IF($A139="","",08_ロードマップ!D139)</f>
        <v/>
      </c>
      <c r="C139" s="16" t="str">
        <f aca="false">IF($A139="","",08_ロードマップ!A139)</f>
        <v/>
      </c>
      <c r="D139" s="16" t="str">
        <f aca="false">IF($A139="","",08_ロードマップ!F139)</f>
        <v/>
      </c>
      <c r="E139" s="16" t="str">
        <f aca="false">IF($A139="","",IFERROR(VLOOKUP($A139,04_依存関係マスター!$A:$C,3,0),""))</f>
        <v/>
      </c>
      <c r="F139" s="16" t="str">
        <f aca="false">IF($E139="","",IF(COUNTIFS(06_重複排除後!$A:$A,$E139,06_重複排除後!$H:$H,"○")&gt;0,"採用",""))</f>
        <v/>
      </c>
      <c r="G139" s="16" t="str">
        <f aca="false">IF($A139="","",MAX(IF($C139="短期",00_はじめに!$B$20,IF($C139="中期",00_はじめに!$B$21,00_はじめに!$B$22)),IF($F139="採用",IFERROR(VLOOKUP($E139,$A:$H,8,0)+1,0),0)))</f>
        <v/>
      </c>
      <c r="H139" s="16" t="str">
        <f aca="false">IF($A139="","",MIN(36,$G139+$D139-1))</f>
        <v/>
      </c>
    </row>
    <row r="140" customFormat="false" ht="15" hidden="false" customHeight="false" outlineLevel="0" collapsed="false">
      <c r="A140" s="10" t="str">
        <f aca="false">08_ロードマップ!C140</f>
        <v/>
      </c>
      <c r="B140" s="10" t="str">
        <f aca="false">IF($A140="","",08_ロードマップ!D140)</f>
        <v/>
      </c>
      <c r="C140" s="16" t="str">
        <f aca="false">IF($A140="","",08_ロードマップ!A140)</f>
        <v/>
      </c>
      <c r="D140" s="16" t="str">
        <f aca="false">IF($A140="","",08_ロードマップ!F140)</f>
        <v/>
      </c>
      <c r="E140" s="16" t="str">
        <f aca="false">IF($A140="","",IFERROR(VLOOKUP($A140,04_依存関係マスター!$A:$C,3,0),""))</f>
        <v/>
      </c>
      <c r="F140" s="16" t="str">
        <f aca="false">IF($E140="","",IF(COUNTIFS(06_重複排除後!$A:$A,$E140,06_重複排除後!$H:$H,"○")&gt;0,"採用",""))</f>
        <v/>
      </c>
      <c r="G140" s="16" t="str">
        <f aca="false">IF($A140="","",MAX(IF($C140="短期",00_はじめに!$B$20,IF($C140="中期",00_はじめに!$B$21,00_はじめに!$B$22)),IF($F140="採用",IFERROR(VLOOKUP($E140,$A:$H,8,0)+1,0),0)))</f>
        <v/>
      </c>
      <c r="H140" s="16" t="str">
        <f aca="false">IF($A140="","",MIN(36,$G140+$D140-1))</f>
        <v/>
      </c>
    </row>
    <row r="141" customFormat="false" ht="15" hidden="false" customHeight="false" outlineLevel="0" collapsed="false">
      <c r="A141" s="10" t="str">
        <f aca="false">08_ロードマップ!C141</f>
        <v/>
      </c>
      <c r="B141" s="10" t="str">
        <f aca="false">IF($A141="","",08_ロードマップ!D141)</f>
        <v/>
      </c>
      <c r="C141" s="16" t="str">
        <f aca="false">IF($A141="","",08_ロードマップ!A141)</f>
        <v/>
      </c>
      <c r="D141" s="16" t="str">
        <f aca="false">IF($A141="","",08_ロードマップ!F141)</f>
        <v/>
      </c>
      <c r="E141" s="16" t="str">
        <f aca="false">IF($A141="","",IFERROR(VLOOKUP($A141,04_依存関係マスター!$A:$C,3,0),""))</f>
        <v/>
      </c>
      <c r="F141" s="16" t="str">
        <f aca="false">IF($E141="","",IF(COUNTIFS(06_重複排除後!$A:$A,$E141,06_重複排除後!$H:$H,"○")&gt;0,"採用",""))</f>
        <v/>
      </c>
      <c r="G141" s="16" t="str">
        <f aca="false">IF($A141="","",MAX(IF($C141="短期",00_はじめに!$B$20,IF($C141="中期",00_はじめに!$B$21,00_はじめに!$B$22)),IF($F141="採用",IFERROR(VLOOKUP($E141,$A:$H,8,0)+1,0),0)))</f>
        <v/>
      </c>
      <c r="H141" s="16" t="str">
        <f aca="false">IF($A141="","",MIN(36,$G141+$D141-1))</f>
        <v/>
      </c>
    </row>
    <row r="142" customFormat="false" ht="15" hidden="false" customHeight="false" outlineLevel="0" collapsed="false">
      <c r="A142" s="10" t="str">
        <f aca="false">08_ロードマップ!C142</f>
        <v/>
      </c>
      <c r="B142" s="10" t="str">
        <f aca="false">IF($A142="","",08_ロードマップ!D142)</f>
        <v/>
      </c>
      <c r="C142" s="16" t="str">
        <f aca="false">IF($A142="","",08_ロードマップ!A142)</f>
        <v/>
      </c>
      <c r="D142" s="16" t="str">
        <f aca="false">IF($A142="","",08_ロードマップ!F142)</f>
        <v/>
      </c>
      <c r="E142" s="16" t="str">
        <f aca="false">IF($A142="","",IFERROR(VLOOKUP($A142,04_依存関係マスター!$A:$C,3,0),""))</f>
        <v/>
      </c>
      <c r="F142" s="16" t="str">
        <f aca="false">IF($E142="","",IF(COUNTIFS(06_重複排除後!$A:$A,$E142,06_重複排除後!$H:$H,"○")&gt;0,"採用",""))</f>
        <v/>
      </c>
      <c r="G142" s="16" t="str">
        <f aca="false">IF($A142="","",MAX(IF($C142="短期",00_はじめに!$B$20,IF($C142="中期",00_はじめに!$B$21,00_はじめに!$B$22)),IF($F142="採用",IFERROR(VLOOKUP($E142,$A:$H,8,0)+1,0),0)))</f>
        <v/>
      </c>
      <c r="H142" s="16" t="str">
        <f aca="false">IF($A142="","",MIN(36,$G142+$D142-1))</f>
        <v/>
      </c>
    </row>
    <row r="143" customFormat="false" ht="15" hidden="false" customHeight="false" outlineLevel="0" collapsed="false">
      <c r="A143" s="10" t="str">
        <f aca="false">08_ロードマップ!C143</f>
        <v/>
      </c>
      <c r="B143" s="10" t="str">
        <f aca="false">IF($A143="","",08_ロードマップ!D143)</f>
        <v/>
      </c>
      <c r="C143" s="16" t="str">
        <f aca="false">IF($A143="","",08_ロードマップ!A143)</f>
        <v/>
      </c>
      <c r="D143" s="16" t="str">
        <f aca="false">IF($A143="","",08_ロードマップ!F143)</f>
        <v/>
      </c>
      <c r="E143" s="16" t="str">
        <f aca="false">IF($A143="","",IFERROR(VLOOKUP($A143,04_依存関係マスター!$A:$C,3,0),""))</f>
        <v/>
      </c>
      <c r="F143" s="16" t="str">
        <f aca="false">IF($E143="","",IF(COUNTIFS(06_重複排除後!$A:$A,$E143,06_重複排除後!$H:$H,"○")&gt;0,"採用",""))</f>
        <v/>
      </c>
      <c r="G143" s="16" t="str">
        <f aca="false">IF($A143="","",MAX(IF($C143="短期",00_はじめに!$B$20,IF($C143="中期",00_はじめに!$B$21,00_はじめに!$B$22)),IF($F143="採用",IFERROR(VLOOKUP($E143,$A:$H,8,0)+1,0),0)))</f>
        <v/>
      </c>
      <c r="H143" s="16" t="str">
        <f aca="false">IF($A143="","",MIN(36,$G143+$D143-1))</f>
        <v/>
      </c>
    </row>
    <row r="144" customFormat="false" ht="15" hidden="false" customHeight="false" outlineLevel="0" collapsed="false">
      <c r="A144" s="10" t="str">
        <f aca="false">08_ロードマップ!C144</f>
        <v/>
      </c>
      <c r="B144" s="10" t="str">
        <f aca="false">IF($A144="","",08_ロードマップ!D144)</f>
        <v/>
      </c>
      <c r="C144" s="16" t="str">
        <f aca="false">IF($A144="","",08_ロードマップ!A144)</f>
        <v/>
      </c>
      <c r="D144" s="16" t="str">
        <f aca="false">IF($A144="","",08_ロードマップ!F144)</f>
        <v/>
      </c>
      <c r="E144" s="16" t="str">
        <f aca="false">IF($A144="","",IFERROR(VLOOKUP($A144,04_依存関係マスター!$A:$C,3,0),""))</f>
        <v/>
      </c>
      <c r="F144" s="16" t="str">
        <f aca="false">IF($E144="","",IF(COUNTIFS(06_重複排除後!$A:$A,$E144,06_重複排除後!$H:$H,"○")&gt;0,"採用",""))</f>
        <v/>
      </c>
      <c r="G144" s="16" t="str">
        <f aca="false">IF($A144="","",MAX(IF($C144="短期",00_はじめに!$B$20,IF($C144="中期",00_はじめに!$B$21,00_はじめに!$B$22)),IF($F144="採用",IFERROR(VLOOKUP($E144,$A:$H,8,0)+1,0),0)))</f>
        <v/>
      </c>
      <c r="H144" s="16" t="str">
        <f aca="false">IF($A144="","",MIN(36,$G144+$D144-1))</f>
        <v/>
      </c>
    </row>
    <row r="145" customFormat="false" ht="15" hidden="false" customHeight="false" outlineLevel="0" collapsed="false">
      <c r="A145" s="10" t="str">
        <f aca="false">08_ロードマップ!C145</f>
        <v/>
      </c>
      <c r="B145" s="10" t="str">
        <f aca="false">IF($A145="","",08_ロードマップ!D145)</f>
        <v/>
      </c>
      <c r="C145" s="16" t="str">
        <f aca="false">IF($A145="","",08_ロードマップ!A145)</f>
        <v/>
      </c>
      <c r="D145" s="16" t="str">
        <f aca="false">IF($A145="","",08_ロードマップ!F145)</f>
        <v/>
      </c>
      <c r="E145" s="16" t="str">
        <f aca="false">IF($A145="","",IFERROR(VLOOKUP($A145,04_依存関係マスター!$A:$C,3,0),""))</f>
        <v/>
      </c>
      <c r="F145" s="16" t="str">
        <f aca="false">IF($E145="","",IF(COUNTIFS(06_重複排除後!$A:$A,$E145,06_重複排除後!$H:$H,"○")&gt;0,"採用",""))</f>
        <v/>
      </c>
      <c r="G145" s="16" t="str">
        <f aca="false">IF($A145="","",MAX(IF($C145="短期",00_はじめに!$B$20,IF($C145="中期",00_はじめに!$B$21,00_はじめに!$B$22)),IF($F145="採用",IFERROR(VLOOKUP($E145,$A:$H,8,0)+1,0),0)))</f>
        <v/>
      </c>
      <c r="H145" s="16" t="str">
        <f aca="false">IF($A145="","",MIN(36,$G145+$D145-1))</f>
        <v/>
      </c>
    </row>
    <row r="146" customFormat="false" ht="15" hidden="false" customHeight="false" outlineLevel="0" collapsed="false">
      <c r="A146" s="10" t="str">
        <f aca="false">08_ロードマップ!C146</f>
        <v/>
      </c>
      <c r="B146" s="10" t="str">
        <f aca="false">IF($A146="","",08_ロードマップ!D146)</f>
        <v/>
      </c>
      <c r="C146" s="16" t="str">
        <f aca="false">IF($A146="","",08_ロードマップ!A146)</f>
        <v/>
      </c>
      <c r="D146" s="16" t="str">
        <f aca="false">IF($A146="","",08_ロードマップ!F146)</f>
        <v/>
      </c>
      <c r="E146" s="16" t="str">
        <f aca="false">IF($A146="","",IFERROR(VLOOKUP($A146,04_依存関係マスター!$A:$C,3,0),""))</f>
        <v/>
      </c>
      <c r="F146" s="16" t="str">
        <f aca="false">IF($E146="","",IF(COUNTIFS(06_重複排除後!$A:$A,$E146,06_重複排除後!$H:$H,"○")&gt;0,"採用",""))</f>
        <v/>
      </c>
      <c r="G146" s="16" t="str">
        <f aca="false">IF($A146="","",MAX(IF($C146="短期",00_はじめに!$B$20,IF($C146="中期",00_はじめに!$B$21,00_はじめに!$B$22)),IF($F146="採用",IFERROR(VLOOKUP($E146,$A:$H,8,0)+1,0),0)))</f>
        <v/>
      </c>
      <c r="H146" s="16" t="str">
        <f aca="false">IF($A146="","",MIN(36,$G146+$D146-1))</f>
        <v/>
      </c>
    </row>
    <row r="147" customFormat="false" ht="15" hidden="false" customHeight="false" outlineLevel="0" collapsed="false">
      <c r="A147" s="10" t="str">
        <f aca="false">08_ロードマップ!C147</f>
        <v/>
      </c>
      <c r="B147" s="10" t="str">
        <f aca="false">IF($A147="","",08_ロードマップ!D147)</f>
        <v/>
      </c>
      <c r="C147" s="16" t="str">
        <f aca="false">IF($A147="","",08_ロードマップ!A147)</f>
        <v/>
      </c>
      <c r="D147" s="16" t="str">
        <f aca="false">IF($A147="","",08_ロードマップ!F147)</f>
        <v/>
      </c>
      <c r="E147" s="16" t="str">
        <f aca="false">IF($A147="","",IFERROR(VLOOKUP($A147,04_依存関係マスター!$A:$C,3,0),""))</f>
        <v/>
      </c>
      <c r="F147" s="16" t="str">
        <f aca="false">IF($E147="","",IF(COUNTIFS(06_重複排除後!$A:$A,$E147,06_重複排除後!$H:$H,"○")&gt;0,"採用",""))</f>
        <v/>
      </c>
      <c r="G147" s="16" t="str">
        <f aca="false">IF($A147="","",MAX(IF($C147="短期",00_はじめに!$B$20,IF($C147="中期",00_はじめに!$B$21,00_はじめに!$B$22)),IF($F147="採用",IFERROR(VLOOKUP($E147,$A:$H,8,0)+1,0),0)))</f>
        <v/>
      </c>
      <c r="H147" s="16" t="str">
        <f aca="false">IF($A147="","",MIN(36,$G147+$D147-1))</f>
        <v/>
      </c>
    </row>
    <row r="148" customFormat="false" ht="15" hidden="false" customHeight="false" outlineLevel="0" collapsed="false">
      <c r="A148" s="10" t="str">
        <f aca="false">08_ロードマップ!C148</f>
        <v/>
      </c>
      <c r="B148" s="10" t="str">
        <f aca="false">IF($A148="","",08_ロードマップ!D148)</f>
        <v/>
      </c>
      <c r="C148" s="16" t="str">
        <f aca="false">IF($A148="","",08_ロードマップ!A148)</f>
        <v/>
      </c>
      <c r="D148" s="16" t="str">
        <f aca="false">IF($A148="","",08_ロードマップ!F148)</f>
        <v/>
      </c>
      <c r="E148" s="16" t="str">
        <f aca="false">IF($A148="","",IFERROR(VLOOKUP($A148,04_依存関係マスター!$A:$C,3,0),""))</f>
        <v/>
      </c>
      <c r="F148" s="16" t="str">
        <f aca="false">IF($E148="","",IF(COUNTIFS(06_重複排除後!$A:$A,$E148,06_重複排除後!$H:$H,"○")&gt;0,"採用",""))</f>
        <v/>
      </c>
      <c r="G148" s="16" t="str">
        <f aca="false">IF($A148="","",MAX(IF($C148="短期",00_はじめに!$B$20,IF($C148="中期",00_はじめに!$B$21,00_はじめに!$B$22)),IF($F148="採用",IFERROR(VLOOKUP($E148,$A:$H,8,0)+1,0),0)))</f>
        <v/>
      </c>
      <c r="H148" s="16" t="str">
        <f aca="false">IF($A148="","",MIN(36,$G148+$D148-1))</f>
        <v/>
      </c>
    </row>
    <row r="149" customFormat="false" ht="15" hidden="false" customHeight="false" outlineLevel="0" collapsed="false">
      <c r="A149" s="10" t="str">
        <f aca="false">08_ロードマップ!C149</f>
        <v/>
      </c>
      <c r="B149" s="10" t="str">
        <f aca="false">IF($A149="","",08_ロードマップ!D149)</f>
        <v/>
      </c>
      <c r="C149" s="16" t="str">
        <f aca="false">IF($A149="","",08_ロードマップ!A149)</f>
        <v/>
      </c>
      <c r="D149" s="16" t="str">
        <f aca="false">IF($A149="","",08_ロードマップ!F149)</f>
        <v/>
      </c>
      <c r="E149" s="16" t="str">
        <f aca="false">IF($A149="","",IFERROR(VLOOKUP($A149,04_依存関係マスター!$A:$C,3,0),""))</f>
        <v/>
      </c>
      <c r="F149" s="16" t="str">
        <f aca="false">IF($E149="","",IF(COUNTIFS(06_重複排除後!$A:$A,$E149,06_重複排除後!$H:$H,"○")&gt;0,"採用",""))</f>
        <v/>
      </c>
      <c r="G149" s="16" t="str">
        <f aca="false">IF($A149="","",MAX(IF($C149="短期",00_はじめに!$B$20,IF($C149="中期",00_はじめに!$B$21,00_はじめに!$B$22)),IF($F149="採用",IFERROR(VLOOKUP($E149,$A:$H,8,0)+1,0),0)))</f>
        <v/>
      </c>
      <c r="H149" s="16" t="str">
        <f aca="false">IF($A149="","",MIN(36,$G149+$D149-1))</f>
        <v/>
      </c>
    </row>
    <row r="150" customFormat="false" ht="15" hidden="false" customHeight="false" outlineLevel="0" collapsed="false">
      <c r="A150" s="10" t="str">
        <f aca="false">08_ロードマップ!C150</f>
        <v/>
      </c>
      <c r="B150" s="10" t="str">
        <f aca="false">IF($A150="","",08_ロードマップ!D150)</f>
        <v/>
      </c>
      <c r="C150" s="16" t="str">
        <f aca="false">IF($A150="","",08_ロードマップ!A150)</f>
        <v/>
      </c>
      <c r="D150" s="16" t="str">
        <f aca="false">IF($A150="","",08_ロードマップ!F150)</f>
        <v/>
      </c>
      <c r="E150" s="16" t="str">
        <f aca="false">IF($A150="","",IFERROR(VLOOKUP($A150,04_依存関係マスター!$A:$C,3,0),""))</f>
        <v/>
      </c>
      <c r="F150" s="16" t="str">
        <f aca="false">IF($E150="","",IF(COUNTIFS(06_重複排除後!$A:$A,$E150,06_重複排除後!$H:$H,"○")&gt;0,"採用",""))</f>
        <v/>
      </c>
      <c r="G150" s="16" t="str">
        <f aca="false">IF($A150="","",MAX(IF($C150="短期",00_はじめに!$B$20,IF($C150="中期",00_はじめに!$B$21,00_はじめに!$B$22)),IF($F150="採用",IFERROR(VLOOKUP($E150,$A:$H,8,0)+1,0),0)))</f>
        <v/>
      </c>
      <c r="H150" s="16" t="str">
        <f aca="false">IF($A150="","",MIN(36,$G150+$D150-1))</f>
        <v/>
      </c>
    </row>
    <row r="151" customFormat="false" ht="15" hidden="false" customHeight="false" outlineLevel="0" collapsed="false">
      <c r="A151" s="10" t="str">
        <f aca="false">08_ロードマップ!C151</f>
        <v/>
      </c>
      <c r="B151" s="10" t="str">
        <f aca="false">IF($A151="","",08_ロードマップ!D151)</f>
        <v/>
      </c>
      <c r="C151" s="16" t="str">
        <f aca="false">IF($A151="","",08_ロードマップ!A151)</f>
        <v/>
      </c>
      <c r="D151" s="16" t="str">
        <f aca="false">IF($A151="","",08_ロードマップ!F151)</f>
        <v/>
      </c>
      <c r="E151" s="16" t="str">
        <f aca="false">IF($A151="","",IFERROR(VLOOKUP($A151,04_依存関係マスター!$A:$C,3,0),""))</f>
        <v/>
      </c>
      <c r="F151" s="16" t="str">
        <f aca="false">IF($E151="","",IF(COUNTIFS(06_重複排除後!$A:$A,$E151,06_重複排除後!$H:$H,"○")&gt;0,"採用",""))</f>
        <v/>
      </c>
      <c r="G151" s="16" t="str">
        <f aca="false">IF($A151="","",MAX(IF($C151="短期",00_はじめに!$B$20,IF($C151="中期",00_はじめに!$B$21,00_はじめに!$B$22)),IF($F151="採用",IFERROR(VLOOKUP($E151,$A:$H,8,0)+1,0),0)))</f>
        <v/>
      </c>
      <c r="H151" s="16" t="str">
        <f aca="false">IF($A151="","",MIN(36,$G151+$D151-1))</f>
        <v/>
      </c>
    </row>
    <row r="152" customFormat="false" ht="15" hidden="false" customHeight="false" outlineLevel="0" collapsed="false">
      <c r="A152" s="10" t="str">
        <f aca="false">08_ロードマップ!C152</f>
        <v/>
      </c>
      <c r="B152" s="10" t="str">
        <f aca="false">IF($A152="","",08_ロードマップ!D152)</f>
        <v/>
      </c>
      <c r="C152" s="16" t="str">
        <f aca="false">IF($A152="","",08_ロードマップ!A152)</f>
        <v/>
      </c>
      <c r="D152" s="16" t="str">
        <f aca="false">IF($A152="","",08_ロードマップ!F152)</f>
        <v/>
      </c>
      <c r="E152" s="16" t="str">
        <f aca="false">IF($A152="","",IFERROR(VLOOKUP($A152,04_依存関係マスター!$A:$C,3,0),""))</f>
        <v/>
      </c>
      <c r="F152" s="16" t="str">
        <f aca="false">IF($E152="","",IF(COUNTIFS(06_重複排除後!$A:$A,$E152,06_重複排除後!$H:$H,"○")&gt;0,"採用",""))</f>
        <v/>
      </c>
      <c r="G152" s="16" t="str">
        <f aca="false">IF($A152="","",MAX(IF($C152="短期",00_はじめに!$B$20,IF($C152="中期",00_はじめに!$B$21,00_はじめに!$B$22)),IF($F152="採用",IFERROR(VLOOKUP($E152,$A:$H,8,0)+1,0),0)))</f>
        <v/>
      </c>
      <c r="H152" s="16" t="str">
        <f aca="false">IF($A152="","",MIN(36,$G152+$D152-1))</f>
        <v/>
      </c>
    </row>
    <row r="153" customFormat="false" ht="15" hidden="false" customHeight="false" outlineLevel="0" collapsed="false">
      <c r="A153" s="10" t="str">
        <f aca="false">08_ロードマップ!C153</f>
        <v/>
      </c>
      <c r="B153" s="10" t="str">
        <f aca="false">IF($A153="","",08_ロードマップ!D153)</f>
        <v/>
      </c>
      <c r="C153" s="16" t="str">
        <f aca="false">IF($A153="","",08_ロードマップ!A153)</f>
        <v/>
      </c>
      <c r="D153" s="16" t="str">
        <f aca="false">IF($A153="","",08_ロードマップ!F153)</f>
        <v/>
      </c>
      <c r="E153" s="16" t="str">
        <f aca="false">IF($A153="","",IFERROR(VLOOKUP($A153,04_依存関係マスター!$A:$C,3,0),""))</f>
        <v/>
      </c>
      <c r="F153" s="16" t="str">
        <f aca="false">IF($E153="","",IF(COUNTIFS(06_重複排除後!$A:$A,$E153,06_重複排除後!$H:$H,"○")&gt;0,"採用",""))</f>
        <v/>
      </c>
      <c r="G153" s="16" t="str">
        <f aca="false">IF($A153="","",MAX(IF($C153="短期",00_はじめに!$B$20,IF($C153="中期",00_はじめに!$B$21,00_はじめに!$B$22)),IF($F153="採用",IFERROR(VLOOKUP($E153,$A:$H,8,0)+1,0),0)))</f>
        <v/>
      </c>
      <c r="H153" s="16" t="str">
        <f aca="false">IF($A153="","",MIN(36,$G153+$D153-1))</f>
        <v/>
      </c>
    </row>
    <row r="154" customFormat="false" ht="15" hidden="false" customHeight="false" outlineLevel="0" collapsed="false">
      <c r="A154" s="10" t="str">
        <f aca="false">08_ロードマップ!C154</f>
        <v/>
      </c>
      <c r="B154" s="10" t="str">
        <f aca="false">IF($A154="","",08_ロードマップ!D154)</f>
        <v/>
      </c>
      <c r="C154" s="16" t="str">
        <f aca="false">IF($A154="","",08_ロードマップ!A154)</f>
        <v/>
      </c>
      <c r="D154" s="16" t="str">
        <f aca="false">IF($A154="","",08_ロードマップ!F154)</f>
        <v/>
      </c>
      <c r="E154" s="16" t="str">
        <f aca="false">IF($A154="","",IFERROR(VLOOKUP($A154,04_依存関係マスター!$A:$C,3,0),""))</f>
        <v/>
      </c>
      <c r="F154" s="16" t="str">
        <f aca="false">IF($E154="","",IF(COUNTIFS(06_重複排除後!$A:$A,$E154,06_重複排除後!$H:$H,"○")&gt;0,"採用",""))</f>
        <v/>
      </c>
      <c r="G154" s="16" t="str">
        <f aca="false">IF($A154="","",MAX(IF($C154="短期",00_はじめに!$B$20,IF($C154="中期",00_はじめに!$B$21,00_はじめに!$B$22)),IF($F154="採用",IFERROR(VLOOKUP($E154,$A:$H,8,0)+1,0),0)))</f>
        <v/>
      </c>
      <c r="H154" s="16" t="str">
        <f aca="false">IF($A154="","",MIN(36,$G154+$D154-1))</f>
        <v/>
      </c>
    </row>
    <row r="155" customFormat="false" ht="15" hidden="false" customHeight="false" outlineLevel="0" collapsed="false">
      <c r="A155" s="10" t="str">
        <f aca="false">08_ロードマップ!C155</f>
        <v/>
      </c>
      <c r="B155" s="10" t="str">
        <f aca="false">IF($A155="","",08_ロードマップ!D155)</f>
        <v/>
      </c>
      <c r="C155" s="16" t="str">
        <f aca="false">IF($A155="","",08_ロードマップ!A155)</f>
        <v/>
      </c>
      <c r="D155" s="16" t="str">
        <f aca="false">IF($A155="","",08_ロードマップ!F155)</f>
        <v/>
      </c>
      <c r="E155" s="16" t="str">
        <f aca="false">IF($A155="","",IFERROR(VLOOKUP($A155,04_依存関係マスター!$A:$C,3,0),""))</f>
        <v/>
      </c>
      <c r="F155" s="16" t="str">
        <f aca="false">IF($E155="","",IF(COUNTIFS(06_重複排除後!$A:$A,$E155,06_重複排除後!$H:$H,"○")&gt;0,"採用",""))</f>
        <v/>
      </c>
      <c r="G155" s="16" t="str">
        <f aca="false">IF($A155="","",MAX(IF($C155="短期",00_はじめに!$B$20,IF($C155="中期",00_はじめに!$B$21,00_はじめに!$B$22)),IF($F155="採用",IFERROR(VLOOKUP($E155,$A:$H,8,0)+1,0),0)))</f>
        <v/>
      </c>
      <c r="H155" s="16" t="str">
        <f aca="false">IF($A155="","",MIN(36,$G155+$D155-1))</f>
        <v/>
      </c>
    </row>
    <row r="156" customFormat="false" ht="15" hidden="false" customHeight="false" outlineLevel="0" collapsed="false">
      <c r="A156" s="10" t="str">
        <f aca="false">08_ロードマップ!C156</f>
        <v/>
      </c>
      <c r="B156" s="10" t="str">
        <f aca="false">IF($A156="","",08_ロードマップ!D156)</f>
        <v/>
      </c>
      <c r="C156" s="16" t="str">
        <f aca="false">IF($A156="","",08_ロードマップ!A156)</f>
        <v/>
      </c>
      <c r="D156" s="16" t="str">
        <f aca="false">IF($A156="","",08_ロードマップ!F156)</f>
        <v/>
      </c>
      <c r="E156" s="16" t="str">
        <f aca="false">IF($A156="","",IFERROR(VLOOKUP($A156,04_依存関係マスター!$A:$C,3,0),""))</f>
        <v/>
      </c>
      <c r="F156" s="16" t="str">
        <f aca="false">IF($E156="","",IF(COUNTIFS(06_重複排除後!$A:$A,$E156,06_重複排除後!$H:$H,"○")&gt;0,"採用",""))</f>
        <v/>
      </c>
      <c r="G156" s="16" t="str">
        <f aca="false">IF($A156="","",MAX(IF($C156="短期",00_はじめに!$B$20,IF($C156="中期",00_はじめに!$B$21,00_はじめに!$B$22)),IF($F156="採用",IFERROR(VLOOKUP($E156,$A:$H,8,0)+1,0),0)))</f>
        <v/>
      </c>
      <c r="H156" s="16" t="str">
        <f aca="false">IF($A156="","",MIN(36,$G156+$D156-1))</f>
        <v/>
      </c>
    </row>
    <row r="157" customFormat="false" ht="15" hidden="false" customHeight="false" outlineLevel="0" collapsed="false">
      <c r="A157" s="10" t="str">
        <f aca="false">08_ロードマップ!C157</f>
        <v/>
      </c>
      <c r="B157" s="10" t="str">
        <f aca="false">IF($A157="","",08_ロードマップ!D157)</f>
        <v/>
      </c>
      <c r="C157" s="16" t="str">
        <f aca="false">IF($A157="","",08_ロードマップ!A157)</f>
        <v/>
      </c>
      <c r="D157" s="16" t="str">
        <f aca="false">IF($A157="","",08_ロードマップ!F157)</f>
        <v/>
      </c>
      <c r="E157" s="16" t="str">
        <f aca="false">IF($A157="","",IFERROR(VLOOKUP($A157,04_依存関係マスター!$A:$C,3,0),""))</f>
        <v/>
      </c>
      <c r="F157" s="16" t="str">
        <f aca="false">IF($E157="","",IF(COUNTIFS(06_重複排除後!$A:$A,$E157,06_重複排除後!$H:$H,"○")&gt;0,"採用",""))</f>
        <v/>
      </c>
      <c r="G157" s="16" t="str">
        <f aca="false">IF($A157="","",MAX(IF($C157="短期",00_はじめに!$B$20,IF($C157="中期",00_はじめに!$B$21,00_はじめに!$B$22)),IF($F157="採用",IFERROR(VLOOKUP($E157,$A:$H,8,0)+1,0),0)))</f>
        <v/>
      </c>
      <c r="H157" s="16" t="str">
        <f aca="false">IF($A157="","",MIN(36,$G157+$D157-1))</f>
        <v/>
      </c>
    </row>
    <row r="158" customFormat="false" ht="15" hidden="false" customHeight="false" outlineLevel="0" collapsed="false">
      <c r="A158" s="10" t="str">
        <f aca="false">08_ロードマップ!C158</f>
        <v/>
      </c>
      <c r="B158" s="10" t="str">
        <f aca="false">IF($A158="","",08_ロードマップ!D158)</f>
        <v/>
      </c>
      <c r="C158" s="16" t="str">
        <f aca="false">IF($A158="","",08_ロードマップ!A158)</f>
        <v/>
      </c>
      <c r="D158" s="16" t="str">
        <f aca="false">IF($A158="","",08_ロードマップ!F158)</f>
        <v/>
      </c>
      <c r="E158" s="16" t="str">
        <f aca="false">IF($A158="","",IFERROR(VLOOKUP($A158,04_依存関係マスター!$A:$C,3,0),""))</f>
        <v/>
      </c>
      <c r="F158" s="16" t="str">
        <f aca="false">IF($E158="","",IF(COUNTIFS(06_重複排除後!$A:$A,$E158,06_重複排除後!$H:$H,"○")&gt;0,"採用",""))</f>
        <v/>
      </c>
      <c r="G158" s="16" t="str">
        <f aca="false">IF($A158="","",MAX(IF($C158="短期",00_はじめに!$B$20,IF($C158="中期",00_はじめに!$B$21,00_はじめに!$B$22)),IF($F158="採用",IFERROR(VLOOKUP($E158,$A:$H,8,0)+1,0),0)))</f>
        <v/>
      </c>
      <c r="H158" s="16" t="str">
        <f aca="false">IF($A158="","",MIN(36,$G158+$D158-1))</f>
        <v/>
      </c>
    </row>
    <row r="159" customFormat="false" ht="15" hidden="false" customHeight="false" outlineLevel="0" collapsed="false">
      <c r="A159" s="10" t="str">
        <f aca="false">08_ロードマップ!C159</f>
        <v/>
      </c>
      <c r="B159" s="10" t="str">
        <f aca="false">IF($A159="","",08_ロードマップ!D159)</f>
        <v/>
      </c>
      <c r="C159" s="16" t="str">
        <f aca="false">IF($A159="","",08_ロードマップ!A159)</f>
        <v/>
      </c>
      <c r="D159" s="16" t="str">
        <f aca="false">IF($A159="","",08_ロードマップ!F159)</f>
        <v/>
      </c>
      <c r="E159" s="16" t="str">
        <f aca="false">IF($A159="","",IFERROR(VLOOKUP($A159,04_依存関係マスター!$A:$C,3,0),""))</f>
        <v/>
      </c>
      <c r="F159" s="16" t="str">
        <f aca="false">IF($E159="","",IF(COUNTIFS(06_重複排除後!$A:$A,$E159,06_重複排除後!$H:$H,"○")&gt;0,"採用",""))</f>
        <v/>
      </c>
      <c r="G159" s="16" t="str">
        <f aca="false">IF($A159="","",MAX(IF($C159="短期",00_はじめに!$B$20,IF($C159="中期",00_はじめに!$B$21,00_はじめに!$B$22)),IF($F159="採用",IFERROR(VLOOKUP($E159,$A:$H,8,0)+1,0),0)))</f>
        <v/>
      </c>
      <c r="H159" s="16" t="str">
        <f aca="false">IF($A159="","",MIN(36,$G159+$D159-1))</f>
        <v/>
      </c>
    </row>
    <row r="160" customFormat="false" ht="15" hidden="false" customHeight="false" outlineLevel="0" collapsed="false">
      <c r="A160" s="10" t="str">
        <f aca="false">08_ロードマップ!C160</f>
        <v/>
      </c>
      <c r="B160" s="10" t="str">
        <f aca="false">IF($A160="","",08_ロードマップ!D160)</f>
        <v/>
      </c>
      <c r="C160" s="16" t="str">
        <f aca="false">IF($A160="","",08_ロードマップ!A160)</f>
        <v/>
      </c>
      <c r="D160" s="16" t="str">
        <f aca="false">IF($A160="","",08_ロードマップ!F160)</f>
        <v/>
      </c>
      <c r="E160" s="16" t="str">
        <f aca="false">IF($A160="","",IFERROR(VLOOKUP($A160,04_依存関係マスター!$A:$C,3,0),""))</f>
        <v/>
      </c>
      <c r="F160" s="16" t="str">
        <f aca="false">IF($E160="","",IF(COUNTIFS(06_重複排除後!$A:$A,$E160,06_重複排除後!$H:$H,"○")&gt;0,"採用",""))</f>
        <v/>
      </c>
      <c r="G160" s="16" t="str">
        <f aca="false">IF($A160="","",MAX(IF($C160="短期",00_はじめに!$B$20,IF($C160="中期",00_はじめに!$B$21,00_はじめに!$B$22)),IF($F160="採用",IFERROR(VLOOKUP($E160,$A:$H,8,0)+1,0),0)))</f>
        <v/>
      </c>
      <c r="H160" s="16" t="str">
        <f aca="false">IF($A160="","",MIN(36,$G160+$D160-1))</f>
        <v/>
      </c>
    </row>
    <row r="161" customFormat="false" ht="15" hidden="false" customHeight="false" outlineLevel="0" collapsed="false">
      <c r="A161" s="10" t="str">
        <f aca="false">08_ロードマップ!C161</f>
        <v/>
      </c>
      <c r="B161" s="10" t="str">
        <f aca="false">IF($A161="","",08_ロードマップ!D161)</f>
        <v/>
      </c>
      <c r="C161" s="16" t="str">
        <f aca="false">IF($A161="","",08_ロードマップ!A161)</f>
        <v/>
      </c>
      <c r="D161" s="16" t="str">
        <f aca="false">IF($A161="","",08_ロードマップ!F161)</f>
        <v/>
      </c>
      <c r="E161" s="16" t="str">
        <f aca="false">IF($A161="","",IFERROR(VLOOKUP($A161,04_依存関係マスター!$A:$C,3,0),""))</f>
        <v/>
      </c>
      <c r="F161" s="16" t="str">
        <f aca="false">IF($E161="","",IF(COUNTIFS(06_重複排除後!$A:$A,$E161,06_重複排除後!$H:$H,"○")&gt;0,"採用",""))</f>
        <v/>
      </c>
      <c r="G161" s="16" t="str">
        <f aca="false">IF($A161="","",MAX(IF($C161="短期",00_はじめに!$B$20,IF($C161="中期",00_はじめに!$B$21,00_はじめに!$B$22)),IF($F161="採用",IFERROR(VLOOKUP($E161,$A:$H,8,0)+1,0),0)))</f>
        <v/>
      </c>
      <c r="H161" s="16" t="str">
        <f aca="false">IF($A161="","",MIN(36,$G161+$D161-1))</f>
        <v/>
      </c>
    </row>
    <row r="162" customFormat="false" ht="15" hidden="false" customHeight="false" outlineLevel="0" collapsed="false">
      <c r="A162" s="10" t="str">
        <f aca="false">08_ロードマップ!C162</f>
        <v/>
      </c>
      <c r="B162" s="10" t="str">
        <f aca="false">IF($A162="","",08_ロードマップ!D162)</f>
        <v/>
      </c>
      <c r="C162" s="16" t="str">
        <f aca="false">IF($A162="","",08_ロードマップ!A162)</f>
        <v/>
      </c>
      <c r="D162" s="16" t="str">
        <f aca="false">IF($A162="","",08_ロードマップ!F162)</f>
        <v/>
      </c>
      <c r="E162" s="16" t="str">
        <f aca="false">IF($A162="","",IFERROR(VLOOKUP($A162,04_依存関係マスター!$A:$C,3,0),""))</f>
        <v/>
      </c>
      <c r="F162" s="16" t="str">
        <f aca="false">IF($E162="","",IF(COUNTIFS(06_重複排除後!$A:$A,$E162,06_重複排除後!$H:$H,"○")&gt;0,"採用",""))</f>
        <v/>
      </c>
      <c r="G162" s="16" t="str">
        <f aca="false">IF($A162="","",MAX(IF($C162="短期",00_はじめに!$B$20,IF($C162="中期",00_はじめに!$B$21,00_はじめに!$B$22)),IF($F162="採用",IFERROR(VLOOKUP($E162,$A:$H,8,0)+1,0),0)))</f>
        <v/>
      </c>
      <c r="H162" s="16" t="str">
        <f aca="false">IF($A162="","",MIN(36,$G162+$D162-1))</f>
        <v/>
      </c>
    </row>
    <row r="163" customFormat="false" ht="15" hidden="false" customHeight="false" outlineLevel="0" collapsed="false">
      <c r="A163" s="10" t="str">
        <f aca="false">08_ロードマップ!C163</f>
        <v/>
      </c>
      <c r="B163" s="10" t="str">
        <f aca="false">IF($A163="","",08_ロードマップ!D163)</f>
        <v/>
      </c>
      <c r="C163" s="16" t="str">
        <f aca="false">IF($A163="","",08_ロードマップ!A163)</f>
        <v/>
      </c>
      <c r="D163" s="16" t="str">
        <f aca="false">IF($A163="","",08_ロードマップ!F163)</f>
        <v/>
      </c>
      <c r="E163" s="16" t="str">
        <f aca="false">IF($A163="","",IFERROR(VLOOKUP($A163,04_依存関係マスター!$A:$C,3,0),""))</f>
        <v/>
      </c>
      <c r="F163" s="16" t="str">
        <f aca="false">IF($E163="","",IF(COUNTIFS(06_重複排除後!$A:$A,$E163,06_重複排除後!$H:$H,"○")&gt;0,"採用",""))</f>
        <v/>
      </c>
      <c r="G163" s="16" t="str">
        <f aca="false">IF($A163="","",MAX(IF($C163="短期",00_はじめに!$B$20,IF($C163="中期",00_はじめに!$B$21,00_はじめに!$B$22)),IF($F163="採用",IFERROR(VLOOKUP($E163,$A:$H,8,0)+1,0),0)))</f>
        <v/>
      </c>
      <c r="H163" s="16" t="str">
        <f aca="false">IF($A163="","",MIN(36,$G163+$D163-1))</f>
        <v/>
      </c>
    </row>
    <row r="164" customFormat="false" ht="15" hidden="false" customHeight="false" outlineLevel="0" collapsed="false">
      <c r="A164" s="10" t="str">
        <f aca="false">08_ロードマップ!C164</f>
        <v/>
      </c>
      <c r="B164" s="10" t="str">
        <f aca="false">IF($A164="","",08_ロードマップ!D164)</f>
        <v/>
      </c>
      <c r="C164" s="16" t="str">
        <f aca="false">IF($A164="","",08_ロードマップ!A164)</f>
        <v/>
      </c>
      <c r="D164" s="16" t="str">
        <f aca="false">IF($A164="","",08_ロードマップ!F164)</f>
        <v/>
      </c>
      <c r="E164" s="16" t="str">
        <f aca="false">IF($A164="","",IFERROR(VLOOKUP($A164,04_依存関係マスター!$A:$C,3,0),""))</f>
        <v/>
      </c>
      <c r="F164" s="16" t="str">
        <f aca="false">IF($E164="","",IF(COUNTIFS(06_重複排除後!$A:$A,$E164,06_重複排除後!$H:$H,"○")&gt;0,"採用",""))</f>
        <v/>
      </c>
      <c r="G164" s="16" t="str">
        <f aca="false">IF($A164="","",MAX(IF($C164="短期",00_はじめに!$B$20,IF($C164="中期",00_はじめに!$B$21,00_はじめに!$B$22)),IF($F164="採用",IFERROR(VLOOKUP($E164,$A:$H,8,0)+1,0),0)))</f>
        <v/>
      </c>
      <c r="H164" s="16" t="str">
        <f aca="false">IF($A164="","",MIN(36,$G164+$D164-1))</f>
        <v/>
      </c>
    </row>
    <row r="165" customFormat="false" ht="15" hidden="false" customHeight="false" outlineLevel="0" collapsed="false">
      <c r="A165" s="10" t="str">
        <f aca="false">08_ロードマップ!C165</f>
        <v/>
      </c>
      <c r="B165" s="10" t="str">
        <f aca="false">IF($A165="","",08_ロードマップ!D165)</f>
        <v/>
      </c>
      <c r="C165" s="16" t="str">
        <f aca="false">IF($A165="","",08_ロードマップ!A165)</f>
        <v/>
      </c>
      <c r="D165" s="16" t="str">
        <f aca="false">IF($A165="","",08_ロードマップ!F165)</f>
        <v/>
      </c>
      <c r="E165" s="16" t="str">
        <f aca="false">IF($A165="","",IFERROR(VLOOKUP($A165,04_依存関係マスター!$A:$C,3,0),""))</f>
        <v/>
      </c>
      <c r="F165" s="16" t="str">
        <f aca="false">IF($E165="","",IF(COUNTIFS(06_重複排除後!$A:$A,$E165,06_重複排除後!$H:$H,"○")&gt;0,"採用",""))</f>
        <v/>
      </c>
      <c r="G165" s="16" t="str">
        <f aca="false">IF($A165="","",MAX(IF($C165="短期",00_はじめに!$B$20,IF($C165="中期",00_はじめに!$B$21,00_はじめに!$B$22)),IF($F165="採用",IFERROR(VLOOKUP($E165,$A:$H,8,0)+1,0),0)))</f>
        <v/>
      </c>
      <c r="H165" s="16" t="str">
        <f aca="false">IF($A165="","",MIN(36,$G165+$D165-1))</f>
        <v/>
      </c>
    </row>
    <row r="166" customFormat="false" ht="15" hidden="false" customHeight="false" outlineLevel="0" collapsed="false">
      <c r="A166" s="10" t="str">
        <f aca="false">08_ロードマップ!C166</f>
        <v/>
      </c>
      <c r="B166" s="10" t="str">
        <f aca="false">IF($A166="","",08_ロードマップ!D166)</f>
        <v/>
      </c>
      <c r="C166" s="16" t="str">
        <f aca="false">IF($A166="","",08_ロードマップ!A166)</f>
        <v/>
      </c>
      <c r="D166" s="16" t="str">
        <f aca="false">IF($A166="","",08_ロードマップ!F166)</f>
        <v/>
      </c>
      <c r="E166" s="16" t="str">
        <f aca="false">IF($A166="","",IFERROR(VLOOKUP($A166,04_依存関係マスター!$A:$C,3,0),""))</f>
        <v/>
      </c>
      <c r="F166" s="16" t="str">
        <f aca="false">IF($E166="","",IF(COUNTIFS(06_重複排除後!$A:$A,$E166,06_重複排除後!$H:$H,"○")&gt;0,"採用",""))</f>
        <v/>
      </c>
      <c r="G166" s="16" t="str">
        <f aca="false">IF($A166="","",MAX(IF($C166="短期",00_はじめに!$B$20,IF($C166="中期",00_はじめに!$B$21,00_はじめに!$B$22)),IF($F166="採用",IFERROR(VLOOKUP($E166,$A:$H,8,0)+1,0),0)))</f>
        <v/>
      </c>
      <c r="H166" s="16" t="str">
        <f aca="false">IF($A166="","",MIN(36,$G166+$D166-1))</f>
        <v/>
      </c>
    </row>
    <row r="167" customFormat="false" ht="15" hidden="false" customHeight="false" outlineLevel="0" collapsed="false">
      <c r="A167" s="10" t="str">
        <f aca="false">08_ロードマップ!C167</f>
        <v/>
      </c>
      <c r="B167" s="10" t="str">
        <f aca="false">IF($A167="","",08_ロードマップ!D167)</f>
        <v/>
      </c>
      <c r="C167" s="16" t="str">
        <f aca="false">IF($A167="","",08_ロードマップ!A167)</f>
        <v/>
      </c>
      <c r="D167" s="16" t="str">
        <f aca="false">IF($A167="","",08_ロードマップ!F167)</f>
        <v/>
      </c>
      <c r="E167" s="16" t="str">
        <f aca="false">IF($A167="","",IFERROR(VLOOKUP($A167,04_依存関係マスター!$A:$C,3,0),""))</f>
        <v/>
      </c>
      <c r="F167" s="16" t="str">
        <f aca="false">IF($E167="","",IF(COUNTIFS(06_重複排除後!$A:$A,$E167,06_重複排除後!$H:$H,"○")&gt;0,"採用",""))</f>
        <v/>
      </c>
      <c r="G167" s="16" t="str">
        <f aca="false">IF($A167="","",MAX(IF($C167="短期",00_はじめに!$B$20,IF($C167="中期",00_はじめに!$B$21,00_はじめに!$B$22)),IF($F167="採用",IFERROR(VLOOKUP($E167,$A:$H,8,0)+1,0),0)))</f>
        <v/>
      </c>
      <c r="H167" s="16" t="str">
        <f aca="false">IF($A167="","",MIN(36,$G167+$D167-1))</f>
        <v/>
      </c>
    </row>
    <row r="168" customFormat="false" ht="15" hidden="false" customHeight="false" outlineLevel="0" collapsed="false">
      <c r="A168" s="10" t="str">
        <f aca="false">08_ロードマップ!C168</f>
        <v/>
      </c>
      <c r="B168" s="10" t="str">
        <f aca="false">IF($A168="","",08_ロードマップ!D168)</f>
        <v/>
      </c>
      <c r="C168" s="16" t="str">
        <f aca="false">IF($A168="","",08_ロードマップ!A168)</f>
        <v/>
      </c>
      <c r="D168" s="16" t="str">
        <f aca="false">IF($A168="","",08_ロードマップ!F168)</f>
        <v/>
      </c>
      <c r="E168" s="16" t="str">
        <f aca="false">IF($A168="","",IFERROR(VLOOKUP($A168,04_依存関係マスター!$A:$C,3,0),""))</f>
        <v/>
      </c>
      <c r="F168" s="16" t="str">
        <f aca="false">IF($E168="","",IF(COUNTIFS(06_重複排除後!$A:$A,$E168,06_重複排除後!$H:$H,"○")&gt;0,"採用",""))</f>
        <v/>
      </c>
      <c r="G168" s="16" t="str">
        <f aca="false">IF($A168="","",MAX(IF($C168="短期",00_はじめに!$B$20,IF($C168="中期",00_はじめに!$B$21,00_はじめに!$B$22)),IF($F168="採用",IFERROR(VLOOKUP($E168,$A:$H,8,0)+1,0),0)))</f>
        <v/>
      </c>
      <c r="H168" s="16" t="str">
        <f aca="false">IF($A168="","",MIN(36,$G168+$D168-1))</f>
        <v/>
      </c>
    </row>
    <row r="169" customFormat="false" ht="15" hidden="false" customHeight="false" outlineLevel="0" collapsed="false">
      <c r="A169" s="10" t="str">
        <f aca="false">08_ロードマップ!C169</f>
        <v/>
      </c>
      <c r="B169" s="10" t="str">
        <f aca="false">IF($A169="","",08_ロードマップ!D169)</f>
        <v/>
      </c>
      <c r="C169" s="16" t="str">
        <f aca="false">IF($A169="","",08_ロードマップ!A169)</f>
        <v/>
      </c>
      <c r="D169" s="16" t="str">
        <f aca="false">IF($A169="","",08_ロードマップ!F169)</f>
        <v/>
      </c>
      <c r="E169" s="16" t="str">
        <f aca="false">IF($A169="","",IFERROR(VLOOKUP($A169,04_依存関係マスター!$A:$C,3,0),""))</f>
        <v/>
      </c>
      <c r="F169" s="16" t="str">
        <f aca="false">IF($E169="","",IF(COUNTIFS(06_重複排除後!$A:$A,$E169,06_重複排除後!$H:$H,"○")&gt;0,"採用",""))</f>
        <v/>
      </c>
      <c r="G169" s="16" t="str">
        <f aca="false">IF($A169="","",MAX(IF($C169="短期",00_はじめに!$B$20,IF($C169="中期",00_はじめに!$B$21,00_はじめに!$B$22)),IF($F169="採用",IFERROR(VLOOKUP($E169,$A:$H,8,0)+1,0),0)))</f>
        <v/>
      </c>
      <c r="H169" s="16" t="str">
        <f aca="false">IF($A169="","",MIN(36,$G169+$D169-1))</f>
        <v/>
      </c>
    </row>
    <row r="170" customFormat="false" ht="15" hidden="false" customHeight="false" outlineLevel="0" collapsed="false">
      <c r="A170" s="10" t="str">
        <f aca="false">08_ロードマップ!C170</f>
        <v/>
      </c>
      <c r="B170" s="10" t="str">
        <f aca="false">IF($A170="","",08_ロードマップ!D170)</f>
        <v/>
      </c>
      <c r="C170" s="16" t="str">
        <f aca="false">IF($A170="","",08_ロードマップ!A170)</f>
        <v/>
      </c>
      <c r="D170" s="16" t="str">
        <f aca="false">IF($A170="","",08_ロードマップ!F170)</f>
        <v/>
      </c>
      <c r="E170" s="16" t="str">
        <f aca="false">IF($A170="","",IFERROR(VLOOKUP($A170,04_依存関係マスター!$A:$C,3,0),""))</f>
        <v/>
      </c>
      <c r="F170" s="16" t="str">
        <f aca="false">IF($E170="","",IF(COUNTIFS(06_重複排除後!$A:$A,$E170,06_重複排除後!$H:$H,"○")&gt;0,"採用",""))</f>
        <v/>
      </c>
      <c r="G170" s="16" t="str">
        <f aca="false">IF($A170="","",MAX(IF($C170="短期",00_はじめに!$B$20,IF($C170="中期",00_はじめに!$B$21,00_はじめに!$B$22)),IF($F170="採用",IFERROR(VLOOKUP($E170,$A:$H,8,0)+1,0),0)))</f>
        <v/>
      </c>
      <c r="H170" s="16" t="str">
        <f aca="false">IF($A170="","",MIN(36,$G170+$D170-1))</f>
        <v/>
      </c>
    </row>
    <row r="171" customFormat="false" ht="15" hidden="false" customHeight="false" outlineLevel="0" collapsed="false">
      <c r="A171" s="10" t="str">
        <f aca="false">08_ロードマップ!C171</f>
        <v/>
      </c>
      <c r="B171" s="10" t="str">
        <f aca="false">IF($A171="","",08_ロードマップ!D171)</f>
        <v/>
      </c>
      <c r="C171" s="16" t="str">
        <f aca="false">IF($A171="","",08_ロードマップ!A171)</f>
        <v/>
      </c>
      <c r="D171" s="16" t="str">
        <f aca="false">IF($A171="","",08_ロードマップ!F171)</f>
        <v/>
      </c>
      <c r="E171" s="16" t="str">
        <f aca="false">IF($A171="","",IFERROR(VLOOKUP($A171,04_依存関係マスター!$A:$C,3,0),""))</f>
        <v/>
      </c>
      <c r="F171" s="16" t="str">
        <f aca="false">IF($E171="","",IF(COUNTIFS(06_重複排除後!$A:$A,$E171,06_重複排除後!$H:$H,"○")&gt;0,"採用",""))</f>
        <v/>
      </c>
      <c r="G171" s="16" t="str">
        <f aca="false">IF($A171="","",MAX(IF($C171="短期",00_はじめに!$B$20,IF($C171="中期",00_はじめに!$B$21,00_はじめに!$B$22)),IF($F171="採用",IFERROR(VLOOKUP($E171,$A:$H,8,0)+1,0),0)))</f>
        <v/>
      </c>
      <c r="H171" s="16" t="str">
        <f aca="false">IF($A171="","",MIN(36,$G171+$D171-1))</f>
        <v/>
      </c>
    </row>
    <row r="172" customFormat="false" ht="15" hidden="false" customHeight="false" outlineLevel="0" collapsed="false">
      <c r="A172" s="10" t="str">
        <f aca="false">08_ロードマップ!C172</f>
        <v/>
      </c>
      <c r="B172" s="10" t="str">
        <f aca="false">IF($A172="","",08_ロードマップ!D172)</f>
        <v/>
      </c>
      <c r="C172" s="16" t="str">
        <f aca="false">IF($A172="","",08_ロードマップ!A172)</f>
        <v/>
      </c>
      <c r="D172" s="16" t="str">
        <f aca="false">IF($A172="","",08_ロードマップ!F172)</f>
        <v/>
      </c>
      <c r="E172" s="16" t="str">
        <f aca="false">IF($A172="","",IFERROR(VLOOKUP($A172,04_依存関係マスター!$A:$C,3,0),""))</f>
        <v/>
      </c>
      <c r="F172" s="16" t="str">
        <f aca="false">IF($E172="","",IF(COUNTIFS(06_重複排除後!$A:$A,$E172,06_重複排除後!$H:$H,"○")&gt;0,"採用",""))</f>
        <v/>
      </c>
      <c r="G172" s="16" t="str">
        <f aca="false">IF($A172="","",MAX(IF($C172="短期",00_はじめに!$B$20,IF($C172="中期",00_はじめに!$B$21,00_はじめに!$B$22)),IF($F172="採用",IFERROR(VLOOKUP($E172,$A:$H,8,0)+1,0),0)))</f>
        <v/>
      </c>
      <c r="H172" s="16" t="str">
        <f aca="false">IF($A172="","",MIN(36,$G172+$D172-1))</f>
        <v/>
      </c>
    </row>
    <row r="173" customFormat="false" ht="15" hidden="false" customHeight="false" outlineLevel="0" collapsed="false">
      <c r="A173" s="10" t="str">
        <f aca="false">08_ロードマップ!C173</f>
        <v/>
      </c>
      <c r="B173" s="10" t="str">
        <f aca="false">IF($A173="","",08_ロードマップ!D173)</f>
        <v/>
      </c>
      <c r="C173" s="16" t="str">
        <f aca="false">IF($A173="","",08_ロードマップ!A173)</f>
        <v/>
      </c>
      <c r="D173" s="16" t="str">
        <f aca="false">IF($A173="","",08_ロードマップ!F173)</f>
        <v/>
      </c>
      <c r="E173" s="16" t="str">
        <f aca="false">IF($A173="","",IFERROR(VLOOKUP($A173,04_依存関係マスター!$A:$C,3,0),""))</f>
        <v/>
      </c>
      <c r="F173" s="16" t="str">
        <f aca="false">IF($E173="","",IF(COUNTIFS(06_重複排除後!$A:$A,$E173,06_重複排除後!$H:$H,"○")&gt;0,"採用",""))</f>
        <v/>
      </c>
      <c r="G173" s="16" t="str">
        <f aca="false">IF($A173="","",MAX(IF($C173="短期",00_はじめに!$B$20,IF($C173="中期",00_はじめに!$B$21,00_はじめに!$B$22)),IF($F173="採用",IFERROR(VLOOKUP($E173,$A:$H,8,0)+1,0),0)))</f>
        <v/>
      </c>
      <c r="H173" s="16" t="str">
        <f aca="false">IF($A173="","",MIN(36,$G173+$D173-1))</f>
        <v/>
      </c>
    </row>
    <row r="174" customFormat="false" ht="15" hidden="false" customHeight="false" outlineLevel="0" collapsed="false">
      <c r="A174" s="10" t="str">
        <f aca="false">08_ロードマップ!C174</f>
        <v/>
      </c>
      <c r="B174" s="10" t="str">
        <f aca="false">IF($A174="","",08_ロードマップ!D174)</f>
        <v/>
      </c>
      <c r="C174" s="16" t="str">
        <f aca="false">IF($A174="","",08_ロードマップ!A174)</f>
        <v/>
      </c>
      <c r="D174" s="16" t="str">
        <f aca="false">IF($A174="","",08_ロードマップ!F174)</f>
        <v/>
      </c>
      <c r="E174" s="16" t="str">
        <f aca="false">IF($A174="","",IFERROR(VLOOKUP($A174,04_依存関係マスター!$A:$C,3,0),""))</f>
        <v/>
      </c>
      <c r="F174" s="16" t="str">
        <f aca="false">IF($E174="","",IF(COUNTIFS(06_重複排除後!$A:$A,$E174,06_重複排除後!$H:$H,"○")&gt;0,"採用",""))</f>
        <v/>
      </c>
      <c r="G174" s="16" t="str">
        <f aca="false">IF($A174="","",MAX(IF($C174="短期",00_はじめに!$B$20,IF($C174="中期",00_はじめに!$B$21,00_はじめに!$B$22)),IF($F174="採用",IFERROR(VLOOKUP($E174,$A:$H,8,0)+1,0),0)))</f>
        <v/>
      </c>
      <c r="H174" s="16" t="str">
        <f aca="false">IF($A174="","",MIN(36,$G174+$D174-1))</f>
        <v/>
      </c>
    </row>
    <row r="175" customFormat="false" ht="15" hidden="false" customHeight="false" outlineLevel="0" collapsed="false">
      <c r="A175" s="10" t="str">
        <f aca="false">08_ロードマップ!C175</f>
        <v/>
      </c>
      <c r="B175" s="10" t="str">
        <f aca="false">IF($A175="","",08_ロードマップ!D175)</f>
        <v/>
      </c>
      <c r="C175" s="16" t="str">
        <f aca="false">IF($A175="","",08_ロードマップ!A175)</f>
        <v/>
      </c>
      <c r="D175" s="16" t="str">
        <f aca="false">IF($A175="","",08_ロードマップ!F175)</f>
        <v/>
      </c>
      <c r="E175" s="16" t="str">
        <f aca="false">IF($A175="","",IFERROR(VLOOKUP($A175,04_依存関係マスター!$A:$C,3,0),""))</f>
        <v/>
      </c>
      <c r="F175" s="16" t="str">
        <f aca="false">IF($E175="","",IF(COUNTIFS(06_重複排除後!$A:$A,$E175,06_重複排除後!$H:$H,"○")&gt;0,"採用",""))</f>
        <v/>
      </c>
      <c r="G175" s="16" t="str">
        <f aca="false">IF($A175="","",MAX(IF($C175="短期",00_はじめに!$B$20,IF($C175="中期",00_はじめに!$B$21,00_はじめに!$B$22)),IF($F175="採用",IFERROR(VLOOKUP($E175,$A:$H,8,0)+1,0),0)))</f>
        <v/>
      </c>
      <c r="H175" s="16" t="str">
        <f aca="false">IF($A175="","",MIN(36,$G175+$D175-1))</f>
        <v/>
      </c>
    </row>
    <row r="176" customFormat="false" ht="15" hidden="false" customHeight="false" outlineLevel="0" collapsed="false">
      <c r="A176" s="10" t="str">
        <f aca="false">08_ロードマップ!C176</f>
        <v/>
      </c>
      <c r="B176" s="10" t="str">
        <f aca="false">IF($A176="","",08_ロードマップ!D176)</f>
        <v/>
      </c>
      <c r="C176" s="16" t="str">
        <f aca="false">IF($A176="","",08_ロードマップ!A176)</f>
        <v/>
      </c>
      <c r="D176" s="16" t="str">
        <f aca="false">IF($A176="","",08_ロードマップ!F176)</f>
        <v/>
      </c>
      <c r="E176" s="16" t="str">
        <f aca="false">IF($A176="","",IFERROR(VLOOKUP($A176,04_依存関係マスター!$A:$C,3,0),""))</f>
        <v/>
      </c>
      <c r="F176" s="16" t="str">
        <f aca="false">IF($E176="","",IF(COUNTIFS(06_重複排除後!$A:$A,$E176,06_重複排除後!$H:$H,"○")&gt;0,"採用",""))</f>
        <v/>
      </c>
      <c r="G176" s="16" t="str">
        <f aca="false">IF($A176="","",MAX(IF($C176="短期",00_はじめに!$B$20,IF($C176="中期",00_はじめに!$B$21,00_はじめに!$B$22)),IF($F176="採用",IFERROR(VLOOKUP($E176,$A:$H,8,0)+1,0),0)))</f>
        <v/>
      </c>
      <c r="H176" s="16" t="str">
        <f aca="false">IF($A176="","",MIN(36,$G176+$D176-1))</f>
        <v/>
      </c>
    </row>
    <row r="177" customFormat="false" ht="15" hidden="false" customHeight="false" outlineLevel="0" collapsed="false">
      <c r="A177" s="10" t="str">
        <f aca="false">08_ロードマップ!C177</f>
        <v/>
      </c>
      <c r="B177" s="10" t="str">
        <f aca="false">IF($A177="","",08_ロードマップ!D177)</f>
        <v/>
      </c>
      <c r="C177" s="16" t="str">
        <f aca="false">IF($A177="","",08_ロードマップ!A177)</f>
        <v/>
      </c>
      <c r="D177" s="16" t="str">
        <f aca="false">IF($A177="","",08_ロードマップ!F177)</f>
        <v/>
      </c>
      <c r="E177" s="16" t="str">
        <f aca="false">IF($A177="","",IFERROR(VLOOKUP($A177,04_依存関係マスター!$A:$C,3,0),""))</f>
        <v/>
      </c>
      <c r="F177" s="16" t="str">
        <f aca="false">IF($E177="","",IF(COUNTIFS(06_重複排除後!$A:$A,$E177,06_重複排除後!$H:$H,"○")&gt;0,"採用",""))</f>
        <v/>
      </c>
      <c r="G177" s="16" t="str">
        <f aca="false">IF($A177="","",MAX(IF($C177="短期",00_はじめに!$B$20,IF($C177="中期",00_はじめに!$B$21,00_はじめに!$B$22)),IF($F177="採用",IFERROR(VLOOKUP($E177,$A:$H,8,0)+1,0),0)))</f>
        <v/>
      </c>
      <c r="H177" s="16" t="str">
        <f aca="false">IF($A177="","",MIN(36,$G177+$D177-1))</f>
        <v/>
      </c>
    </row>
    <row r="178" customFormat="false" ht="15" hidden="false" customHeight="false" outlineLevel="0" collapsed="false">
      <c r="A178" s="10" t="str">
        <f aca="false">08_ロードマップ!C178</f>
        <v/>
      </c>
      <c r="B178" s="10" t="str">
        <f aca="false">IF($A178="","",08_ロードマップ!D178)</f>
        <v/>
      </c>
      <c r="C178" s="16" t="str">
        <f aca="false">IF($A178="","",08_ロードマップ!A178)</f>
        <v/>
      </c>
      <c r="D178" s="16" t="str">
        <f aca="false">IF($A178="","",08_ロードマップ!F178)</f>
        <v/>
      </c>
      <c r="E178" s="16" t="str">
        <f aca="false">IF($A178="","",IFERROR(VLOOKUP($A178,04_依存関係マスター!$A:$C,3,0),""))</f>
        <v/>
      </c>
      <c r="F178" s="16" t="str">
        <f aca="false">IF($E178="","",IF(COUNTIFS(06_重複排除後!$A:$A,$E178,06_重複排除後!$H:$H,"○")&gt;0,"採用",""))</f>
        <v/>
      </c>
      <c r="G178" s="16" t="str">
        <f aca="false">IF($A178="","",MAX(IF($C178="短期",00_はじめに!$B$20,IF($C178="中期",00_はじめに!$B$21,00_はじめに!$B$22)),IF($F178="採用",IFERROR(VLOOKUP($E178,$A:$H,8,0)+1,0),0)))</f>
        <v/>
      </c>
      <c r="H178" s="16" t="str">
        <f aca="false">IF($A178="","",MIN(36,$G178+$D178-1))</f>
        <v/>
      </c>
    </row>
    <row r="179" customFormat="false" ht="15" hidden="false" customHeight="false" outlineLevel="0" collapsed="false">
      <c r="A179" s="10" t="str">
        <f aca="false">08_ロードマップ!C179</f>
        <v/>
      </c>
      <c r="B179" s="10" t="str">
        <f aca="false">IF($A179="","",08_ロードマップ!D179)</f>
        <v/>
      </c>
      <c r="C179" s="16" t="str">
        <f aca="false">IF($A179="","",08_ロードマップ!A179)</f>
        <v/>
      </c>
      <c r="D179" s="16" t="str">
        <f aca="false">IF($A179="","",08_ロードマップ!F179)</f>
        <v/>
      </c>
      <c r="E179" s="16" t="str">
        <f aca="false">IF($A179="","",IFERROR(VLOOKUP($A179,04_依存関係マスター!$A:$C,3,0),""))</f>
        <v/>
      </c>
      <c r="F179" s="16" t="str">
        <f aca="false">IF($E179="","",IF(COUNTIFS(06_重複排除後!$A:$A,$E179,06_重複排除後!$H:$H,"○")&gt;0,"採用",""))</f>
        <v/>
      </c>
      <c r="G179" s="16" t="str">
        <f aca="false">IF($A179="","",MAX(IF($C179="短期",00_はじめに!$B$20,IF($C179="中期",00_はじめに!$B$21,00_はじめに!$B$22)),IF($F179="採用",IFERROR(VLOOKUP($E179,$A:$H,8,0)+1,0),0)))</f>
        <v/>
      </c>
      <c r="H179" s="16" t="str">
        <f aca="false">IF($A179="","",MIN(36,$G179+$D179-1))</f>
        <v/>
      </c>
    </row>
    <row r="180" customFormat="false" ht="15" hidden="false" customHeight="false" outlineLevel="0" collapsed="false">
      <c r="A180" s="10" t="str">
        <f aca="false">08_ロードマップ!C180</f>
        <v/>
      </c>
      <c r="B180" s="10" t="str">
        <f aca="false">IF($A180="","",08_ロードマップ!D180)</f>
        <v/>
      </c>
      <c r="C180" s="16" t="str">
        <f aca="false">IF($A180="","",08_ロードマップ!A180)</f>
        <v/>
      </c>
      <c r="D180" s="16" t="str">
        <f aca="false">IF($A180="","",08_ロードマップ!F180)</f>
        <v/>
      </c>
      <c r="E180" s="16" t="str">
        <f aca="false">IF($A180="","",IFERROR(VLOOKUP($A180,04_依存関係マスター!$A:$C,3,0),""))</f>
        <v/>
      </c>
      <c r="F180" s="16" t="str">
        <f aca="false">IF($E180="","",IF(COUNTIFS(06_重複排除後!$A:$A,$E180,06_重複排除後!$H:$H,"○")&gt;0,"採用",""))</f>
        <v/>
      </c>
      <c r="G180" s="16" t="str">
        <f aca="false">IF($A180="","",MAX(IF($C180="短期",00_はじめに!$B$20,IF($C180="中期",00_はじめに!$B$21,00_はじめに!$B$22)),IF($F180="採用",IFERROR(VLOOKUP($E180,$A:$H,8,0)+1,0),0)))</f>
        <v/>
      </c>
      <c r="H180" s="16" t="str">
        <f aca="false">IF($A180="","",MIN(36,$G180+$D180-1))</f>
        <v/>
      </c>
    </row>
    <row r="181" customFormat="false" ht="15" hidden="false" customHeight="false" outlineLevel="0" collapsed="false">
      <c r="A181" s="10" t="str">
        <f aca="false">08_ロードマップ!C181</f>
        <v/>
      </c>
      <c r="B181" s="10" t="str">
        <f aca="false">IF($A181="","",08_ロードマップ!D181)</f>
        <v/>
      </c>
      <c r="C181" s="16" t="str">
        <f aca="false">IF($A181="","",08_ロードマップ!A181)</f>
        <v/>
      </c>
      <c r="D181" s="16" t="str">
        <f aca="false">IF($A181="","",08_ロードマップ!F181)</f>
        <v/>
      </c>
      <c r="E181" s="16" t="str">
        <f aca="false">IF($A181="","",IFERROR(VLOOKUP($A181,04_依存関係マスター!$A:$C,3,0),""))</f>
        <v/>
      </c>
      <c r="F181" s="16" t="str">
        <f aca="false">IF($E181="","",IF(COUNTIFS(06_重複排除後!$A:$A,$E181,06_重複排除後!$H:$H,"○")&gt;0,"採用",""))</f>
        <v/>
      </c>
      <c r="G181" s="16" t="str">
        <f aca="false">IF($A181="","",MAX(IF($C181="短期",00_はじめに!$B$20,IF($C181="中期",00_はじめに!$B$21,00_はじめに!$B$22)),IF($F181="採用",IFERROR(VLOOKUP($E181,$A:$H,8,0)+1,0),0)))</f>
        <v/>
      </c>
      <c r="H181" s="16" t="str">
        <f aca="false">IF($A181="","",MIN(36,$G181+$D181-1))</f>
        <v/>
      </c>
    </row>
    <row r="182" customFormat="false" ht="15" hidden="false" customHeight="false" outlineLevel="0" collapsed="false">
      <c r="A182" s="10" t="str">
        <f aca="false">08_ロードマップ!C182</f>
        <v/>
      </c>
      <c r="B182" s="10" t="str">
        <f aca="false">IF($A182="","",08_ロードマップ!D182)</f>
        <v/>
      </c>
      <c r="C182" s="16" t="str">
        <f aca="false">IF($A182="","",08_ロードマップ!A182)</f>
        <v/>
      </c>
      <c r="D182" s="16" t="str">
        <f aca="false">IF($A182="","",08_ロードマップ!F182)</f>
        <v/>
      </c>
      <c r="E182" s="16" t="str">
        <f aca="false">IF($A182="","",IFERROR(VLOOKUP($A182,04_依存関係マスター!$A:$C,3,0),""))</f>
        <v/>
      </c>
      <c r="F182" s="16" t="str">
        <f aca="false">IF($E182="","",IF(COUNTIFS(06_重複排除後!$A:$A,$E182,06_重複排除後!$H:$H,"○")&gt;0,"採用",""))</f>
        <v/>
      </c>
      <c r="G182" s="16" t="str">
        <f aca="false">IF($A182="","",MAX(IF($C182="短期",00_はじめに!$B$20,IF($C182="中期",00_はじめに!$B$21,00_はじめに!$B$22)),IF($F182="採用",IFERROR(VLOOKUP($E182,$A:$H,8,0)+1,0),0)))</f>
        <v/>
      </c>
      <c r="H182" s="16" t="str">
        <f aca="false">IF($A182="","",MIN(36,$G182+$D182-1))</f>
        <v/>
      </c>
    </row>
    <row r="183" customFormat="false" ht="15" hidden="false" customHeight="false" outlineLevel="0" collapsed="false">
      <c r="A183" s="10" t="str">
        <f aca="false">08_ロードマップ!C183</f>
        <v/>
      </c>
      <c r="B183" s="10" t="str">
        <f aca="false">IF($A183="","",08_ロードマップ!D183)</f>
        <v/>
      </c>
      <c r="C183" s="16" t="str">
        <f aca="false">IF($A183="","",08_ロードマップ!A183)</f>
        <v/>
      </c>
      <c r="D183" s="16" t="str">
        <f aca="false">IF($A183="","",08_ロードマップ!F183)</f>
        <v/>
      </c>
      <c r="E183" s="16" t="str">
        <f aca="false">IF($A183="","",IFERROR(VLOOKUP($A183,04_依存関係マスター!$A:$C,3,0),""))</f>
        <v/>
      </c>
      <c r="F183" s="16" t="str">
        <f aca="false">IF($E183="","",IF(COUNTIFS(06_重複排除後!$A:$A,$E183,06_重複排除後!$H:$H,"○")&gt;0,"採用",""))</f>
        <v/>
      </c>
      <c r="G183" s="16" t="str">
        <f aca="false">IF($A183="","",MAX(IF($C183="短期",00_はじめに!$B$20,IF($C183="中期",00_はじめに!$B$21,00_はじめに!$B$22)),IF($F183="採用",IFERROR(VLOOKUP($E183,$A:$H,8,0)+1,0),0)))</f>
        <v/>
      </c>
      <c r="H183" s="16" t="str">
        <f aca="false">IF($A183="","",MIN(36,$G183+$D183-1))</f>
        <v/>
      </c>
    </row>
    <row r="184" customFormat="false" ht="15" hidden="false" customHeight="false" outlineLevel="0" collapsed="false">
      <c r="A184" s="10" t="str">
        <f aca="false">08_ロードマップ!C184</f>
        <v/>
      </c>
      <c r="B184" s="10" t="str">
        <f aca="false">IF($A184="","",08_ロードマップ!D184)</f>
        <v/>
      </c>
      <c r="C184" s="16" t="str">
        <f aca="false">IF($A184="","",08_ロードマップ!A184)</f>
        <v/>
      </c>
      <c r="D184" s="16" t="str">
        <f aca="false">IF($A184="","",08_ロードマップ!F184)</f>
        <v/>
      </c>
      <c r="E184" s="16" t="str">
        <f aca="false">IF($A184="","",IFERROR(VLOOKUP($A184,04_依存関係マスター!$A:$C,3,0),""))</f>
        <v/>
      </c>
      <c r="F184" s="16" t="str">
        <f aca="false">IF($E184="","",IF(COUNTIFS(06_重複排除後!$A:$A,$E184,06_重複排除後!$H:$H,"○")&gt;0,"採用",""))</f>
        <v/>
      </c>
      <c r="G184" s="16" t="str">
        <f aca="false">IF($A184="","",MAX(IF($C184="短期",00_はじめに!$B$20,IF($C184="中期",00_はじめに!$B$21,00_はじめに!$B$22)),IF($F184="採用",IFERROR(VLOOKUP($E184,$A:$H,8,0)+1,0),0)))</f>
        <v/>
      </c>
      <c r="H184" s="16" t="str">
        <f aca="false">IF($A184="","",MIN(36,$G184+$D184-1))</f>
        <v/>
      </c>
    </row>
    <row r="185" customFormat="false" ht="15" hidden="false" customHeight="false" outlineLevel="0" collapsed="false">
      <c r="A185" s="10" t="str">
        <f aca="false">08_ロードマップ!C185</f>
        <v/>
      </c>
      <c r="B185" s="10" t="str">
        <f aca="false">IF($A185="","",08_ロードマップ!D185)</f>
        <v/>
      </c>
      <c r="C185" s="16" t="str">
        <f aca="false">IF($A185="","",08_ロードマップ!A185)</f>
        <v/>
      </c>
      <c r="D185" s="16" t="str">
        <f aca="false">IF($A185="","",08_ロードマップ!F185)</f>
        <v/>
      </c>
      <c r="E185" s="16" t="str">
        <f aca="false">IF($A185="","",IFERROR(VLOOKUP($A185,04_依存関係マスター!$A:$C,3,0),""))</f>
        <v/>
      </c>
      <c r="F185" s="16" t="str">
        <f aca="false">IF($E185="","",IF(COUNTIFS(06_重複排除後!$A:$A,$E185,06_重複排除後!$H:$H,"○")&gt;0,"採用",""))</f>
        <v/>
      </c>
      <c r="G185" s="16" t="str">
        <f aca="false">IF($A185="","",MAX(IF($C185="短期",00_はじめに!$B$20,IF($C185="中期",00_はじめに!$B$21,00_はじめに!$B$22)),IF($F185="採用",IFERROR(VLOOKUP($E185,$A:$H,8,0)+1,0),0)))</f>
        <v/>
      </c>
      <c r="H185" s="16" t="str">
        <f aca="false">IF($A185="","",MIN(36,$G185+$D185-1))</f>
        <v/>
      </c>
    </row>
    <row r="186" customFormat="false" ht="15" hidden="false" customHeight="false" outlineLevel="0" collapsed="false">
      <c r="A186" s="10" t="str">
        <f aca="false">08_ロードマップ!C186</f>
        <v/>
      </c>
      <c r="B186" s="10" t="str">
        <f aca="false">IF($A186="","",08_ロードマップ!D186)</f>
        <v/>
      </c>
      <c r="C186" s="16" t="str">
        <f aca="false">IF($A186="","",08_ロードマップ!A186)</f>
        <v/>
      </c>
      <c r="D186" s="16" t="str">
        <f aca="false">IF($A186="","",08_ロードマップ!F186)</f>
        <v/>
      </c>
      <c r="E186" s="16" t="str">
        <f aca="false">IF($A186="","",IFERROR(VLOOKUP($A186,04_依存関係マスター!$A:$C,3,0),""))</f>
        <v/>
      </c>
      <c r="F186" s="16" t="str">
        <f aca="false">IF($E186="","",IF(COUNTIFS(06_重複排除後!$A:$A,$E186,06_重複排除後!$H:$H,"○")&gt;0,"採用",""))</f>
        <v/>
      </c>
      <c r="G186" s="16" t="str">
        <f aca="false">IF($A186="","",MAX(IF($C186="短期",00_はじめに!$B$20,IF($C186="中期",00_はじめに!$B$21,00_はじめに!$B$22)),IF($F186="採用",IFERROR(VLOOKUP($E186,$A:$H,8,0)+1,0),0)))</f>
        <v/>
      </c>
      <c r="H186" s="16" t="str">
        <f aca="false">IF($A186="","",MIN(36,$G186+$D186-1))</f>
        <v/>
      </c>
    </row>
    <row r="187" customFormat="false" ht="15" hidden="false" customHeight="false" outlineLevel="0" collapsed="false">
      <c r="A187" s="10" t="str">
        <f aca="false">08_ロードマップ!C187</f>
        <v/>
      </c>
      <c r="B187" s="10" t="str">
        <f aca="false">IF($A187="","",08_ロードマップ!D187)</f>
        <v/>
      </c>
      <c r="C187" s="16" t="str">
        <f aca="false">IF($A187="","",08_ロードマップ!A187)</f>
        <v/>
      </c>
      <c r="D187" s="16" t="str">
        <f aca="false">IF($A187="","",08_ロードマップ!F187)</f>
        <v/>
      </c>
      <c r="E187" s="16" t="str">
        <f aca="false">IF($A187="","",IFERROR(VLOOKUP($A187,04_依存関係マスター!$A:$C,3,0),""))</f>
        <v/>
      </c>
      <c r="F187" s="16" t="str">
        <f aca="false">IF($E187="","",IF(COUNTIFS(06_重複排除後!$A:$A,$E187,06_重複排除後!$H:$H,"○")&gt;0,"採用",""))</f>
        <v/>
      </c>
      <c r="G187" s="16" t="str">
        <f aca="false">IF($A187="","",MAX(IF($C187="短期",00_はじめに!$B$20,IF($C187="中期",00_はじめに!$B$21,00_はじめに!$B$22)),IF($F187="採用",IFERROR(VLOOKUP($E187,$A:$H,8,0)+1,0),0)))</f>
        <v/>
      </c>
      <c r="H187" s="16" t="str">
        <f aca="false">IF($A187="","",MIN(36,$G187+$D187-1))</f>
        <v/>
      </c>
    </row>
    <row r="188" customFormat="false" ht="15" hidden="false" customHeight="false" outlineLevel="0" collapsed="false">
      <c r="A188" s="10" t="str">
        <f aca="false">08_ロードマップ!C188</f>
        <v/>
      </c>
      <c r="B188" s="10" t="str">
        <f aca="false">IF($A188="","",08_ロードマップ!D188)</f>
        <v/>
      </c>
      <c r="C188" s="16" t="str">
        <f aca="false">IF($A188="","",08_ロードマップ!A188)</f>
        <v/>
      </c>
      <c r="D188" s="16" t="str">
        <f aca="false">IF($A188="","",08_ロードマップ!F188)</f>
        <v/>
      </c>
      <c r="E188" s="16" t="str">
        <f aca="false">IF($A188="","",IFERROR(VLOOKUP($A188,04_依存関係マスター!$A:$C,3,0),""))</f>
        <v/>
      </c>
      <c r="F188" s="16" t="str">
        <f aca="false">IF($E188="","",IF(COUNTIFS(06_重複排除後!$A:$A,$E188,06_重複排除後!$H:$H,"○")&gt;0,"採用",""))</f>
        <v/>
      </c>
      <c r="G188" s="16" t="str">
        <f aca="false">IF($A188="","",MAX(IF($C188="短期",00_はじめに!$B$20,IF($C188="中期",00_はじめに!$B$21,00_はじめに!$B$22)),IF($F188="採用",IFERROR(VLOOKUP($E188,$A:$H,8,0)+1,0),0)))</f>
        <v/>
      </c>
      <c r="H188" s="16" t="str">
        <f aca="false">IF($A188="","",MIN(36,$G188+$D188-1))</f>
        <v/>
      </c>
    </row>
    <row r="189" customFormat="false" ht="15" hidden="false" customHeight="false" outlineLevel="0" collapsed="false">
      <c r="A189" s="10" t="str">
        <f aca="false">08_ロードマップ!C189</f>
        <v/>
      </c>
      <c r="B189" s="10" t="str">
        <f aca="false">IF($A189="","",08_ロードマップ!D189)</f>
        <v/>
      </c>
      <c r="C189" s="16" t="str">
        <f aca="false">IF($A189="","",08_ロードマップ!A189)</f>
        <v/>
      </c>
      <c r="D189" s="16" t="str">
        <f aca="false">IF($A189="","",08_ロードマップ!F189)</f>
        <v/>
      </c>
      <c r="E189" s="16" t="str">
        <f aca="false">IF($A189="","",IFERROR(VLOOKUP($A189,04_依存関係マスター!$A:$C,3,0),""))</f>
        <v/>
      </c>
      <c r="F189" s="16" t="str">
        <f aca="false">IF($E189="","",IF(COUNTIFS(06_重複排除後!$A:$A,$E189,06_重複排除後!$H:$H,"○")&gt;0,"採用",""))</f>
        <v/>
      </c>
      <c r="G189" s="16" t="str">
        <f aca="false">IF($A189="","",MAX(IF($C189="短期",00_はじめに!$B$20,IF($C189="中期",00_はじめに!$B$21,00_はじめに!$B$22)),IF($F189="採用",IFERROR(VLOOKUP($E189,$A:$H,8,0)+1,0),0)))</f>
        <v/>
      </c>
      <c r="H189" s="16" t="str">
        <f aca="false">IF($A189="","",MIN(36,$G189+$D189-1))</f>
        <v/>
      </c>
    </row>
    <row r="190" customFormat="false" ht="15" hidden="false" customHeight="false" outlineLevel="0" collapsed="false">
      <c r="A190" s="10" t="str">
        <f aca="false">08_ロードマップ!C190</f>
        <v/>
      </c>
      <c r="B190" s="10" t="str">
        <f aca="false">IF($A190="","",08_ロードマップ!D190)</f>
        <v/>
      </c>
      <c r="C190" s="16" t="str">
        <f aca="false">IF($A190="","",08_ロードマップ!A190)</f>
        <v/>
      </c>
      <c r="D190" s="16" t="str">
        <f aca="false">IF($A190="","",08_ロードマップ!F190)</f>
        <v/>
      </c>
      <c r="E190" s="16" t="str">
        <f aca="false">IF($A190="","",IFERROR(VLOOKUP($A190,04_依存関係マスター!$A:$C,3,0),""))</f>
        <v/>
      </c>
      <c r="F190" s="16" t="str">
        <f aca="false">IF($E190="","",IF(COUNTIFS(06_重複排除後!$A:$A,$E190,06_重複排除後!$H:$H,"○")&gt;0,"採用",""))</f>
        <v/>
      </c>
      <c r="G190" s="16" t="str">
        <f aca="false">IF($A190="","",MAX(IF($C190="短期",00_はじめに!$B$20,IF($C190="中期",00_はじめに!$B$21,00_はじめに!$B$22)),IF($F190="採用",IFERROR(VLOOKUP($E190,$A:$H,8,0)+1,0),0)))</f>
        <v/>
      </c>
      <c r="H190" s="16" t="str">
        <f aca="false">IF($A190="","",MIN(36,$G190+$D190-1))</f>
        <v/>
      </c>
    </row>
    <row r="191" customFormat="false" ht="15" hidden="false" customHeight="false" outlineLevel="0" collapsed="false">
      <c r="A191" s="10" t="str">
        <f aca="false">08_ロードマップ!C191</f>
        <v/>
      </c>
      <c r="B191" s="10" t="str">
        <f aca="false">IF($A191="","",08_ロードマップ!D191)</f>
        <v/>
      </c>
      <c r="C191" s="16" t="str">
        <f aca="false">IF($A191="","",08_ロードマップ!A191)</f>
        <v/>
      </c>
      <c r="D191" s="16" t="str">
        <f aca="false">IF($A191="","",08_ロードマップ!F191)</f>
        <v/>
      </c>
      <c r="E191" s="16" t="str">
        <f aca="false">IF($A191="","",IFERROR(VLOOKUP($A191,04_依存関係マスター!$A:$C,3,0),""))</f>
        <v/>
      </c>
      <c r="F191" s="16" t="str">
        <f aca="false">IF($E191="","",IF(COUNTIFS(06_重複排除後!$A:$A,$E191,06_重複排除後!$H:$H,"○")&gt;0,"採用",""))</f>
        <v/>
      </c>
      <c r="G191" s="16" t="str">
        <f aca="false">IF($A191="","",MAX(IF($C191="短期",00_はじめに!$B$20,IF($C191="中期",00_はじめに!$B$21,00_はじめに!$B$22)),IF($F191="採用",IFERROR(VLOOKUP($E191,$A:$H,8,0)+1,0),0)))</f>
        <v/>
      </c>
      <c r="H191" s="16" t="str">
        <f aca="false">IF($A191="","",MIN(36,$G191+$D191-1))</f>
        <v/>
      </c>
    </row>
    <row r="192" customFormat="false" ht="15" hidden="false" customHeight="false" outlineLevel="0" collapsed="false">
      <c r="A192" s="10" t="str">
        <f aca="false">08_ロードマップ!C192</f>
        <v/>
      </c>
      <c r="B192" s="10" t="str">
        <f aca="false">IF($A192="","",08_ロードマップ!D192)</f>
        <v/>
      </c>
      <c r="C192" s="16" t="str">
        <f aca="false">IF($A192="","",08_ロードマップ!A192)</f>
        <v/>
      </c>
      <c r="D192" s="16" t="str">
        <f aca="false">IF($A192="","",08_ロードマップ!F192)</f>
        <v/>
      </c>
      <c r="E192" s="16" t="str">
        <f aca="false">IF($A192="","",IFERROR(VLOOKUP($A192,04_依存関係マスター!$A:$C,3,0),""))</f>
        <v/>
      </c>
      <c r="F192" s="16" t="str">
        <f aca="false">IF($E192="","",IF(COUNTIFS(06_重複排除後!$A:$A,$E192,06_重複排除後!$H:$H,"○")&gt;0,"採用",""))</f>
        <v/>
      </c>
      <c r="G192" s="16" t="str">
        <f aca="false">IF($A192="","",MAX(IF($C192="短期",00_はじめに!$B$20,IF($C192="中期",00_はじめに!$B$21,00_はじめに!$B$22)),IF($F192="採用",IFERROR(VLOOKUP($E192,$A:$H,8,0)+1,0),0)))</f>
        <v/>
      </c>
      <c r="H192" s="16" t="str">
        <f aca="false">IF($A192="","",MIN(36,$G192+$D192-1))</f>
        <v/>
      </c>
    </row>
    <row r="193" customFormat="false" ht="15" hidden="false" customHeight="false" outlineLevel="0" collapsed="false">
      <c r="A193" s="10" t="str">
        <f aca="false">08_ロードマップ!C193</f>
        <v/>
      </c>
      <c r="B193" s="10" t="str">
        <f aca="false">IF($A193="","",08_ロードマップ!D193)</f>
        <v/>
      </c>
      <c r="C193" s="16" t="str">
        <f aca="false">IF($A193="","",08_ロードマップ!A193)</f>
        <v/>
      </c>
      <c r="D193" s="16" t="str">
        <f aca="false">IF($A193="","",08_ロードマップ!F193)</f>
        <v/>
      </c>
      <c r="E193" s="16" t="str">
        <f aca="false">IF($A193="","",IFERROR(VLOOKUP($A193,04_依存関係マスター!$A:$C,3,0),""))</f>
        <v/>
      </c>
      <c r="F193" s="16" t="str">
        <f aca="false">IF($E193="","",IF(COUNTIFS(06_重複排除後!$A:$A,$E193,06_重複排除後!$H:$H,"○")&gt;0,"採用",""))</f>
        <v/>
      </c>
      <c r="G193" s="16" t="str">
        <f aca="false">IF($A193="","",MAX(IF($C193="短期",00_はじめに!$B$20,IF($C193="中期",00_はじめに!$B$21,00_はじめに!$B$22)),IF($F193="採用",IFERROR(VLOOKUP($E193,$A:$H,8,0)+1,0),0)))</f>
        <v/>
      </c>
      <c r="H193" s="16" t="str">
        <f aca="false">IF($A193="","",MIN(36,$G193+$D193-1))</f>
        <v/>
      </c>
    </row>
    <row r="194" customFormat="false" ht="15" hidden="false" customHeight="false" outlineLevel="0" collapsed="false">
      <c r="A194" s="10" t="str">
        <f aca="false">08_ロードマップ!C194</f>
        <v/>
      </c>
      <c r="B194" s="10" t="str">
        <f aca="false">IF($A194="","",08_ロードマップ!D194)</f>
        <v/>
      </c>
      <c r="C194" s="16" t="str">
        <f aca="false">IF($A194="","",08_ロードマップ!A194)</f>
        <v/>
      </c>
      <c r="D194" s="16" t="str">
        <f aca="false">IF($A194="","",08_ロードマップ!F194)</f>
        <v/>
      </c>
      <c r="E194" s="16" t="str">
        <f aca="false">IF($A194="","",IFERROR(VLOOKUP($A194,04_依存関係マスター!$A:$C,3,0),""))</f>
        <v/>
      </c>
      <c r="F194" s="16" t="str">
        <f aca="false">IF($E194="","",IF(COUNTIFS(06_重複排除後!$A:$A,$E194,06_重複排除後!$H:$H,"○")&gt;0,"採用",""))</f>
        <v/>
      </c>
      <c r="G194" s="16" t="str">
        <f aca="false">IF($A194="","",MAX(IF($C194="短期",00_はじめに!$B$20,IF($C194="中期",00_はじめに!$B$21,00_はじめに!$B$22)),IF($F194="採用",IFERROR(VLOOKUP($E194,$A:$H,8,0)+1,0),0)))</f>
        <v/>
      </c>
      <c r="H194" s="16" t="str">
        <f aca="false">IF($A194="","",MIN(36,$G194+$D194-1))</f>
        <v/>
      </c>
    </row>
    <row r="195" customFormat="false" ht="15" hidden="false" customHeight="false" outlineLevel="0" collapsed="false">
      <c r="A195" s="10" t="str">
        <f aca="false">08_ロードマップ!C195</f>
        <v/>
      </c>
      <c r="B195" s="10" t="str">
        <f aca="false">IF($A195="","",08_ロードマップ!D195)</f>
        <v/>
      </c>
      <c r="C195" s="16" t="str">
        <f aca="false">IF($A195="","",08_ロードマップ!A195)</f>
        <v/>
      </c>
      <c r="D195" s="16" t="str">
        <f aca="false">IF($A195="","",08_ロードマップ!F195)</f>
        <v/>
      </c>
      <c r="E195" s="16" t="str">
        <f aca="false">IF($A195="","",IFERROR(VLOOKUP($A195,04_依存関係マスター!$A:$C,3,0),""))</f>
        <v/>
      </c>
      <c r="F195" s="16" t="str">
        <f aca="false">IF($E195="","",IF(COUNTIFS(06_重複排除後!$A:$A,$E195,06_重複排除後!$H:$H,"○")&gt;0,"採用",""))</f>
        <v/>
      </c>
      <c r="G195" s="16" t="str">
        <f aca="false">IF($A195="","",MAX(IF($C195="短期",00_はじめに!$B$20,IF($C195="中期",00_はじめに!$B$21,00_はじめに!$B$22)),IF($F195="採用",IFERROR(VLOOKUP($E195,$A:$H,8,0)+1,0),0)))</f>
        <v/>
      </c>
      <c r="H195" s="16" t="str">
        <f aca="false">IF($A195="","",MIN(36,$G195+$D195-1))</f>
        <v/>
      </c>
    </row>
    <row r="196" customFormat="false" ht="15" hidden="false" customHeight="false" outlineLevel="0" collapsed="false">
      <c r="A196" s="10" t="str">
        <f aca="false">08_ロードマップ!C196</f>
        <v/>
      </c>
      <c r="B196" s="10" t="str">
        <f aca="false">IF($A196="","",08_ロードマップ!D196)</f>
        <v/>
      </c>
      <c r="C196" s="16" t="str">
        <f aca="false">IF($A196="","",08_ロードマップ!A196)</f>
        <v/>
      </c>
      <c r="D196" s="16" t="str">
        <f aca="false">IF($A196="","",08_ロードマップ!F196)</f>
        <v/>
      </c>
      <c r="E196" s="16" t="str">
        <f aca="false">IF($A196="","",IFERROR(VLOOKUP($A196,04_依存関係マスター!$A:$C,3,0),""))</f>
        <v/>
      </c>
      <c r="F196" s="16" t="str">
        <f aca="false">IF($E196="","",IF(COUNTIFS(06_重複排除後!$A:$A,$E196,06_重複排除後!$H:$H,"○")&gt;0,"採用",""))</f>
        <v/>
      </c>
      <c r="G196" s="16" t="str">
        <f aca="false">IF($A196="","",MAX(IF($C196="短期",00_はじめに!$B$20,IF($C196="中期",00_はじめに!$B$21,00_はじめに!$B$22)),IF($F196="採用",IFERROR(VLOOKUP($E196,$A:$H,8,0)+1,0),0)))</f>
        <v/>
      </c>
      <c r="H196" s="16" t="str">
        <f aca="false">IF($A196="","",MIN(36,$G196+$D196-1))</f>
        <v/>
      </c>
    </row>
    <row r="197" customFormat="false" ht="15" hidden="false" customHeight="false" outlineLevel="0" collapsed="false">
      <c r="A197" s="10" t="str">
        <f aca="false">08_ロードマップ!C197</f>
        <v/>
      </c>
      <c r="B197" s="10" t="str">
        <f aca="false">IF($A197="","",08_ロードマップ!D197)</f>
        <v/>
      </c>
      <c r="C197" s="16" t="str">
        <f aca="false">IF($A197="","",08_ロードマップ!A197)</f>
        <v/>
      </c>
      <c r="D197" s="16" t="str">
        <f aca="false">IF($A197="","",08_ロードマップ!F197)</f>
        <v/>
      </c>
      <c r="E197" s="16" t="str">
        <f aca="false">IF($A197="","",IFERROR(VLOOKUP($A197,04_依存関係マスター!$A:$C,3,0),""))</f>
        <v/>
      </c>
      <c r="F197" s="16" t="str">
        <f aca="false">IF($E197="","",IF(COUNTIFS(06_重複排除後!$A:$A,$E197,06_重複排除後!$H:$H,"○")&gt;0,"採用",""))</f>
        <v/>
      </c>
      <c r="G197" s="16" t="str">
        <f aca="false">IF($A197="","",MAX(IF($C197="短期",00_はじめに!$B$20,IF($C197="中期",00_はじめに!$B$21,00_はじめに!$B$22)),IF($F197="採用",IFERROR(VLOOKUP($E197,$A:$H,8,0)+1,0),0)))</f>
        <v/>
      </c>
      <c r="H197" s="16" t="str">
        <f aca="false">IF($A197="","",MIN(36,$G197+$D197-1))</f>
        <v/>
      </c>
    </row>
    <row r="198" customFormat="false" ht="15" hidden="false" customHeight="false" outlineLevel="0" collapsed="false">
      <c r="A198" s="10" t="str">
        <f aca="false">08_ロードマップ!C198</f>
        <v/>
      </c>
      <c r="B198" s="10" t="str">
        <f aca="false">IF($A198="","",08_ロードマップ!D198)</f>
        <v/>
      </c>
      <c r="C198" s="16" t="str">
        <f aca="false">IF($A198="","",08_ロードマップ!A198)</f>
        <v/>
      </c>
      <c r="D198" s="16" t="str">
        <f aca="false">IF($A198="","",08_ロードマップ!F198)</f>
        <v/>
      </c>
      <c r="E198" s="16" t="str">
        <f aca="false">IF($A198="","",IFERROR(VLOOKUP($A198,04_依存関係マスター!$A:$C,3,0),""))</f>
        <v/>
      </c>
      <c r="F198" s="16" t="str">
        <f aca="false">IF($E198="","",IF(COUNTIFS(06_重複排除後!$A:$A,$E198,06_重複排除後!$H:$H,"○")&gt;0,"採用",""))</f>
        <v/>
      </c>
      <c r="G198" s="16" t="str">
        <f aca="false">IF($A198="","",MAX(IF($C198="短期",00_はじめに!$B$20,IF($C198="中期",00_はじめに!$B$21,00_はじめに!$B$22)),IF($F198="採用",IFERROR(VLOOKUP($E198,$A:$H,8,0)+1,0),0)))</f>
        <v/>
      </c>
      <c r="H198" s="16" t="str">
        <f aca="false">IF($A198="","",MIN(36,$G198+$D198-1))</f>
        <v/>
      </c>
    </row>
    <row r="199" customFormat="false" ht="15" hidden="false" customHeight="false" outlineLevel="0" collapsed="false">
      <c r="A199" s="10" t="str">
        <f aca="false">08_ロードマップ!C199</f>
        <v/>
      </c>
      <c r="B199" s="10" t="str">
        <f aca="false">IF($A199="","",08_ロードマップ!D199)</f>
        <v/>
      </c>
      <c r="C199" s="16" t="str">
        <f aca="false">IF($A199="","",08_ロードマップ!A199)</f>
        <v/>
      </c>
      <c r="D199" s="16" t="str">
        <f aca="false">IF($A199="","",08_ロードマップ!F199)</f>
        <v/>
      </c>
      <c r="E199" s="16" t="str">
        <f aca="false">IF($A199="","",IFERROR(VLOOKUP($A199,04_依存関係マスター!$A:$C,3,0),""))</f>
        <v/>
      </c>
      <c r="F199" s="16" t="str">
        <f aca="false">IF($E199="","",IF(COUNTIFS(06_重複排除後!$A:$A,$E199,06_重複排除後!$H:$H,"○")&gt;0,"採用",""))</f>
        <v/>
      </c>
      <c r="G199" s="16" t="str">
        <f aca="false">IF($A199="","",MAX(IF($C199="短期",00_はじめに!$B$20,IF($C199="中期",00_はじめに!$B$21,00_はじめに!$B$22)),IF($F199="採用",IFERROR(VLOOKUP($E199,$A:$H,8,0)+1,0),0)))</f>
        <v/>
      </c>
      <c r="H199" s="16" t="str">
        <f aca="false">IF($A199="","",MIN(36,$G199+$D199-1))</f>
        <v/>
      </c>
    </row>
    <row r="200" customFormat="false" ht="15" hidden="false" customHeight="false" outlineLevel="0" collapsed="false">
      <c r="A200" s="10" t="str">
        <f aca="false">08_ロードマップ!C200</f>
        <v/>
      </c>
      <c r="B200" s="10" t="str">
        <f aca="false">IF($A200="","",08_ロードマップ!D200)</f>
        <v/>
      </c>
      <c r="C200" s="16" t="str">
        <f aca="false">IF($A200="","",08_ロードマップ!A200)</f>
        <v/>
      </c>
      <c r="D200" s="16" t="str">
        <f aca="false">IF($A200="","",08_ロードマップ!F200)</f>
        <v/>
      </c>
      <c r="E200" s="16" t="str">
        <f aca="false">IF($A200="","",IFERROR(VLOOKUP($A200,04_依存関係マスター!$A:$C,3,0),""))</f>
        <v/>
      </c>
      <c r="F200" s="16" t="str">
        <f aca="false">IF($E200="","",IF(COUNTIFS(06_重複排除後!$A:$A,$E200,06_重複排除後!$H:$H,"○")&gt;0,"採用",""))</f>
        <v/>
      </c>
      <c r="G200" s="16" t="str">
        <f aca="false">IF($A200="","",MAX(IF($C200="短期",00_はじめに!$B$20,IF($C200="中期",00_はじめに!$B$21,00_はじめに!$B$22)),IF($F200="採用",IFERROR(VLOOKUP($E200,$A:$H,8,0)+1,0),0)))</f>
        <v/>
      </c>
      <c r="H200" s="16" t="str">
        <f aca="false">IF($A200="","",MIN(36,$G200+$D200-1))</f>
        <v/>
      </c>
    </row>
    <row r="201" customFormat="false" ht="15" hidden="false" customHeight="false" outlineLevel="0" collapsed="false">
      <c r="A201" s="10" t="str">
        <f aca="false">08_ロードマップ!C201</f>
        <v/>
      </c>
      <c r="B201" s="10" t="str">
        <f aca="false">IF($A201="","",08_ロードマップ!D201)</f>
        <v/>
      </c>
      <c r="C201" s="16" t="str">
        <f aca="false">IF($A201="","",08_ロードマップ!A201)</f>
        <v/>
      </c>
      <c r="D201" s="16" t="str">
        <f aca="false">IF($A201="","",08_ロードマップ!F201)</f>
        <v/>
      </c>
      <c r="E201" s="16" t="str">
        <f aca="false">IF($A201="","",IFERROR(VLOOKUP($A201,04_依存関係マスター!$A:$C,3,0),""))</f>
        <v/>
      </c>
      <c r="F201" s="16" t="str">
        <f aca="false">IF($E201="","",IF(COUNTIFS(06_重複排除後!$A:$A,$E201,06_重複排除後!$H:$H,"○")&gt;0,"採用",""))</f>
        <v/>
      </c>
      <c r="G201" s="16" t="str">
        <f aca="false">IF($A201="","",MAX(IF($C201="短期",00_はじめに!$B$20,IF($C201="中期",00_はじめに!$B$21,00_はじめに!$B$22)),IF($F201="採用",IFERROR(VLOOKUP($E201,$A:$H,8,0)+1,0),0)))</f>
        <v/>
      </c>
      <c r="H201" s="16" t="str">
        <f aca="false">IF($A201="","",MIN(36,$G201+$D201-1))</f>
        <v/>
      </c>
    </row>
    <row r="202" customFormat="false" ht="15" hidden="false" customHeight="false" outlineLevel="0" collapsed="false">
      <c r="A202" s="10" t="str">
        <f aca="false">08_ロードマップ!C202</f>
        <v/>
      </c>
      <c r="B202" s="10" t="str">
        <f aca="false">IF($A202="","",08_ロードマップ!D202)</f>
        <v/>
      </c>
      <c r="C202" s="16" t="str">
        <f aca="false">IF($A202="","",08_ロードマップ!A202)</f>
        <v/>
      </c>
      <c r="D202" s="16" t="str">
        <f aca="false">IF($A202="","",08_ロードマップ!F202)</f>
        <v/>
      </c>
      <c r="E202" s="16" t="str">
        <f aca="false">IF($A202="","",IFERROR(VLOOKUP($A202,04_依存関係マスター!$A:$C,3,0),""))</f>
        <v/>
      </c>
      <c r="F202" s="16" t="str">
        <f aca="false">IF($E202="","",IF(COUNTIFS(06_重複排除後!$A:$A,$E202,06_重複排除後!$H:$H,"○")&gt;0,"採用",""))</f>
        <v/>
      </c>
      <c r="G202" s="16" t="str">
        <f aca="false">IF($A202="","",MAX(IF($C202="短期",00_はじめに!$B$20,IF($C202="中期",00_はじめに!$B$21,00_はじめに!$B$22)),IF($F202="採用",IFERROR(VLOOKUP($E202,$A:$H,8,0)+1,0),0)))</f>
        <v/>
      </c>
      <c r="H202" s="16" t="str">
        <f aca="false">IF($A202="","",MIN(36,$G202+$D202-1))</f>
        <v/>
      </c>
    </row>
    <row r="203" customFormat="false" ht="15" hidden="false" customHeight="false" outlineLevel="0" collapsed="false">
      <c r="A203" s="10" t="str">
        <f aca="false">08_ロードマップ!C203</f>
        <v/>
      </c>
      <c r="B203" s="10" t="str">
        <f aca="false">IF($A203="","",08_ロードマップ!D203)</f>
        <v/>
      </c>
      <c r="C203" s="16" t="str">
        <f aca="false">IF($A203="","",08_ロードマップ!A203)</f>
        <v/>
      </c>
      <c r="D203" s="16" t="str">
        <f aca="false">IF($A203="","",08_ロードマップ!F203)</f>
        <v/>
      </c>
      <c r="E203" s="16" t="str">
        <f aca="false">IF($A203="","",IFERROR(VLOOKUP($A203,04_依存関係マスター!$A:$C,3,0),""))</f>
        <v/>
      </c>
      <c r="F203" s="16" t="str">
        <f aca="false">IF($E203="","",IF(COUNTIFS(06_重複排除後!$A:$A,$E203,06_重複排除後!$H:$H,"○")&gt;0,"採用",""))</f>
        <v/>
      </c>
      <c r="G203" s="16" t="str">
        <f aca="false">IF($A203="","",MAX(IF($C203="短期",00_はじめに!$B$20,IF($C203="中期",00_はじめに!$B$21,00_はじめに!$B$22)),IF($F203="採用",IFERROR(VLOOKUP($E203,$A:$H,8,0)+1,0),0)))</f>
        <v/>
      </c>
      <c r="H203" s="16" t="str">
        <f aca="false">IF($A203="","",MIN(36,$G203+$D203-1))</f>
        <v/>
      </c>
    </row>
    <row r="204" customFormat="false" ht="15" hidden="false" customHeight="false" outlineLevel="0" collapsed="false">
      <c r="A204" s="10" t="str">
        <f aca="false">08_ロードマップ!C204</f>
        <v/>
      </c>
      <c r="B204" s="10" t="str">
        <f aca="false">IF($A204="","",08_ロードマップ!D204)</f>
        <v/>
      </c>
      <c r="C204" s="16" t="str">
        <f aca="false">IF($A204="","",08_ロードマップ!A204)</f>
        <v/>
      </c>
      <c r="D204" s="16" t="str">
        <f aca="false">IF($A204="","",08_ロードマップ!F204)</f>
        <v/>
      </c>
      <c r="E204" s="16" t="str">
        <f aca="false">IF($A204="","",IFERROR(VLOOKUP($A204,04_依存関係マスター!$A:$C,3,0),""))</f>
        <v/>
      </c>
      <c r="F204" s="16" t="str">
        <f aca="false">IF($E204="","",IF(COUNTIFS(06_重複排除後!$A:$A,$E204,06_重複排除後!$H:$H,"○")&gt;0,"採用",""))</f>
        <v/>
      </c>
      <c r="G204" s="16" t="str">
        <f aca="false">IF($A204="","",MAX(IF($C204="短期",00_はじめに!$B$20,IF($C204="中期",00_はじめに!$B$21,00_はじめに!$B$22)),IF($F204="採用",IFERROR(VLOOKUP($E204,$A:$H,8,0)+1,0),0)))</f>
        <v/>
      </c>
      <c r="H204" s="16" t="str">
        <f aca="false">IF($A204="","",MIN(36,$G204+$D204-1))</f>
        <v/>
      </c>
    </row>
    <row r="205" customFormat="false" ht="15" hidden="false" customHeight="false" outlineLevel="0" collapsed="false">
      <c r="A205" s="10" t="str">
        <f aca="false">08_ロードマップ!C205</f>
        <v/>
      </c>
      <c r="B205" s="10" t="str">
        <f aca="false">IF($A205="","",08_ロードマップ!D205)</f>
        <v/>
      </c>
      <c r="C205" s="16" t="str">
        <f aca="false">IF($A205="","",08_ロードマップ!A205)</f>
        <v/>
      </c>
      <c r="D205" s="16" t="str">
        <f aca="false">IF($A205="","",08_ロードマップ!F205)</f>
        <v/>
      </c>
      <c r="E205" s="16" t="str">
        <f aca="false">IF($A205="","",IFERROR(VLOOKUP($A205,04_依存関係マスター!$A:$C,3,0),""))</f>
        <v/>
      </c>
      <c r="F205" s="16" t="str">
        <f aca="false">IF($E205="","",IF(COUNTIFS(06_重複排除後!$A:$A,$E205,06_重複排除後!$H:$H,"○")&gt;0,"採用",""))</f>
        <v/>
      </c>
      <c r="G205" s="16" t="str">
        <f aca="false">IF($A205="","",MAX(IF($C205="短期",00_はじめに!$B$20,IF($C205="中期",00_はじめに!$B$21,00_はじめに!$B$22)),IF($F205="採用",IFERROR(VLOOKUP($E205,$A:$H,8,0)+1,0),0)))</f>
        <v/>
      </c>
      <c r="H205" s="16" t="str">
        <f aca="false">IF($A205="","",MIN(36,$G205+$D205-1))</f>
        <v/>
      </c>
    </row>
    <row r="206" customFormat="false" ht="15" hidden="false" customHeight="false" outlineLevel="0" collapsed="false">
      <c r="A206" s="10" t="str">
        <f aca="false">08_ロードマップ!C206</f>
        <v/>
      </c>
      <c r="B206" s="10" t="str">
        <f aca="false">IF($A206="","",08_ロードマップ!D206)</f>
        <v/>
      </c>
      <c r="C206" s="16" t="str">
        <f aca="false">IF($A206="","",08_ロードマップ!A206)</f>
        <v/>
      </c>
      <c r="D206" s="16" t="str">
        <f aca="false">IF($A206="","",08_ロードマップ!F206)</f>
        <v/>
      </c>
      <c r="E206" s="16" t="str">
        <f aca="false">IF($A206="","",IFERROR(VLOOKUP($A206,04_依存関係マスター!$A:$C,3,0),""))</f>
        <v/>
      </c>
      <c r="F206" s="16" t="str">
        <f aca="false">IF($E206="","",IF(COUNTIFS(06_重複排除後!$A:$A,$E206,06_重複排除後!$H:$H,"○")&gt;0,"採用",""))</f>
        <v/>
      </c>
      <c r="G206" s="16" t="str">
        <f aca="false">IF($A206="","",MAX(IF($C206="短期",00_はじめに!$B$20,IF($C206="中期",00_はじめに!$B$21,00_はじめに!$B$22)),IF($F206="採用",IFERROR(VLOOKUP($E206,$A:$H,8,0)+1,0),0)))</f>
        <v/>
      </c>
      <c r="H206" s="16" t="str">
        <f aca="false">IF($A206="","",MIN(36,$G206+$D206-1))</f>
        <v/>
      </c>
    </row>
    <row r="207" customFormat="false" ht="15" hidden="false" customHeight="false" outlineLevel="0" collapsed="false">
      <c r="A207" s="10" t="str">
        <f aca="false">08_ロードマップ!C207</f>
        <v/>
      </c>
      <c r="B207" s="10" t="str">
        <f aca="false">IF($A207="","",08_ロードマップ!D207)</f>
        <v/>
      </c>
      <c r="C207" s="16" t="str">
        <f aca="false">IF($A207="","",08_ロードマップ!A207)</f>
        <v/>
      </c>
      <c r="D207" s="16" t="str">
        <f aca="false">IF($A207="","",08_ロードマップ!F207)</f>
        <v/>
      </c>
      <c r="E207" s="16" t="str">
        <f aca="false">IF($A207="","",IFERROR(VLOOKUP($A207,04_依存関係マスター!$A:$C,3,0),""))</f>
        <v/>
      </c>
      <c r="F207" s="16" t="str">
        <f aca="false">IF($E207="","",IF(COUNTIFS(06_重複排除後!$A:$A,$E207,06_重複排除後!$H:$H,"○")&gt;0,"採用",""))</f>
        <v/>
      </c>
      <c r="G207" s="16" t="str">
        <f aca="false">IF($A207="","",MAX(IF($C207="短期",00_はじめに!$B$20,IF($C207="中期",00_はじめに!$B$21,00_はじめに!$B$22)),IF($F207="採用",IFERROR(VLOOKUP($E207,$A:$H,8,0)+1,0),0)))</f>
        <v/>
      </c>
      <c r="H207" s="16" t="str">
        <f aca="false">IF($A207="","",MIN(36,$G207+$D207-1))</f>
        <v/>
      </c>
    </row>
    <row r="208" customFormat="false" ht="15" hidden="false" customHeight="false" outlineLevel="0" collapsed="false">
      <c r="A208" s="10" t="str">
        <f aca="false">08_ロードマップ!C208</f>
        <v/>
      </c>
      <c r="B208" s="10" t="str">
        <f aca="false">IF($A208="","",08_ロードマップ!D208)</f>
        <v/>
      </c>
      <c r="C208" s="16" t="str">
        <f aca="false">IF($A208="","",08_ロードマップ!A208)</f>
        <v/>
      </c>
      <c r="D208" s="16" t="str">
        <f aca="false">IF($A208="","",08_ロードマップ!F208)</f>
        <v/>
      </c>
      <c r="E208" s="16" t="str">
        <f aca="false">IF($A208="","",IFERROR(VLOOKUP($A208,04_依存関係マスター!$A:$C,3,0),""))</f>
        <v/>
      </c>
      <c r="F208" s="16" t="str">
        <f aca="false">IF($E208="","",IF(COUNTIFS(06_重複排除後!$A:$A,$E208,06_重複排除後!$H:$H,"○")&gt;0,"採用",""))</f>
        <v/>
      </c>
      <c r="G208" s="16" t="str">
        <f aca="false">IF($A208="","",MAX(IF($C208="短期",00_はじめに!$B$20,IF($C208="中期",00_はじめに!$B$21,00_はじめに!$B$22)),IF($F208="採用",IFERROR(VLOOKUP($E208,$A:$H,8,0)+1,0),0)))</f>
        <v/>
      </c>
      <c r="H208" s="16" t="str">
        <f aca="false">IF($A208="","",MIN(36,$G208+$D208-1))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2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6"/>
    <col collapsed="false" customWidth="true" hidden="false" outlineLevel="0" max="39" min="4" style="0" width="3.2"/>
  </cols>
  <sheetData>
    <row r="1" customFormat="false" ht="15" hidden="false" customHeight="false" outlineLevel="0" collapsed="false">
      <c r="A1" s="17" t="s">
        <v>1483</v>
      </c>
      <c r="B1" s="17" t="s">
        <v>769</v>
      </c>
      <c r="C1" s="17" t="s">
        <v>70</v>
      </c>
      <c r="D1" s="18" t="s">
        <v>1484</v>
      </c>
      <c r="G1" s="18" t="s">
        <v>1485</v>
      </c>
      <c r="J1" s="18" t="s">
        <v>1486</v>
      </c>
      <c r="M1" s="18" t="s">
        <v>1487</v>
      </c>
      <c r="P1" s="18" t="s">
        <v>1488</v>
      </c>
      <c r="S1" s="18" t="s">
        <v>1489</v>
      </c>
      <c r="V1" s="18" t="s">
        <v>1490</v>
      </c>
      <c r="Y1" s="18" t="s">
        <v>1491</v>
      </c>
      <c r="AB1" s="18" t="s">
        <v>1492</v>
      </c>
      <c r="AE1" s="18" t="s">
        <v>1493</v>
      </c>
      <c r="AH1" s="18" t="s">
        <v>1494</v>
      </c>
      <c r="AK1" s="18" t="s">
        <v>1495</v>
      </c>
    </row>
    <row r="2" customFormat="false" ht="15" hidden="false" customHeight="false" outlineLevel="0" collapsed="false">
      <c r="A2" s="19"/>
      <c r="B2" s="20" t="s">
        <v>1496</v>
      </c>
      <c r="C2" s="19"/>
      <c r="D2" s="21" t="n">
        <v>1</v>
      </c>
      <c r="E2" s="21" t="n">
        <v>2</v>
      </c>
      <c r="F2" s="21" t="n">
        <v>3</v>
      </c>
      <c r="G2" s="21" t="n">
        <v>4</v>
      </c>
      <c r="H2" s="21" t="n">
        <v>5</v>
      </c>
      <c r="I2" s="21" t="n">
        <v>6</v>
      </c>
      <c r="J2" s="21" t="n">
        <v>7</v>
      </c>
      <c r="K2" s="21" t="n">
        <v>8</v>
      </c>
      <c r="L2" s="21" t="n">
        <v>9</v>
      </c>
      <c r="M2" s="21" t="n">
        <v>10</v>
      </c>
      <c r="N2" s="21" t="n">
        <v>11</v>
      </c>
      <c r="O2" s="21" t="n">
        <v>12</v>
      </c>
      <c r="P2" s="21" t="n">
        <v>13</v>
      </c>
      <c r="Q2" s="21" t="n">
        <v>14</v>
      </c>
      <c r="R2" s="21" t="n">
        <v>15</v>
      </c>
      <c r="S2" s="21" t="n">
        <v>16</v>
      </c>
      <c r="T2" s="21" t="n">
        <v>17</v>
      </c>
      <c r="U2" s="21" t="n">
        <v>18</v>
      </c>
      <c r="V2" s="21" t="n">
        <v>19</v>
      </c>
      <c r="W2" s="21" t="n">
        <v>20</v>
      </c>
      <c r="X2" s="21" t="n">
        <v>21</v>
      </c>
      <c r="Y2" s="21" t="n">
        <v>22</v>
      </c>
      <c r="Z2" s="21" t="n">
        <v>23</v>
      </c>
      <c r="AA2" s="21" t="n">
        <v>24</v>
      </c>
      <c r="AB2" s="21" t="n">
        <v>25</v>
      </c>
      <c r="AC2" s="21" t="n">
        <v>26</v>
      </c>
      <c r="AD2" s="21" t="n">
        <v>27</v>
      </c>
      <c r="AE2" s="21" t="n">
        <v>28</v>
      </c>
      <c r="AF2" s="21" t="n">
        <v>29</v>
      </c>
      <c r="AG2" s="21" t="n">
        <v>30</v>
      </c>
      <c r="AH2" s="21" t="n">
        <v>31</v>
      </c>
      <c r="AI2" s="21" t="n">
        <v>32</v>
      </c>
      <c r="AJ2" s="21" t="n">
        <v>33</v>
      </c>
      <c r="AK2" s="21" t="n">
        <v>34</v>
      </c>
      <c r="AL2" s="21" t="n">
        <v>35</v>
      </c>
      <c r="AM2" s="21" t="n">
        <v>36</v>
      </c>
    </row>
    <row r="3" customFormat="false" ht="15" hidden="false" customHeight="false" outlineLevel="0" collapsed="false">
      <c r="A3" s="22" t="str">
        <f aca="false">09_ガント元データ!A2</f>
        <v/>
      </c>
      <c r="B3" s="22" t="str">
        <f aca="false">09_ガント元データ!B2</f>
        <v/>
      </c>
      <c r="C3" s="23" t="str">
        <f aca="false">09_ガント元データ!C2</f>
        <v/>
      </c>
      <c r="D3" s="24" t="str">
        <f aca="false">IF($A3="","",IF(AND(D$2&gt;=09_ガント元データ!$G2,D$2&lt;=09_ガント元データ!$H2),"■",""))</f>
        <v/>
      </c>
      <c r="E3" s="24" t="str">
        <f aca="false">IF($A3="","",IF(AND(E$2&gt;=09_ガント元データ!$G2,E$2&lt;=09_ガント元データ!$H2),"■",""))</f>
        <v/>
      </c>
      <c r="F3" s="24" t="str">
        <f aca="false">IF($A3="","",IF(AND(F$2&gt;=09_ガント元データ!$G2,F$2&lt;=09_ガント元データ!$H2),"■",""))</f>
        <v/>
      </c>
      <c r="G3" s="24" t="str">
        <f aca="false">IF($A3="","",IF(AND(G$2&gt;=09_ガント元データ!$G2,G$2&lt;=09_ガント元データ!$H2),"■",""))</f>
        <v/>
      </c>
      <c r="H3" s="24" t="str">
        <f aca="false">IF($A3="","",IF(AND(H$2&gt;=09_ガント元データ!$G2,H$2&lt;=09_ガント元データ!$H2),"■",""))</f>
        <v/>
      </c>
      <c r="I3" s="24" t="str">
        <f aca="false">IF($A3="","",IF(AND(I$2&gt;=09_ガント元データ!$G2,I$2&lt;=09_ガント元データ!$H2),"■",""))</f>
        <v/>
      </c>
      <c r="J3" s="24" t="str">
        <f aca="false">IF($A3="","",IF(AND(J$2&gt;=09_ガント元データ!$G2,J$2&lt;=09_ガント元データ!$H2),"■",""))</f>
        <v/>
      </c>
      <c r="K3" s="24" t="str">
        <f aca="false">IF($A3="","",IF(AND(K$2&gt;=09_ガント元データ!$G2,K$2&lt;=09_ガント元データ!$H2),"■",""))</f>
        <v/>
      </c>
      <c r="L3" s="24" t="str">
        <f aca="false">IF($A3="","",IF(AND(L$2&gt;=09_ガント元データ!$G2,L$2&lt;=09_ガント元データ!$H2),"■",""))</f>
        <v/>
      </c>
      <c r="M3" s="24" t="str">
        <f aca="false">IF($A3="","",IF(AND(M$2&gt;=09_ガント元データ!$G2,M$2&lt;=09_ガント元データ!$H2),"■",""))</f>
        <v/>
      </c>
      <c r="N3" s="24" t="str">
        <f aca="false">IF($A3="","",IF(AND(N$2&gt;=09_ガント元データ!$G2,N$2&lt;=09_ガント元データ!$H2),"■",""))</f>
        <v/>
      </c>
      <c r="O3" s="24" t="str">
        <f aca="false">IF($A3="","",IF(AND(O$2&gt;=09_ガント元データ!$G2,O$2&lt;=09_ガント元データ!$H2),"■",""))</f>
        <v/>
      </c>
      <c r="P3" s="24" t="str">
        <f aca="false">IF($A3="","",IF(AND(P$2&gt;=09_ガント元データ!$G2,P$2&lt;=09_ガント元データ!$H2),"■",""))</f>
        <v/>
      </c>
      <c r="Q3" s="24" t="str">
        <f aca="false">IF($A3="","",IF(AND(Q$2&gt;=09_ガント元データ!$G2,Q$2&lt;=09_ガント元データ!$H2),"■",""))</f>
        <v/>
      </c>
      <c r="R3" s="24" t="str">
        <f aca="false">IF($A3="","",IF(AND(R$2&gt;=09_ガント元データ!$G2,R$2&lt;=09_ガント元データ!$H2),"■",""))</f>
        <v/>
      </c>
      <c r="S3" s="24" t="str">
        <f aca="false">IF($A3="","",IF(AND(S$2&gt;=09_ガント元データ!$G2,S$2&lt;=09_ガント元データ!$H2),"■",""))</f>
        <v/>
      </c>
      <c r="T3" s="24" t="str">
        <f aca="false">IF($A3="","",IF(AND(T$2&gt;=09_ガント元データ!$G2,T$2&lt;=09_ガント元データ!$H2),"■",""))</f>
        <v/>
      </c>
      <c r="U3" s="24" t="str">
        <f aca="false">IF($A3="","",IF(AND(U$2&gt;=09_ガント元データ!$G2,U$2&lt;=09_ガント元データ!$H2),"■",""))</f>
        <v/>
      </c>
      <c r="V3" s="24" t="str">
        <f aca="false">IF($A3="","",IF(AND(V$2&gt;=09_ガント元データ!$G2,V$2&lt;=09_ガント元データ!$H2),"■",""))</f>
        <v/>
      </c>
      <c r="W3" s="24" t="str">
        <f aca="false">IF($A3="","",IF(AND(W$2&gt;=09_ガント元データ!$G2,W$2&lt;=09_ガント元データ!$H2),"■",""))</f>
        <v/>
      </c>
      <c r="X3" s="24" t="str">
        <f aca="false">IF($A3="","",IF(AND(X$2&gt;=09_ガント元データ!$G2,X$2&lt;=09_ガント元データ!$H2),"■",""))</f>
        <v/>
      </c>
      <c r="Y3" s="24" t="str">
        <f aca="false">IF($A3="","",IF(AND(Y$2&gt;=09_ガント元データ!$G2,Y$2&lt;=09_ガント元データ!$H2),"■",""))</f>
        <v/>
      </c>
      <c r="Z3" s="24" t="str">
        <f aca="false">IF($A3="","",IF(AND(Z$2&gt;=09_ガント元データ!$G2,Z$2&lt;=09_ガント元データ!$H2),"■",""))</f>
        <v/>
      </c>
      <c r="AA3" s="24" t="str">
        <f aca="false">IF($A3="","",IF(AND(AA$2&gt;=09_ガント元データ!$G2,AA$2&lt;=09_ガント元データ!$H2),"■",""))</f>
        <v/>
      </c>
      <c r="AB3" s="24" t="str">
        <f aca="false">IF($A3="","",IF(AND(AB$2&gt;=09_ガント元データ!$G2,AB$2&lt;=09_ガント元データ!$H2),"■",""))</f>
        <v/>
      </c>
      <c r="AC3" s="24" t="str">
        <f aca="false">IF($A3="","",IF(AND(AC$2&gt;=09_ガント元データ!$G2,AC$2&lt;=09_ガント元データ!$H2),"■",""))</f>
        <v/>
      </c>
      <c r="AD3" s="24" t="str">
        <f aca="false">IF($A3="","",IF(AND(AD$2&gt;=09_ガント元データ!$G2,AD$2&lt;=09_ガント元データ!$H2),"■",""))</f>
        <v/>
      </c>
      <c r="AE3" s="24" t="str">
        <f aca="false">IF($A3="","",IF(AND(AE$2&gt;=09_ガント元データ!$G2,AE$2&lt;=09_ガント元データ!$H2),"■",""))</f>
        <v/>
      </c>
      <c r="AF3" s="24" t="str">
        <f aca="false">IF($A3="","",IF(AND(AF$2&gt;=09_ガント元データ!$G2,AF$2&lt;=09_ガント元データ!$H2),"■",""))</f>
        <v/>
      </c>
      <c r="AG3" s="24" t="str">
        <f aca="false">IF($A3="","",IF(AND(AG$2&gt;=09_ガント元データ!$G2,AG$2&lt;=09_ガント元データ!$H2),"■",""))</f>
        <v/>
      </c>
      <c r="AH3" s="24" t="str">
        <f aca="false">IF($A3="","",IF(AND(AH$2&gt;=09_ガント元データ!$G2,AH$2&lt;=09_ガント元データ!$H2),"■",""))</f>
        <v/>
      </c>
      <c r="AI3" s="24" t="str">
        <f aca="false">IF($A3="","",IF(AND(AI$2&gt;=09_ガント元データ!$G2,AI$2&lt;=09_ガント元データ!$H2),"■",""))</f>
        <v/>
      </c>
      <c r="AJ3" s="24" t="str">
        <f aca="false">IF($A3="","",IF(AND(AJ$2&gt;=09_ガント元データ!$G2,AJ$2&lt;=09_ガント元データ!$H2),"■",""))</f>
        <v/>
      </c>
      <c r="AK3" s="24" t="str">
        <f aca="false">IF($A3="","",IF(AND(AK$2&gt;=09_ガント元データ!$G2,AK$2&lt;=09_ガント元データ!$H2),"■",""))</f>
        <v/>
      </c>
      <c r="AL3" s="24" t="str">
        <f aca="false">IF($A3="","",IF(AND(AL$2&gt;=09_ガント元データ!$G2,AL$2&lt;=09_ガント元データ!$H2),"■",""))</f>
        <v/>
      </c>
      <c r="AM3" s="24" t="str">
        <f aca="false">IF($A3="","",IF(AND(AM$2&gt;=09_ガント元データ!$G2,AM$2&lt;=09_ガント元データ!$H2),"■",""))</f>
        <v/>
      </c>
    </row>
    <row r="4" customFormat="false" ht="15" hidden="false" customHeight="false" outlineLevel="0" collapsed="false">
      <c r="A4" s="22" t="str">
        <f aca="false">09_ガント元データ!A3</f>
        <v/>
      </c>
      <c r="B4" s="22" t="str">
        <f aca="false">09_ガント元データ!B3</f>
        <v/>
      </c>
      <c r="C4" s="23" t="str">
        <f aca="false">09_ガント元データ!C3</f>
        <v/>
      </c>
      <c r="D4" s="24" t="str">
        <f aca="false">IF($A4="","",IF(AND(D$2&gt;=09_ガント元データ!$G3,D$2&lt;=09_ガント元データ!$H3),"■",""))</f>
        <v/>
      </c>
      <c r="E4" s="24" t="str">
        <f aca="false">IF($A4="","",IF(AND(E$2&gt;=09_ガント元データ!$G3,E$2&lt;=09_ガント元データ!$H3),"■",""))</f>
        <v/>
      </c>
      <c r="F4" s="24" t="str">
        <f aca="false">IF($A4="","",IF(AND(F$2&gt;=09_ガント元データ!$G3,F$2&lt;=09_ガント元データ!$H3),"■",""))</f>
        <v/>
      </c>
      <c r="G4" s="24" t="str">
        <f aca="false">IF($A4="","",IF(AND(G$2&gt;=09_ガント元データ!$G3,G$2&lt;=09_ガント元データ!$H3),"■",""))</f>
        <v/>
      </c>
      <c r="H4" s="24" t="str">
        <f aca="false">IF($A4="","",IF(AND(H$2&gt;=09_ガント元データ!$G3,H$2&lt;=09_ガント元データ!$H3),"■",""))</f>
        <v/>
      </c>
      <c r="I4" s="24" t="str">
        <f aca="false">IF($A4="","",IF(AND(I$2&gt;=09_ガント元データ!$G3,I$2&lt;=09_ガント元データ!$H3),"■",""))</f>
        <v/>
      </c>
      <c r="J4" s="24" t="str">
        <f aca="false">IF($A4="","",IF(AND(J$2&gt;=09_ガント元データ!$G3,J$2&lt;=09_ガント元データ!$H3),"■",""))</f>
        <v/>
      </c>
      <c r="K4" s="24" t="str">
        <f aca="false">IF($A4="","",IF(AND(K$2&gt;=09_ガント元データ!$G3,K$2&lt;=09_ガント元データ!$H3),"■",""))</f>
        <v/>
      </c>
      <c r="L4" s="24" t="str">
        <f aca="false">IF($A4="","",IF(AND(L$2&gt;=09_ガント元データ!$G3,L$2&lt;=09_ガント元データ!$H3),"■",""))</f>
        <v/>
      </c>
      <c r="M4" s="24" t="str">
        <f aca="false">IF($A4="","",IF(AND(M$2&gt;=09_ガント元データ!$G3,M$2&lt;=09_ガント元データ!$H3),"■",""))</f>
        <v/>
      </c>
      <c r="N4" s="24" t="str">
        <f aca="false">IF($A4="","",IF(AND(N$2&gt;=09_ガント元データ!$G3,N$2&lt;=09_ガント元データ!$H3),"■",""))</f>
        <v/>
      </c>
      <c r="O4" s="24" t="str">
        <f aca="false">IF($A4="","",IF(AND(O$2&gt;=09_ガント元データ!$G3,O$2&lt;=09_ガント元データ!$H3),"■",""))</f>
        <v/>
      </c>
      <c r="P4" s="24" t="str">
        <f aca="false">IF($A4="","",IF(AND(P$2&gt;=09_ガント元データ!$G3,P$2&lt;=09_ガント元データ!$H3),"■",""))</f>
        <v/>
      </c>
      <c r="Q4" s="24" t="str">
        <f aca="false">IF($A4="","",IF(AND(Q$2&gt;=09_ガント元データ!$G3,Q$2&lt;=09_ガント元データ!$H3),"■",""))</f>
        <v/>
      </c>
      <c r="R4" s="24" t="str">
        <f aca="false">IF($A4="","",IF(AND(R$2&gt;=09_ガント元データ!$G3,R$2&lt;=09_ガント元データ!$H3),"■",""))</f>
        <v/>
      </c>
      <c r="S4" s="24" t="str">
        <f aca="false">IF($A4="","",IF(AND(S$2&gt;=09_ガント元データ!$G3,S$2&lt;=09_ガント元データ!$H3),"■",""))</f>
        <v/>
      </c>
      <c r="T4" s="24" t="str">
        <f aca="false">IF($A4="","",IF(AND(T$2&gt;=09_ガント元データ!$G3,T$2&lt;=09_ガント元データ!$H3),"■",""))</f>
        <v/>
      </c>
      <c r="U4" s="24" t="str">
        <f aca="false">IF($A4="","",IF(AND(U$2&gt;=09_ガント元データ!$G3,U$2&lt;=09_ガント元データ!$H3),"■",""))</f>
        <v/>
      </c>
      <c r="V4" s="24" t="str">
        <f aca="false">IF($A4="","",IF(AND(V$2&gt;=09_ガント元データ!$G3,V$2&lt;=09_ガント元データ!$H3),"■",""))</f>
        <v/>
      </c>
      <c r="W4" s="24" t="str">
        <f aca="false">IF($A4="","",IF(AND(W$2&gt;=09_ガント元データ!$G3,W$2&lt;=09_ガント元データ!$H3),"■",""))</f>
        <v/>
      </c>
      <c r="X4" s="24" t="str">
        <f aca="false">IF($A4="","",IF(AND(X$2&gt;=09_ガント元データ!$G3,X$2&lt;=09_ガント元データ!$H3),"■",""))</f>
        <v/>
      </c>
      <c r="Y4" s="24" t="str">
        <f aca="false">IF($A4="","",IF(AND(Y$2&gt;=09_ガント元データ!$G3,Y$2&lt;=09_ガント元データ!$H3),"■",""))</f>
        <v/>
      </c>
      <c r="Z4" s="24" t="str">
        <f aca="false">IF($A4="","",IF(AND(Z$2&gt;=09_ガント元データ!$G3,Z$2&lt;=09_ガント元データ!$H3),"■",""))</f>
        <v/>
      </c>
      <c r="AA4" s="24" t="str">
        <f aca="false">IF($A4="","",IF(AND(AA$2&gt;=09_ガント元データ!$G3,AA$2&lt;=09_ガント元データ!$H3),"■",""))</f>
        <v/>
      </c>
      <c r="AB4" s="24" t="str">
        <f aca="false">IF($A4="","",IF(AND(AB$2&gt;=09_ガント元データ!$G3,AB$2&lt;=09_ガント元データ!$H3),"■",""))</f>
        <v/>
      </c>
      <c r="AC4" s="24" t="str">
        <f aca="false">IF($A4="","",IF(AND(AC$2&gt;=09_ガント元データ!$G3,AC$2&lt;=09_ガント元データ!$H3),"■",""))</f>
        <v/>
      </c>
      <c r="AD4" s="24" t="str">
        <f aca="false">IF($A4="","",IF(AND(AD$2&gt;=09_ガント元データ!$G3,AD$2&lt;=09_ガント元データ!$H3),"■",""))</f>
        <v/>
      </c>
      <c r="AE4" s="24" t="str">
        <f aca="false">IF($A4="","",IF(AND(AE$2&gt;=09_ガント元データ!$G3,AE$2&lt;=09_ガント元データ!$H3),"■",""))</f>
        <v/>
      </c>
      <c r="AF4" s="24" t="str">
        <f aca="false">IF($A4="","",IF(AND(AF$2&gt;=09_ガント元データ!$G3,AF$2&lt;=09_ガント元データ!$H3),"■",""))</f>
        <v/>
      </c>
      <c r="AG4" s="24" t="str">
        <f aca="false">IF($A4="","",IF(AND(AG$2&gt;=09_ガント元データ!$G3,AG$2&lt;=09_ガント元データ!$H3),"■",""))</f>
        <v/>
      </c>
      <c r="AH4" s="24" t="str">
        <f aca="false">IF($A4="","",IF(AND(AH$2&gt;=09_ガント元データ!$G3,AH$2&lt;=09_ガント元データ!$H3),"■",""))</f>
        <v/>
      </c>
      <c r="AI4" s="24" t="str">
        <f aca="false">IF($A4="","",IF(AND(AI$2&gt;=09_ガント元データ!$G3,AI$2&lt;=09_ガント元データ!$H3),"■",""))</f>
        <v/>
      </c>
      <c r="AJ4" s="24" t="str">
        <f aca="false">IF($A4="","",IF(AND(AJ$2&gt;=09_ガント元データ!$G3,AJ$2&lt;=09_ガント元データ!$H3),"■",""))</f>
        <v/>
      </c>
      <c r="AK4" s="24" t="str">
        <f aca="false">IF($A4="","",IF(AND(AK$2&gt;=09_ガント元データ!$G3,AK$2&lt;=09_ガント元データ!$H3),"■",""))</f>
        <v/>
      </c>
      <c r="AL4" s="24" t="str">
        <f aca="false">IF($A4="","",IF(AND(AL$2&gt;=09_ガント元データ!$G3,AL$2&lt;=09_ガント元データ!$H3),"■",""))</f>
        <v/>
      </c>
      <c r="AM4" s="24" t="str">
        <f aca="false">IF($A4="","",IF(AND(AM$2&gt;=09_ガント元データ!$G3,AM$2&lt;=09_ガント元データ!$H3),"■",""))</f>
        <v/>
      </c>
    </row>
    <row r="5" customFormat="false" ht="15" hidden="false" customHeight="false" outlineLevel="0" collapsed="false">
      <c r="A5" s="22" t="str">
        <f aca="false">09_ガント元データ!A4</f>
        <v/>
      </c>
      <c r="B5" s="22" t="str">
        <f aca="false">09_ガント元データ!B4</f>
        <v/>
      </c>
      <c r="C5" s="23" t="str">
        <f aca="false">09_ガント元データ!C4</f>
        <v/>
      </c>
      <c r="D5" s="24" t="str">
        <f aca="false">IF($A5="","",IF(AND(D$2&gt;=09_ガント元データ!$G4,D$2&lt;=09_ガント元データ!$H4),"■",""))</f>
        <v/>
      </c>
      <c r="E5" s="24" t="str">
        <f aca="false">IF($A5="","",IF(AND(E$2&gt;=09_ガント元データ!$G4,E$2&lt;=09_ガント元データ!$H4),"■",""))</f>
        <v/>
      </c>
      <c r="F5" s="24" t="str">
        <f aca="false">IF($A5="","",IF(AND(F$2&gt;=09_ガント元データ!$G4,F$2&lt;=09_ガント元データ!$H4),"■",""))</f>
        <v/>
      </c>
      <c r="G5" s="24" t="str">
        <f aca="false">IF($A5="","",IF(AND(G$2&gt;=09_ガント元データ!$G4,G$2&lt;=09_ガント元データ!$H4),"■",""))</f>
        <v/>
      </c>
      <c r="H5" s="24" t="str">
        <f aca="false">IF($A5="","",IF(AND(H$2&gt;=09_ガント元データ!$G4,H$2&lt;=09_ガント元データ!$H4),"■",""))</f>
        <v/>
      </c>
      <c r="I5" s="24" t="str">
        <f aca="false">IF($A5="","",IF(AND(I$2&gt;=09_ガント元データ!$G4,I$2&lt;=09_ガント元データ!$H4),"■",""))</f>
        <v/>
      </c>
      <c r="J5" s="24" t="str">
        <f aca="false">IF($A5="","",IF(AND(J$2&gt;=09_ガント元データ!$G4,J$2&lt;=09_ガント元データ!$H4),"■",""))</f>
        <v/>
      </c>
      <c r="K5" s="24" t="str">
        <f aca="false">IF($A5="","",IF(AND(K$2&gt;=09_ガント元データ!$G4,K$2&lt;=09_ガント元データ!$H4),"■",""))</f>
        <v/>
      </c>
      <c r="L5" s="24" t="str">
        <f aca="false">IF($A5="","",IF(AND(L$2&gt;=09_ガント元データ!$G4,L$2&lt;=09_ガント元データ!$H4),"■",""))</f>
        <v/>
      </c>
      <c r="M5" s="24" t="str">
        <f aca="false">IF($A5="","",IF(AND(M$2&gt;=09_ガント元データ!$G4,M$2&lt;=09_ガント元データ!$H4),"■",""))</f>
        <v/>
      </c>
      <c r="N5" s="24" t="str">
        <f aca="false">IF($A5="","",IF(AND(N$2&gt;=09_ガント元データ!$G4,N$2&lt;=09_ガント元データ!$H4),"■",""))</f>
        <v/>
      </c>
      <c r="O5" s="24" t="str">
        <f aca="false">IF($A5="","",IF(AND(O$2&gt;=09_ガント元データ!$G4,O$2&lt;=09_ガント元データ!$H4),"■",""))</f>
        <v/>
      </c>
      <c r="P5" s="24" t="str">
        <f aca="false">IF($A5="","",IF(AND(P$2&gt;=09_ガント元データ!$G4,P$2&lt;=09_ガント元データ!$H4),"■",""))</f>
        <v/>
      </c>
      <c r="Q5" s="24" t="str">
        <f aca="false">IF($A5="","",IF(AND(Q$2&gt;=09_ガント元データ!$G4,Q$2&lt;=09_ガント元データ!$H4),"■",""))</f>
        <v/>
      </c>
      <c r="R5" s="24" t="str">
        <f aca="false">IF($A5="","",IF(AND(R$2&gt;=09_ガント元データ!$G4,R$2&lt;=09_ガント元データ!$H4),"■",""))</f>
        <v/>
      </c>
      <c r="S5" s="24" t="str">
        <f aca="false">IF($A5="","",IF(AND(S$2&gt;=09_ガント元データ!$G4,S$2&lt;=09_ガント元データ!$H4),"■",""))</f>
        <v/>
      </c>
      <c r="T5" s="24" t="str">
        <f aca="false">IF($A5="","",IF(AND(T$2&gt;=09_ガント元データ!$G4,T$2&lt;=09_ガント元データ!$H4),"■",""))</f>
        <v/>
      </c>
      <c r="U5" s="24" t="str">
        <f aca="false">IF($A5="","",IF(AND(U$2&gt;=09_ガント元データ!$G4,U$2&lt;=09_ガント元データ!$H4),"■",""))</f>
        <v/>
      </c>
      <c r="V5" s="24" t="str">
        <f aca="false">IF($A5="","",IF(AND(V$2&gt;=09_ガント元データ!$G4,V$2&lt;=09_ガント元データ!$H4),"■",""))</f>
        <v/>
      </c>
      <c r="W5" s="24" t="str">
        <f aca="false">IF($A5="","",IF(AND(W$2&gt;=09_ガント元データ!$G4,W$2&lt;=09_ガント元データ!$H4),"■",""))</f>
        <v/>
      </c>
      <c r="X5" s="24" t="str">
        <f aca="false">IF($A5="","",IF(AND(X$2&gt;=09_ガント元データ!$G4,X$2&lt;=09_ガント元データ!$H4),"■",""))</f>
        <v/>
      </c>
      <c r="Y5" s="24" t="str">
        <f aca="false">IF($A5="","",IF(AND(Y$2&gt;=09_ガント元データ!$G4,Y$2&lt;=09_ガント元データ!$H4),"■",""))</f>
        <v/>
      </c>
      <c r="Z5" s="24" t="str">
        <f aca="false">IF($A5="","",IF(AND(Z$2&gt;=09_ガント元データ!$G4,Z$2&lt;=09_ガント元データ!$H4),"■",""))</f>
        <v/>
      </c>
      <c r="AA5" s="24" t="str">
        <f aca="false">IF($A5="","",IF(AND(AA$2&gt;=09_ガント元データ!$G4,AA$2&lt;=09_ガント元データ!$H4),"■",""))</f>
        <v/>
      </c>
      <c r="AB5" s="24" t="str">
        <f aca="false">IF($A5="","",IF(AND(AB$2&gt;=09_ガント元データ!$G4,AB$2&lt;=09_ガント元データ!$H4),"■",""))</f>
        <v/>
      </c>
      <c r="AC5" s="24" t="str">
        <f aca="false">IF($A5="","",IF(AND(AC$2&gt;=09_ガント元データ!$G4,AC$2&lt;=09_ガント元データ!$H4),"■",""))</f>
        <v/>
      </c>
      <c r="AD5" s="24" t="str">
        <f aca="false">IF($A5="","",IF(AND(AD$2&gt;=09_ガント元データ!$G4,AD$2&lt;=09_ガント元データ!$H4),"■",""))</f>
        <v/>
      </c>
      <c r="AE5" s="24" t="str">
        <f aca="false">IF($A5="","",IF(AND(AE$2&gt;=09_ガント元データ!$G4,AE$2&lt;=09_ガント元データ!$H4),"■",""))</f>
        <v/>
      </c>
      <c r="AF5" s="24" t="str">
        <f aca="false">IF($A5="","",IF(AND(AF$2&gt;=09_ガント元データ!$G4,AF$2&lt;=09_ガント元データ!$H4),"■",""))</f>
        <v/>
      </c>
      <c r="AG5" s="24" t="str">
        <f aca="false">IF($A5="","",IF(AND(AG$2&gt;=09_ガント元データ!$G4,AG$2&lt;=09_ガント元データ!$H4),"■",""))</f>
        <v/>
      </c>
      <c r="AH5" s="24" t="str">
        <f aca="false">IF($A5="","",IF(AND(AH$2&gt;=09_ガント元データ!$G4,AH$2&lt;=09_ガント元データ!$H4),"■",""))</f>
        <v/>
      </c>
      <c r="AI5" s="24" t="str">
        <f aca="false">IF($A5="","",IF(AND(AI$2&gt;=09_ガント元データ!$G4,AI$2&lt;=09_ガント元データ!$H4),"■",""))</f>
        <v/>
      </c>
      <c r="AJ5" s="24" t="str">
        <f aca="false">IF($A5="","",IF(AND(AJ$2&gt;=09_ガント元データ!$G4,AJ$2&lt;=09_ガント元データ!$H4),"■",""))</f>
        <v/>
      </c>
      <c r="AK5" s="24" t="str">
        <f aca="false">IF($A5="","",IF(AND(AK$2&gt;=09_ガント元データ!$G4,AK$2&lt;=09_ガント元データ!$H4),"■",""))</f>
        <v/>
      </c>
      <c r="AL5" s="24" t="str">
        <f aca="false">IF($A5="","",IF(AND(AL$2&gt;=09_ガント元データ!$G4,AL$2&lt;=09_ガント元データ!$H4),"■",""))</f>
        <v/>
      </c>
      <c r="AM5" s="24" t="str">
        <f aca="false">IF($A5="","",IF(AND(AM$2&gt;=09_ガント元データ!$G4,AM$2&lt;=09_ガント元データ!$H4),"■",""))</f>
        <v/>
      </c>
    </row>
    <row r="6" customFormat="false" ht="15" hidden="false" customHeight="false" outlineLevel="0" collapsed="false">
      <c r="A6" s="22" t="str">
        <f aca="false">09_ガント元データ!A5</f>
        <v/>
      </c>
      <c r="B6" s="22" t="str">
        <f aca="false">09_ガント元データ!B5</f>
        <v/>
      </c>
      <c r="C6" s="23" t="str">
        <f aca="false">09_ガント元データ!C5</f>
        <v/>
      </c>
      <c r="D6" s="24" t="str">
        <f aca="false">IF($A6="","",IF(AND(D$2&gt;=09_ガント元データ!$G5,D$2&lt;=09_ガント元データ!$H5),"■",""))</f>
        <v/>
      </c>
      <c r="E6" s="24" t="str">
        <f aca="false">IF($A6="","",IF(AND(E$2&gt;=09_ガント元データ!$G5,E$2&lt;=09_ガント元データ!$H5),"■",""))</f>
        <v/>
      </c>
      <c r="F6" s="24" t="str">
        <f aca="false">IF($A6="","",IF(AND(F$2&gt;=09_ガント元データ!$G5,F$2&lt;=09_ガント元データ!$H5),"■",""))</f>
        <v/>
      </c>
      <c r="G6" s="24" t="str">
        <f aca="false">IF($A6="","",IF(AND(G$2&gt;=09_ガント元データ!$G5,G$2&lt;=09_ガント元データ!$H5),"■",""))</f>
        <v/>
      </c>
      <c r="H6" s="24" t="str">
        <f aca="false">IF($A6="","",IF(AND(H$2&gt;=09_ガント元データ!$G5,H$2&lt;=09_ガント元データ!$H5),"■",""))</f>
        <v/>
      </c>
      <c r="I6" s="24" t="str">
        <f aca="false">IF($A6="","",IF(AND(I$2&gt;=09_ガント元データ!$G5,I$2&lt;=09_ガント元データ!$H5),"■",""))</f>
        <v/>
      </c>
      <c r="J6" s="24" t="str">
        <f aca="false">IF($A6="","",IF(AND(J$2&gt;=09_ガント元データ!$G5,J$2&lt;=09_ガント元データ!$H5),"■",""))</f>
        <v/>
      </c>
      <c r="K6" s="24" t="str">
        <f aca="false">IF($A6="","",IF(AND(K$2&gt;=09_ガント元データ!$G5,K$2&lt;=09_ガント元データ!$H5),"■",""))</f>
        <v/>
      </c>
      <c r="L6" s="24" t="str">
        <f aca="false">IF($A6="","",IF(AND(L$2&gt;=09_ガント元データ!$G5,L$2&lt;=09_ガント元データ!$H5),"■",""))</f>
        <v/>
      </c>
      <c r="M6" s="24" t="str">
        <f aca="false">IF($A6="","",IF(AND(M$2&gt;=09_ガント元データ!$G5,M$2&lt;=09_ガント元データ!$H5),"■",""))</f>
        <v/>
      </c>
      <c r="N6" s="24" t="str">
        <f aca="false">IF($A6="","",IF(AND(N$2&gt;=09_ガント元データ!$G5,N$2&lt;=09_ガント元データ!$H5),"■",""))</f>
        <v/>
      </c>
      <c r="O6" s="24" t="str">
        <f aca="false">IF($A6="","",IF(AND(O$2&gt;=09_ガント元データ!$G5,O$2&lt;=09_ガント元データ!$H5),"■",""))</f>
        <v/>
      </c>
      <c r="P6" s="24" t="str">
        <f aca="false">IF($A6="","",IF(AND(P$2&gt;=09_ガント元データ!$G5,P$2&lt;=09_ガント元データ!$H5),"■",""))</f>
        <v/>
      </c>
      <c r="Q6" s="24" t="str">
        <f aca="false">IF($A6="","",IF(AND(Q$2&gt;=09_ガント元データ!$G5,Q$2&lt;=09_ガント元データ!$H5),"■",""))</f>
        <v/>
      </c>
      <c r="R6" s="24" t="str">
        <f aca="false">IF($A6="","",IF(AND(R$2&gt;=09_ガント元データ!$G5,R$2&lt;=09_ガント元データ!$H5),"■",""))</f>
        <v/>
      </c>
      <c r="S6" s="24" t="str">
        <f aca="false">IF($A6="","",IF(AND(S$2&gt;=09_ガント元データ!$G5,S$2&lt;=09_ガント元データ!$H5),"■",""))</f>
        <v/>
      </c>
      <c r="T6" s="24" t="str">
        <f aca="false">IF($A6="","",IF(AND(T$2&gt;=09_ガント元データ!$G5,T$2&lt;=09_ガント元データ!$H5),"■",""))</f>
        <v/>
      </c>
      <c r="U6" s="24" t="str">
        <f aca="false">IF($A6="","",IF(AND(U$2&gt;=09_ガント元データ!$G5,U$2&lt;=09_ガント元データ!$H5),"■",""))</f>
        <v/>
      </c>
      <c r="V6" s="24" t="str">
        <f aca="false">IF($A6="","",IF(AND(V$2&gt;=09_ガント元データ!$G5,V$2&lt;=09_ガント元データ!$H5),"■",""))</f>
        <v/>
      </c>
      <c r="W6" s="24" t="str">
        <f aca="false">IF($A6="","",IF(AND(W$2&gt;=09_ガント元データ!$G5,W$2&lt;=09_ガント元データ!$H5),"■",""))</f>
        <v/>
      </c>
      <c r="X6" s="24" t="str">
        <f aca="false">IF($A6="","",IF(AND(X$2&gt;=09_ガント元データ!$G5,X$2&lt;=09_ガント元データ!$H5),"■",""))</f>
        <v/>
      </c>
      <c r="Y6" s="24" t="str">
        <f aca="false">IF($A6="","",IF(AND(Y$2&gt;=09_ガント元データ!$G5,Y$2&lt;=09_ガント元データ!$H5),"■",""))</f>
        <v/>
      </c>
      <c r="Z6" s="24" t="str">
        <f aca="false">IF($A6="","",IF(AND(Z$2&gt;=09_ガント元データ!$G5,Z$2&lt;=09_ガント元データ!$H5),"■",""))</f>
        <v/>
      </c>
      <c r="AA6" s="24" t="str">
        <f aca="false">IF($A6="","",IF(AND(AA$2&gt;=09_ガント元データ!$G5,AA$2&lt;=09_ガント元データ!$H5),"■",""))</f>
        <v/>
      </c>
      <c r="AB6" s="24" t="str">
        <f aca="false">IF($A6="","",IF(AND(AB$2&gt;=09_ガント元データ!$G5,AB$2&lt;=09_ガント元データ!$H5),"■",""))</f>
        <v/>
      </c>
      <c r="AC6" s="24" t="str">
        <f aca="false">IF($A6="","",IF(AND(AC$2&gt;=09_ガント元データ!$G5,AC$2&lt;=09_ガント元データ!$H5),"■",""))</f>
        <v/>
      </c>
      <c r="AD6" s="24" t="str">
        <f aca="false">IF($A6="","",IF(AND(AD$2&gt;=09_ガント元データ!$G5,AD$2&lt;=09_ガント元データ!$H5),"■",""))</f>
        <v/>
      </c>
      <c r="AE6" s="24" t="str">
        <f aca="false">IF($A6="","",IF(AND(AE$2&gt;=09_ガント元データ!$G5,AE$2&lt;=09_ガント元データ!$H5),"■",""))</f>
        <v/>
      </c>
      <c r="AF6" s="24" t="str">
        <f aca="false">IF($A6="","",IF(AND(AF$2&gt;=09_ガント元データ!$G5,AF$2&lt;=09_ガント元データ!$H5),"■",""))</f>
        <v/>
      </c>
      <c r="AG6" s="24" t="str">
        <f aca="false">IF($A6="","",IF(AND(AG$2&gt;=09_ガント元データ!$G5,AG$2&lt;=09_ガント元データ!$H5),"■",""))</f>
        <v/>
      </c>
      <c r="AH6" s="24" t="str">
        <f aca="false">IF($A6="","",IF(AND(AH$2&gt;=09_ガント元データ!$G5,AH$2&lt;=09_ガント元データ!$H5),"■",""))</f>
        <v/>
      </c>
      <c r="AI6" s="24" t="str">
        <f aca="false">IF($A6="","",IF(AND(AI$2&gt;=09_ガント元データ!$G5,AI$2&lt;=09_ガント元データ!$H5),"■",""))</f>
        <v/>
      </c>
      <c r="AJ6" s="24" t="str">
        <f aca="false">IF($A6="","",IF(AND(AJ$2&gt;=09_ガント元データ!$G5,AJ$2&lt;=09_ガント元データ!$H5),"■",""))</f>
        <v/>
      </c>
      <c r="AK6" s="24" t="str">
        <f aca="false">IF($A6="","",IF(AND(AK$2&gt;=09_ガント元データ!$G5,AK$2&lt;=09_ガント元データ!$H5),"■",""))</f>
        <v/>
      </c>
      <c r="AL6" s="24" t="str">
        <f aca="false">IF($A6="","",IF(AND(AL$2&gt;=09_ガント元データ!$G5,AL$2&lt;=09_ガント元データ!$H5),"■",""))</f>
        <v/>
      </c>
      <c r="AM6" s="24" t="str">
        <f aca="false">IF($A6="","",IF(AND(AM$2&gt;=09_ガント元データ!$G5,AM$2&lt;=09_ガント元データ!$H5),"■",""))</f>
        <v/>
      </c>
    </row>
    <row r="7" customFormat="false" ht="15" hidden="false" customHeight="false" outlineLevel="0" collapsed="false">
      <c r="A7" s="22" t="str">
        <f aca="false">09_ガント元データ!A6</f>
        <v/>
      </c>
      <c r="B7" s="22" t="str">
        <f aca="false">09_ガント元データ!B6</f>
        <v/>
      </c>
      <c r="C7" s="23" t="str">
        <f aca="false">09_ガント元データ!C6</f>
        <v/>
      </c>
      <c r="D7" s="24" t="str">
        <f aca="false">IF($A7="","",IF(AND(D$2&gt;=09_ガント元データ!$G6,D$2&lt;=09_ガント元データ!$H6),"■",""))</f>
        <v/>
      </c>
      <c r="E7" s="24" t="str">
        <f aca="false">IF($A7="","",IF(AND(E$2&gt;=09_ガント元データ!$G6,E$2&lt;=09_ガント元データ!$H6),"■",""))</f>
        <v/>
      </c>
      <c r="F7" s="24" t="str">
        <f aca="false">IF($A7="","",IF(AND(F$2&gt;=09_ガント元データ!$G6,F$2&lt;=09_ガント元データ!$H6),"■",""))</f>
        <v/>
      </c>
      <c r="G7" s="24" t="str">
        <f aca="false">IF($A7="","",IF(AND(G$2&gt;=09_ガント元データ!$G6,G$2&lt;=09_ガント元データ!$H6),"■",""))</f>
        <v/>
      </c>
      <c r="H7" s="24" t="str">
        <f aca="false">IF($A7="","",IF(AND(H$2&gt;=09_ガント元データ!$G6,H$2&lt;=09_ガント元データ!$H6),"■",""))</f>
        <v/>
      </c>
      <c r="I7" s="24" t="str">
        <f aca="false">IF($A7="","",IF(AND(I$2&gt;=09_ガント元データ!$G6,I$2&lt;=09_ガント元データ!$H6),"■",""))</f>
        <v/>
      </c>
      <c r="J7" s="24" t="str">
        <f aca="false">IF($A7="","",IF(AND(J$2&gt;=09_ガント元データ!$G6,J$2&lt;=09_ガント元データ!$H6),"■",""))</f>
        <v/>
      </c>
      <c r="K7" s="24" t="str">
        <f aca="false">IF($A7="","",IF(AND(K$2&gt;=09_ガント元データ!$G6,K$2&lt;=09_ガント元データ!$H6),"■",""))</f>
        <v/>
      </c>
      <c r="L7" s="24" t="str">
        <f aca="false">IF($A7="","",IF(AND(L$2&gt;=09_ガント元データ!$G6,L$2&lt;=09_ガント元データ!$H6),"■",""))</f>
        <v/>
      </c>
      <c r="M7" s="24" t="str">
        <f aca="false">IF($A7="","",IF(AND(M$2&gt;=09_ガント元データ!$G6,M$2&lt;=09_ガント元データ!$H6),"■",""))</f>
        <v/>
      </c>
      <c r="N7" s="24" t="str">
        <f aca="false">IF($A7="","",IF(AND(N$2&gt;=09_ガント元データ!$G6,N$2&lt;=09_ガント元データ!$H6),"■",""))</f>
        <v/>
      </c>
      <c r="O7" s="24" t="str">
        <f aca="false">IF($A7="","",IF(AND(O$2&gt;=09_ガント元データ!$G6,O$2&lt;=09_ガント元データ!$H6),"■",""))</f>
        <v/>
      </c>
      <c r="P7" s="24" t="str">
        <f aca="false">IF($A7="","",IF(AND(P$2&gt;=09_ガント元データ!$G6,P$2&lt;=09_ガント元データ!$H6),"■",""))</f>
        <v/>
      </c>
      <c r="Q7" s="24" t="str">
        <f aca="false">IF($A7="","",IF(AND(Q$2&gt;=09_ガント元データ!$G6,Q$2&lt;=09_ガント元データ!$H6),"■",""))</f>
        <v/>
      </c>
      <c r="R7" s="24" t="str">
        <f aca="false">IF($A7="","",IF(AND(R$2&gt;=09_ガント元データ!$G6,R$2&lt;=09_ガント元データ!$H6),"■",""))</f>
        <v/>
      </c>
      <c r="S7" s="24" t="str">
        <f aca="false">IF($A7="","",IF(AND(S$2&gt;=09_ガント元データ!$G6,S$2&lt;=09_ガント元データ!$H6),"■",""))</f>
        <v/>
      </c>
      <c r="T7" s="24" t="str">
        <f aca="false">IF($A7="","",IF(AND(T$2&gt;=09_ガント元データ!$G6,T$2&lt;=09_ガント元データ!$H6),"■",""))</f>
        <v/>
      </c>
      <c r="U7" s="24" t="str">
        <f aca="false">IF($A7="","",IF(AND(U$2&gt;=09_ガント元データ!$G6,U$2&lt;=09_ガント元データ!$H6),"■",""))</f>
        <v/>
      </c>
      <c r="V7" s="24" t="str">
        <f aca="false">IF($A7="","",IF(AND(V$2&gt;=09_ガント元データ!$G6,V$2&lt;=09_ガント元データ!$H6),"■",""))</f>
        <v/>
      </c>
      <c r="W7" s="24" t="str">
        <f aca="false">IF($A7="","",IF(AND(W$2&gt;=09_ガント元データ!$G6,W$2&lt;=09_ガント元データ!$H6),"■",""))</f>
        <v/>
      </c>
      <c r="X7" s="24" t="str">
        <f aca="false">IF($A7="","",IF(AND(X$2&gt;=09_ガント元データ!$G6,X$2&lt;=09_ガント元データ!$H6),"■",""))</f>
        <v/>
      </c>
      <c r="Y7" s="24" t="str">
        <f aca="false">IF($A7="","",IF(AND(Y$2&gt;=09_ガント元データ!$G6,Y$2&lt;=09_ガント元データ!$H6),"■",""))</f>
        <v/>
      </c>
      <c r="Z7" s="24" t="str">
        <f aca="false">IF($A7="","",IF(AND(Z$2&gt;=09_ガント元データ!$G6,Z$2&lt;=09_ガント元データ!$H6),"■",""))</f>
        <v/>
      </c>
      <c r="AA7" s="24" t="str">
        <f aca="false">IF($A7="","",IF(AND(AA$2&gt;=09_ガント元データ!$G6,AA$2&lt;=09_ガント元データ!$H6),"■",""))</f>
        <v/>
      </c>
      <c r="AB7" s="24" t="str">
        <f aca="false">IF($A7="","",IF(AND(AB$2&gt;=09_ガント元データ!$G6,AB$2&lt;=09_ガント元データ!$H6),"■",""))</f>
        <v/>
      </c>
      <c r="AC7" s="24" t="str">
        <f aca="false">IF($A7="","",IF(AND(AC$2&gt;=09_ガント元データ!$G6,AC$2&lt;=09_ガント元データ!$H6),"■",""))</f>
        <v/>
      </c>
      <c r="AD7" s="24" t="str">
        <f aca="false">IF($A7="","",IF(AND(AD$2&gt;=09_ガント元データ!$G6,AD$2&lt;=09_ガント元データ!$H6),"■",""))</f>
        <v/>
      </c>
      <c r="AE7" s="24" t="str">
        <f aca="false">IF($A7="","",IF(AND(AE$2&gt;=09_ガント元データ!$G6,AE$2&lt;=09_ガント元データ!$H6),"■",""))</f>
        <v/>
      </c>
      <c r="AF7" s="24" t="str">
        <f aca="false">IF($A7="","",IF(AND(AF$2&gt;=09_ガント元データ!$G6,AF$2&lt;=09_ガント元データ!$H6),"■",""))</f>
        <v/>
      </c>
      <c r="AG7" s="24" t="str">
        <f aca="false">IF($A7="","",IF(AND(AG$2&gt;=09_ガント元データ!$G6,AG$2&lt;=09_ガント元データ!$H6),"■",""))</f>
        <v/>
      </c>
      <c r="AH7" s="24" t="str">
        <f aca="false">IF($A7="","",IF(AND(AH$2&gt;=09_ガント元データ!$G6,AH$2&lt;=09_ガント元データ!$H6),"■",""))</f>
        <v/>
      </c>
      <c r="AI7" s="24" t="str">
        <f aca="false">IF($A7="","",IF(AND(AI$2&gt;=09_ガント元データ!$G6,AI$2&lt;=09_ガント元データ!$H6),"■",""))</f>
        <v/>
      </c>
      <c r="AJ7" s="24" t="str">
        <f aca="false">IF($A7="","",IF(AND(AJ$2&gt;=09_ガント元データ!$G6,AJ$2&lt;=09_ガント元データ!$H6),"■",""))</f>
        <v/>
      </c>
      <c r="AK7" s="24" t="str">
        <f aca="false">IF($A7="","",IF(AND(AK$2&gt;=09_ガント元データ!$G6,AK$2&lt;=09_ガント元データ!$H6),"■",""))</f>
        <v/>
      </c>
      <c r="AL7" s="24" t="str">
        <f aca="false">IF($A7="","",IF(AND(AL$2&gt;=09_ガント元データ!$G6,AL$2&lt;=09_ガント元データ!$H6),"■",""))</f>
        <v/>
      </c>
      <c r="AM7" s="24" t="str">
        <f aca="false">IF($A7="","",IF(AND(AM$2&gt;=09_ガント元データ!$G6,AM$2&lt;=09_ガント元データ!$H6),"■",""))</f>
        <v/>
      </c>
    </row>
    <row r="8" customFormat="false" ht="15" hidden="false" customHeight="false" outlineLevel="0" collapsed="false">
      <c r="A8" s="22" t="str">
        <f aca="false">09_ガント元データ!A7</f>
        <v/>
      </c>
      <c r="B8" s="22" t="str">
        <f aca="false">09_ガント元データ!B7</f>
        <v/>
      </c>
      <c r="C8" s="23" t="str">
        <f aca="false">09_ガント元データ!C7</f>
        <v/>
      </c>
      <c r="D8" s="24" t="str">
        <f aca="false">IF($A8="","",IF(AND(D$2&gt;=09_ガント元データ!$G7,D$2&lt;=09_ガント元データ!$H7),"■",""))</f>
        <v/>
      </c>
      <c r="E8" s="24" t="str">
        <f aca="false">IF($A8="","",IF(AND(E$2&gt;=09_ガント元データ!$G7,E$2&lt;=09_ガント元データ!$H7),"■",""))</f>
        <v/>
      </c>
      <c r="F8" s="24" t="str">
        <f aca="false">IF($A8="","",IF(AND(F$2&gt;=09_ガント元データ!$G7,F$2&lt;=09_ガント元データ!$H7),"■",""))</f>
        <v/>
      </c>
      <c r="G8" s="24" t="str">
        <f aca="false">IF($A8="","",IF(AND(G$2&gt;=09_ガント元データ!$G7,G$2&lt;=09_ガント元データ!$H7),"■",""))</f>
        <v/>
      </c>
      <c r="H8" s="24" t="str">
        <f aca="false">IF($A8="","",IF(AND(H$2&gt;=09_ガント元データ!$G7,H$2&lt;=09_ガント元データ!$H7),"■",""))</f>
        <v/>
      </c>
      <c r="I8" s="24" t="str">
        <f aca="false">IF($A8="","",IF(AND(I$2&gt;=09_ガント元データ!$G7,I$2&lt;=09_ガント元データ!$H7),"■",""))</f>
        <v/>
      </c>
      <c r="J8" s="24" t="str">
        <f aca="false">IF($A8="","",IF(AND(J$2&gt;=09_ガント元データ!$G7,J$2&lt;=09_ガント元データ!$H7),"■",""))</f>
        <v/>
      </c>
      <c r="K8" s="24" t="str">
        <f aca="false">IF($A8="","",IF(AND(K$2&gt;=09_ガント元データ!$G7,K$2&lt;=09_ガント元データ!$H7),"■",""))</f>
        <v/>
      </c>
      <c r="L8" s="24" t="str">
        <f aca="false">IF($A8="","",IF(AND(L$2&gt;=09_ガント元データ!$G7,L$2&lt;=09_ガント元データ!$H7),"■",""))</f>
        <v/>
      </c>
      <c r="M8" s="24" t="str">
        <f aca="false">IF($A8="","",IF(AND(M$2&gt;=09_ガント元データ!$G7,M$2&lt;=09_ガント元データ!$H7),"■",""))</f>
        <v/>
      </c>
      <c r="N8" s="24" t="str">
        <f aca="false">IF($A8="","",IF(AND(N$2&gt;=09_ガント元データ!$G7,N$2&lt;=09_ガント元データ!$H7),"■",""))</f>
        <v/>
      </c>
      <c r="O8" s="24" t="str">
        <f aca="false">IF($A8="","",IF(AND(O$2&gt;=09_ガント元データ!$G7,O$2&lt;=09_ガント元データ!$H7),"■",""))</f>
        <v/>
      </c>
      <c r="P8" s="24" t="str">
        <f aca="false">IF($A8="","",IF(AND(P$2&gt;=09_ガント元データ!$G7,P$2&lt;=09_ガント元データ!$H7),"■",""))</f>
        <v/>
      </c>
      <c r="Q8" s="24" t="str">
        <f aca="false">IF($A8="","",IF(AND(Q$2&gt;=09_ガント元データ!$G7,Q$2&lt;=09_ガント元データ!$H7),"■",""))</f>
        <v/>
      </c>
      <c r="R8" s="24" t="str">
        <f aca="false">IF($A8="","",IF(AND(R$2&gt;=09_ガント元データ!$G7,R$2&lt;=09_ガント元データ!$H7),"■",""))</f>
        <v/>
      </c>
      <c r="S8" s="24" t="str">
        <f aca="false">IF($A8="","",IF(AND(S$2&gt;=09_ガント元データ!$G7,S$2&lt;=09_ガント元データ!$H7),"■",""))</f>
        <v/>
      </c>
      <c r="T8" s="24" t="str">
        <f aca="false">IF($A8="","",IF(AND(T$2&gt;=09_ガント元データ!$G7,T$2&lt;=09_ガント元データ!$H7),"■",""))</f>
        <v/>
      </c>
      <c r="U8" s="24" t="str">
        <f aca="false">IF($A8="","",IF(AND(U$2&gt;=09_ガント元データ!$G7,U$2&lt;=09_ガント元データ!$H7),"■",""))</f>
        <v/>
      </c>
      <c r="V8" s="24" t="str">
        <f aca="false">IF($A8="","",IF(AND(V$2&gt;=09_ガント元データ!$G7,V$2&lt;=09_ガント元データ!$H7),"■",""))</f>
        <v/>
      </c>
      <c r="W8" s="24" t="str">
        <f aca="false">IF($A8="","",IF(AND(W$2&gt;=09_ガント元データ!$G7,W$2&lt;=09_ガント元データ!$H7),"■",""))</f>
        <v/>
      </c>
      <c r="X8" s="24" t="str">
        <f aca="false">IF($A8="","",IF(AND(X$2&gt;=09_ガント元データ!$G7,X$2&lt;=09_ガント元データ!$H7),"■",""))</f>
        <v/>
      </c>
      <c r="Y8" s="24" t="str">
        <f aca="false">IF($A8="","",IF(AND(Y$2&gt;=09_ガント元データ!$G7,Y$2&lt;=09_ガント元データ!$H7),"■",""))</f>
        <v/>
      </c>
      <c r="Z8" s="24" t="str">
        <f aca="false">IF($A8="","",IF(AND(Z$2&gt;=09_ガント元データ!$G7,Z$2&lt;=09_ガント元データ!$H7),"■",""))</f>
        <v/>
      </c>
      <c r="AA8" s="24" t="str">
        <f aca="false">IF($A8="","",IF(AND(AA$2&gt;=09_ガント元データ!$G7,AA$2&lt;=09_ガント元データ!$H7),"■",""))</f>
        <v/>
      </c>
      <c r="AB8" s="24" t="str">
        <f aca="false">IF($A8="","",IF(AND(AB$2&gt;=09_ガント元データ!$G7,AB$2&lt;=09_ガント元データ!$H7),"■",""))</f>
        <v/>
      </c>
      <c r="AC8" s="24" t="str">
        <f aca="false">IF($A8="","",IF(AND(AC$2&gt;=09_ガント元データ!$G7,AC$2&lt;=09_ガント元データ!$H7),"■",""))</f>
        <v/>
      </c>
      <c r="AD8" s="24" t="str">
        <f aca="false">IF($A8="","",IF(AND(AD$2&gt;=09_ガント元データ!$G7,AD$2&lt;=09_ガント元データ!$H7),"■",""))</f>
        <v/>
      </c>
      <c r="AE8" s="24" t="str">
        <f aca="false">IF($A8="","",IF(AND(AE$2&gt;=09_ガント元データ!$G7,AE$2&lt;=09_ガント元データ!$H7),"■",""))</f>
        <v/>
      </c>
      <c r="AF8" s="24" t="str">
        <f aca="false">IF($A8="","",IF(AND(AF$2&gt;=09_ガント元データ!$G7,AF$2&lt;=09_ガント元データ!$H7),"■",""))</f>
        <v/>
      </c>
      <c r="AG8" s="24" t="str">
        <f aca="false">IF($A8="","",IF(AND(AG$2&gt;=09_ガント元データ!$G7,AG$2&lt;=09_ガント元データ!$H7),"■",""))</f>
        <v/>
      </c>
      <c r="AH8" s="24" t="str">
        <f aca="false">IF($A8="","",IF(AND(AH$2&gt;=09_ガント元データ!$G7,AH$2&lt;=09_ガント元データ!$H7),"■",""))</f>
        <v/>
      </c>
      <c r="AI8" s="24" t="str">
        <f aca="false">IF($A8="","",IF(AND(AI$2&gt;=09_ガント元データ!$G7,AI$2&lt;=09_ガント元データ!$H7),"■",""))</f>
        <v/>
      </c>
      <c r="AJ8" s="24" t="str">
        <f aca="false">IF($A8="","",IF(AND(AJ$2&gt;=09_ガント元データ!$G7,AJ$2&lt;=09_ガント元データ!$H7),"■",""))</f>
        <v/>
      </c>
      <c r="AK8" s="24" t="str">
        <f aca="false">IF($A8="","",IF(AND(AK$2&gt;=09_ガント元データ!$G7,AK$2&lt;=09_ガント元データ!$H7),"■",""))</f>
        <v/>
      </c>
      <c r="AL8" s="24" t="str">
        <f aca="false">IF($A8="","",IF(AND(AL$2&gt;=09_ガント元データ!$G7,AL$2&lt;=09_ガント元データ!$H7),"■",""))</f>
        <v/>
      </c>
      <c r="AM8" s="24" t="str">
        <f aca="false">IF($A8="","",IF(AND(AM$2&gt;=09_ガント元データ!$G7,AM$2&lt;=09_ガント元データ!$H7),"■",""))</f>
        <v/>
      </c>
    </row>
    <row r="9" customFormat="false" ht="15" hidden="false" customHeight="false" outlineLevel="0" collapsed="false">
      <c r="A9" s="22" t="str">
        <f aca="false">09_ガント元データ!A8</f>
        <v/>
      </c>
      <c r="B9" s="22" t="str">
        <f aca="false">09_ガント元データ!B8</f>
        <v/>
      </c>
      <c r="C9" s="23" t="str">
        <f aca="false">09_ガント元データ!C8</f>
        <v/>
      </c>
      <c r="D9" s="24" t="str">
        <f aca="false">IF($A9="","",IF(AND(D$2&gt;=09_ガント元データ!$G8,D$2&lt;=09_ガント元データ!$H8),"■",""))</f>
        <v/>
      </c>
      <c r="E9" s="24" t="str">
        <f aca="false">IF($A9="","",IF(AND(E$2&gt;=09_ガント元データ!$G8,E$2&lt;=09_ガント元データ!$H8),"■",""))</f>
        <v/>
      </c>
      <c r="F9" s="24" t="str">
        <f aca="false">IF($A9="","",IF(AND(F$2&gt;=09_ガント元データ!$G8,F$2&lt;=09_ガント元データ!$H8),"■",""))</f>
        <v/>
      </c>
      <c r="G9" s="24" t="str">
        <f aca="false">IF($A9="","",IF(AND(G$2&gt;=09_ガント元データ!$G8,G$2&lt;=09_ガント元データ!$H8),"■",""))</f>
        <v/>
      </c>
      <c r="H9" s="24" t="str">
        <f aca="false">IF($A9="","",IF(AND(H$2&gt;=09_ガント元データ!$G8,H$2&lt;=09_ガント元データ!$H8),"■",""))</f>
        <v/>
      </c>
      <c r="I9" s="24" t="str">
        <f aca="false">IF($A9="","",IF(AND(I$2&gt;=09_ガント元データ!$G8,I$2&lt;=09_ガント元データ!$H8),"■",""))</f>
        <v/>
      </c>
      <c r="J9" s="24" t="str">
        <f aca="false">IF($A9="","",IF(AND(J$2&gt;=09_ガント元データ!$G8,J$2&lt;=09_ガント元データ!$H8),"■",""))</f>
        <v/>
      </c>
      <c r="K9" s="24" t="str">
        <f aca="false">IF($A9="","",IF(AND(K$2&gt;=09_ガント元データ!$G8,K$2&lt;=09_ガント元データ!$H8),"■",""))</f>
        <v/>
      </c>
      <c r="L9" s="24" t="str">
        <f aca="false">IF($A9="","",IF(AND(L$2&gt;=09_ガント元データ!$G8,L$2&lt;=09_ガント元データ!$H8),"■",""))</f>
        <v/>
      </c>
      <c r="M9" s="24" t="str">
        <f aca="false">IF($A9="","",IF(AND(M$2&gt;=09_ガント元データ!$G8,M$2&lt;=09_ガント元データ!$H8),"■",""))</f>
        <v/>
      </c>
      <c r="N9" s="24" t="str">
        <f aca="false">IF($A9="","",IF(AND(N$2&gt;=09_ガント元データ!$G8,N$2&lt;=09_ガント元データ!$H8),"■",""))</f>
        <v/>
      </c>
      <c r="O9" s="24" t="str">
        <f aca="false">IF($A9="","",IF(AND(O$2&gt;=09_ガント元データ!$G8,O$2&lt;=09_ガント元データ!$H8),"■",""))</f>
        <v/>
      </c>
      <c r="P9" s="24" t="str">
        <f aca="false">IF($A9="","",IF(AND(P$2&gt;=09_ガント元データ!$G8,P$2&lt;=09_ガント元データ!$H8),"■",""))</f>
        <v/>
      </c>
      <c r="Q9" s="24" t="str">
        <f aca="false">IF($A9="","",IF(AND(Q$2&gt;=09_ガント元データ!$G8,Q$2&lt;=09_ガント元データ!$H8),"■",""))</f>
        <v/>
      </c>
      <c r="R9" s="24" t="str">
        <f aca="false">IF($A9="","",IF(AND(R$2&gt;=09_ガント元データ!$G8,R$2&lt;=09_ガント元データ!$H8),"■",""))</f>
        <v/>
      </c>
      <c r="S9" s="24" t="str">
        <f aca="false">IF($A9="","",IF(AND(S$2&gt;=09_ガント元データ!$G8,S$2&lt;=09_ガント元データ!$H8),"■",""))</f>
        <v/>
      </c>
      <c r="T9" s="24" t="str">
        <f aca="false">IF($A9="","",IF(AND(T$2&gt;=09_ガント元データ!$G8,T$2&lt;=09_ガント元データ!$H8),"■",""))</f>
        <v/>
      </c>
      <c r="U9" s="24" t="str">
        <f aca="false">IF($A9="","",IF(AND(U$2&gt;=09_ガント元データ!$G8,U$2&lt;=09_ガント元データ!$H8),"■",""))</f>
        <v/>
      </c>
      <c r="V9" s="24" t="str">
        <f aca="false">IF($A9="","",IF(AND(V$2&gt;=09_ガント元データ!$G8,V$2&lt;=09_ガント元データ!$H8),"■",""))</f>
        <v/>
      </c>
      <c r="W9" s="24" t="str">
        <f aca="false">IF($A9="","",IF(AND(W$2&gt;=09_ガント元データ!$G8,W$2&lt;=09_ガント元データ!$H8),"■",""))</f>
        <v/>
      </c>
      <c r="X9" s="24" t="str">
        <f aca="false">IF($A9="","",IF(AND(X$2&gt;=09_ガント元データ!$G8,X$2&lt;=09_ガント元データ!$H8),"■",""))</f>
        <v/>
      </c>
      <c r="Y9" s="24" t="str">
        <f aca="false">IF($A9="","",IF(AND(Y$2&gt;=09_ガント元データ!$G8,Y$2&lt;=09_ガント元データ!$H8),"■",""))</f>
        <v/>
      </c>
      <c r="Z9" s="24" t="str">
        <f aca="false">IF($A9="","",IF(AND(Z$2&gt;=09_ガント元データ!$G8,Z$2&lt;=09_ガント元データ!$H8),"■",""))</f>
        <v/>
      </c>
      <c r="AA9" s="24" t="str">
        <f aca="false">IF($A9="","",IF(AND(AA$2&gt;=09_ガント元データ!$G8,AA$2&lt;=09_ガント元データ!$H8),"■",""))</f>
        <v/>
      </c>
      <c r="AB9" s="24" t="str">
        <f aca="false">IF($A9="","",IF(AND(AB$2&gt;=09_ガント元データ!$G8,AB$2&lt;=09_ガント元データ!$H8),"■",""))</f>
        <v/>
      </c>
      <c r="AC9" s="24" t="str">
        <f aca="false">IF($A9="","",IF(AND(AC$2&gt;=09_ガント元データ!$G8,AC$2&lt;=09_ガント元データ!$H8),"■",""))</f>
        <v/>
      </c>
      <c r="AD9" s="24" t="str">
        <f aca="false">IF($A9="","",IF(AND(AD$2&gt;=09_ガント元データ!$G8,AD$2&lt;=09_ガント元データ!$H8),"■",""))</f>
        <v/>
      </c>
      <c r="AE9" s="24" t="str">
        <f aca="false">IF($A9="","",IF(AND(AE$2&gt;=09_ガント元データ!$G8,AE$2&lt;=09_ガント元データ!$H8),"■",""))</f>
        <v/>
      </c>
      <c r="AF9" s="24" t="str">
        <f aca="false">IF($A9="","",IF(AND(AF$2&gt;=09_ガント元データ!$G8,AF$2&lt;=09_ガント元データ!$H8),"■",""))</f>
        <v/>
      </c>
      <c r="AG9" s="24" t="str">
        <f aca="false">IF($A9="","",IF(AND(AG$2&gt;=09_ガント元データ!$G8,AG$2&lt;=09_ガント元データ!$H8),"■",""))</f>
        <v/>
      </c>
      <c r="AH9" s="24" t="str">
        <f aca="false">IF($A9="","",IF(AND(AH$2&gt;=09_ガント元データ!$G8,AH$2&lt;=09_ガント元データ!$H8),"■",""))</f>
        <v/>
      </c>
      <c r="AI9" s="24" t="str">
        <f aca="false">IF($A9="","",IF(AND(AI$2&gt;=09_ガント元データ!$G8,AI$2&lt;=09_ガント元データ!$H8),"■",""))</f>
        <v/>
      </c>
      <c r="AJ9" s="24" t="str">
        <f aca="false">IF($A9="","",IF(AND(AJ$2&gt;=09_ガント元データ!$G8,AJ$2&lt;=09_ガント元データ!$H8),"■",""))</f>
        <v/>
      </c>
      <c r="AK9" s="24" t="str">
        <f aca="false">IF($A9="","",IF(AND(AK$2&gt;=09_ガント元データ!$G8,AK$2&lt;=09_ガント元データ!$H8),"■",""))</f>
        <v/>
      </c>
      <c r="AL9" s="24" t="str">
        <f aca="false">IF($A9="","",IF(AND(AL$2&gt;=09_ガント元データ!$G8,AL$2&lt;=09_ガント元データ!$H8),"■",""))</f>
        <v/>
      </c>
      <c r="AM9" s="24" t="str">
        <f aca="false">IF($A9="","",IF(AND(AM$2&gt;=09_ガント元データ!$G8,AM$2&lt;=09_ガント元データ!$H8),"■",""))</f>
        <v/>
      </c>
    </row>
    <row r="10" customFormat="false" ht="15" hidden="false" customHeight="false" outlineLevel="0" collapsed="false">
      <c r="A10" s="22" t="str">
        <f aca="false">09_ガント元データ!A9</f>
        <v/>
      </c>
      <c r="B10" s="22" t="str">
        <f aca="false">09_ガント元データ!B9</f>
        <v/>
      </c>
      <c r="C10" s="23" t="str">
        <f aca="false">09_ガント元データ!C9</f>
        <v/>
      </c>
      <c r="D10" s="24" t="str">
        <f aca="false">IF($A10="","",IF(AND(D$2&gt;=09_ガント元データ!$G9,D$2&lt;=09_ガント元データ!$H9),"■",""))</f>
        <v/>
      </c>
      <c r="E10" s="24" t="str">
        <f aca="false">IF($A10="","",IF(AND(E$2&gt;=09_ガント元データ!$G9,E$2&lt;=09_ガント元データ!$H9),"■",""))</f>
        <v/>
      </c>
      <c r="F10" s="24" t="str">
        <f aca="false">IF($A10="","",IF(AND(F$2&gt;=09_ガント元データ!$G9,F$2&lt;=09_ガント元データ!$H9),"■",""))</f>
        <v/>
      </c>
      <c r="G10" s="24" t="str">
        <f aca="false">IF($A10="","",IF(AND(G$2&gt;=09_ガント元データ!$G9,G$2&lt;=09_ガント元データ!$H9),"■",""))</f>
        <v/>
      </c>
      <c r="H10" s="24" t="str">
        <f aca="false">IF($A10="","",IF(AND(H$2&gt;=09_ガント元データ!$G9,H$2&lt;=09_ガント元データ!$H9),"■",""))</f>
        <v/>
      </c>
      <c r="I10" s="24" t="str">
        <f aca="false">IF($A10="","",IF(AND(I$2&gt;=09_ガント元データ!$G9,I$2&lt;=09_ガント元データ!$H9),"■",""))</f>
        <v/>
      </c>
      <c r="J10" s="24" t="str">
        <f aca="false">IF($A10="","",IF(AND(J$2&gt;=09_ガント元データ!$G9,J$2&lt;=09_ガント元データ!$H9),"■",""))</f>
        <v/>
      </c>
      <c r="K10" s="24" t="str">
        <f aca="false">IF($A10="","",IF(AND(K$2&gt;=09_ガント元データ!$G9,K$2&lt;=09_ガント元データ!$H9),"■",""))</f>
        <v/>
      </c>
      <c r="L10" s="24" t="str">
        <f aca="false">IF($A10="","",IF(AND(L$2&gt;=09_ガント元データ!$G9,L$2&lt;=09_ガント元データ!$H9),"■",""))</f>
        <v/>
      </c>
      <c r="M10" s="24" t="str">
        <f aca="false">IF($A10="","",IF(AND(M$2&gt;=09_ガント元データ!$G9,M$2&lt;=09_ガント元データ!$H9),"■",""))</f>
        <v/>
      </c>
      <c r="N10" s="24" t="str">
        <f aca="false">IF($A10="","",IF(AND(N$2&gt;=09_ガント元データ!$G9,N$2&lt;=09_ガント元データ!$H9),"■",""))</f>
        <v/>
      </c>
      <c r="O10" s="24" t="str">
        <f aca="false">IF($A10="","",IF(AND(O$2&gt;=09_ガント元データ!$G9,O$2&lt;=09_ガント元データ!$H9),"■",""))</f>
        <v/>
      </c>
      <c r="P10" s="24" t="str">
        <f aca="false">IF($A10="","",IF(AND(P$2&gt;=09_ガント元データ!$G9,P$2&lt;=09_ガント元データ!$H9),"■",""))</f>
        <v/>
      </c>
      <c r="Q10" s="24" t="str">
        <f aca="false">IF($A10="","",IF(AND(Q$2&gt;=09_ガント元データ!$G9,Q$2&lt;=09_ガント元データ!$H9),"■",""))</f>
        <v/>
      </c>
      <c r="R10" s="24" t="str">
        <f aca="false">IF($A10="","",IF(AND(R$2&gt;=09_ガント元データ!$G9,R$2&lt;=09_ガント元データ!$H9),"■",""))</f>
        <v/>
      </c>
      <c r="S10" s="24" t="str">
        <f aca="false">IF($A10="","",IF(AND(S$2&gt;=09_ガント元データ!$G9,S$2&lt;=09_ガント元データ!$H9),"■",""))</f>
        <v/>
      </c>
      <c r="T10" s="24" t="str">
        <f aca="false">IF($A10="","",IF(AND(T$2&gt;=09_ガント元データ!$G9,T$2&lt;=09_ガント元データ!$H9),"■",""))</f>
        <v/>
      </c>
      <c r="U10" s="24" t="str">
        <f aca="false">IF($A10="","",IF(AND(U$2&gt;=09_ガント元データ!$G9,U$2&lt;=09_ガント元データ!$H9),"■",""))</f>
        <v/>
      </c>
      <c r="V10" s="24" t="str">
        <f aca="false">IF($A10="","",IF(AND(V$2&gt;=09_ガント元データ!$G9,V$2&lt;=09_ガント元データ!$H9),"■",""))</f>
        <v/>
      </c>
      <c r="W10" s="24" t="str">
        <f aca="false">IF($A10="","",IF(AND(W$2&gt;=09_ガント元データ!$G9,W$2&lt;=09_ガント元データ!$H9),"■",""))</f>
        <v/>
      </c>
      <c r="X10" s="24" t="str">
        <f aca="false">IF($A10="","",IF(AND(X$2&gt;=09_ガント元データ!$G9,X$2&lt;=09_ガント元データ!$H9),"■",""))</f>
        <v/>
      </c>
      <c r="Y10" s="24" t="str">
        <f aca="false">IF($A10="","",IF(AND(Y$2&gt;=09_ガント元データ!$G9,Y$2&lt;=09_ガント元データ!$H9),"■",""))</f>
        <v/>
      </c>
      <c r="Z10" s="24" t="str">
        <f aca="false">IF($A10="","",IF(AND(Z$2&gt;=09_ガント元データ!$G9,Z$2&lt;=09_ガント元データ!$H9),"■",""))</f>
        <v/>
      </c>
      <c r="AA10" s="24" t="str">
        <f aca="false">IF($A10="","",IF(AND(AA$2&gt;=09_ガント元データ!$G9,AA$2&lt;=09_ガント元データ!$H9),"■",""))</f>
        <v/>
      </c>
      <c r="AB10" s="24" t="str">
        <f aca="false">IF($A10="","",IF(AND(AB$2&gt;=09_ガント元データ!$G9,AB$2&lt;=09_ガント元データ!$H9),"■",""))</f>
        <v/>
      </c>
      <c r="AC10" s="24" t="str">
        <f aca="false">IF($A10="","",IF(AND(AC$2&gt;=09_ガント元データ!$G9,AC$2&lt;=09_ガント元データ!$H9),"■",""))</f>
        <v/>
      </c>
      <c r="AD10" s="24" t="str">
        <f aca="false">IF($A10="","",IF(AND(AD$2&gt;=09_ガント元データ!$G9,AD$2&lt;=09_ガント元データ!$H9),"■",""))</f>
        <v/>
      </c>
      <c r="AE10" s="24" t="str">
        <f aca="false">IF($A10="","",IF(AND(AE$2&gt;=09_ガント元データ!$G9,AE$2&lt;=09_ガント元データ!$H9),"■",""))</f>
        <v/>
      </c>
      <c r="AF10" s="24" t="str">
        <f aca="false">IF($A10="","",IF(AND(AF$2&gt;=09_ガント元データ!$G9,AF$2&lt;=09_ガント元データ!$H9),"■",""))</f>
        <v/>
      </c>
      <c r="AG10" s="24" t="str">
        <f aca="false">IF($A10="","",IF(AND(AG$2&gt;=09_ガント元データ!$G9,AG$2&lt;=09_ガント元データ!$H9),"■",""))</f>
        <v/>
      </c>
      <c r="AH10" s="24" t="str">
        <f aca="false">IF($A10="","",IF(AND(AH$2&gt;=09_ガント元データ!$G9,AH$2&lt;=09_ガント元データ!$H9),"■",""))</f>
        <v/>
      </c>
      <c r="AI10" s="24" t="str">
        <f aca="false">IF($A10="","",IF(AND(AI$2&gt;=09_ガント元データ!$G9,AI$2&lt;=09_ガント元データ!$H9),"■",""))</f>
        <v/>
      </c>
      <c r="AJ10" s="24" t="str">
        <f aca="false">IF($A10="","",IF(AND(AJ$2&gt;=09_ガント元データ!$G9,AJ$2&lt;=09_ガント元データ!$H9),"■",""))</f>
        <v/>
      </c>
      <c r="AK10" s="24" t="str">
        <f aca="false">IF($A10="","",IF(AND(AK$2&gt;=09_ガント元データ!$G9,AK$2&lt;=09_ガント元データ!$H9),"■",""))</f>
        <v/>
      </c>
      <c r="AL10" s="24" t="str">
        <f aca="false">IF($A10="","",IF(AND(AL$2&gt;=09_ガント元データ!$G9,AL$2&lt;=09_ガント元データ!$H9),"■",""))</f>
        <v/>
      </c>
      <c r="AM10" s="24" t="str">
        <f aca="false">IF($A10="","",IF(AND(AM$2&gt;=09_ガント元データ!$G9,AM$2&lt;=09_ガント元データ!$H9),"■",""))</f>
        <v/>
      </c>
    </row>
    <row r="11" customFormat="false" ht="15" hidden="false" customHeight="false" outlineLevel="0" collapsed="false">
      <c r="A11" s="22" t="str">
        <f aca="false">09_ガント元データ!A10</f>
        <v/>
      </c>
      <c r="B11" s="22" t="str">
        <f aca="false">09_ガント元データ!B10</f>
        <v/>
      </c>
      <c r="C11" s="23" t="str">
        <f aca="false">09_ガント元データ!C10</f>
        <v/>
      </c>
      <c r="D11" s="24" t="str">
        <f aca="false">IF($A11="","",IF(AND(D$2&gt;=09_ガント元データ!$G10,D$2&lt;=09_ガント元データ!$H10),"■",""))</f>
        <v/>
      </c>
      <c r="E11" s="24" t="str">
        <f aca="false">IF($A11="","",IF(AND(E$2&gt;=09_ガント元データ!$G10,E$2&lt;=09_ガント元データ!$H10),"■",""))</f>
        <v/>
      </c>
      <c r="F11" s="24" t="str">
        <f aca="false">IF($A11="","",IF(AND(F$2&gt;=09_ガント元データ!$G10,F$2&lt;=09_ガント元データ!$H10),"■",""))</f>
        <v/>
      </c>
      <c r="G11" s="24" t="str">
        <f aca="false">IF($A11="","",IF(AND(G$2&gt;=09_ガント元データ!$G10,G$2&lt;=09_ガント元データ!$H10),"■",""))</f>
        <v/>
      </c>
      <c r="H11" s="24" t="str">
        <f aca="false">IF($A11="","",IF(AND(H$2&gt;=09_ガント元データ!$G10,H$2&lt;=09_ガント元データ!$H10),"■",""))</f>
        <v/>
      </c>
      <c r="I11" s="24" t="str">
        <f aca="false">IF($A11="","",IF(AND(I$2&gt;=09_ガント元データ!$G10,I$2&lt;=09_ガント元データ!$H10),"■",""))</f>
        <v/>
      </c>
      <c r="J11" s="24" t="str">
        <f aca="false">IF($A11="","",IF(AND(J$2&gt;=09_ガント元データ!$G10,J$2&lt;=09_ガント元データ!$H10),"■",""))</f>
        <v/>
      </c>
      <c r="K11" s="24" t="str">
        <f aca="false">IF($A11="","",IF(AND(K$2&gt;=09_ガント元データ!$G10,K$2&lt;=09_ガント元データ!$H10),"■",""))</f>
        <v/>
      </c>
      <c r="L11" s="24" t="str">
        <f aca="false">IF($A11="","",IF(AND(L$2&gt;=09_ガント元データ!$G10,L$2&lt;=09_ガント元データ!$H10),"■",""))</f>
        <v/>
      </c>
      <c r="M11" s="24" t="str">
        <f aca="false">IF($A11="","",IF(AND(M$2&gt;=09_ガント元データ!$G10,M$2&lt;=09_ガント元データ!$H10),"■",""))</f>
        <v/>
      </c>
      <c r="N11" s="24" t="str">
        <f aca="false">IF($A11="","",IF(AND(N$2&gt;=09_ガント元データ!$G10,N$2&lt;=09_ガント元データ!$H10),"■",""))</f>
        <v/>
      </c>
      <c r="O11" s="24" t="str">
        <f aca="false">IF($A11="","",IF(AND(O$2&gt;=09_ガント元データ!$G10,O$2&lt;=09_ガント元データ!$H10),"■",""))</f>
        <v/>
      </c>
      <c r="P11" s="24" t="str">
        <f aca="false">IF($A11="","",IF(AND(P$2&gt;=09_ガント元データ!$G10,P$2&lt;=09_ガント元データ!$H10),"■",""))</f>
        <v/>
      </c>
      <c r="Q11" s="24" t="str">
        <f aca="false">IF($A11="","",IF(AND(Q$2&gt;=09_ガント元データ!$G10,Q$2&lt;=09_ガント元データ!$H10),"■",""))</f>
        <v/>
      </c>
      <c r="R11" s="24" t="str">
        <f aca="false">IF($A11="","",IF(AND(R$2&gt;=09_ガント元データ!$G10,R$2&lt;=09_ガント元データ!$H10),"■",""))</f>
        <v/>
      </c>
      <c r="S11" s="24" t="str">
        <f aca="false">IF($A11="","",IF(AND(S$2&gt;=09_ガント元データ!$G10,S$2&lt;=09_ガント元データ!$H10),"■",""))</f>
        <v/>
      </c>
      <c r="T11" s="24" t="str">
        <f aca="false">IF($A11="","",IF(AND(T$2&gt;=09_ガント元データ!$G10,T$2&lt;=09_ガント元データ!$H10),"■",""))</f>
        <v/>
      </c>
      <c r="U11" s="24" t="str">
        <f aca="false">IF($A11="","",IF(AND(U$2&gt;=09_ガント元データ!$G10,U$2&lt;=09_ガント元データ!$H10),"■",""))</f>
        <v/>
      </c>
      <c r="V11" s="24" t="str">
        <f aca="false">IF($A11="","",IF(AND(V$2&gt;=09_ガント元データ!$G10,V$2&lt;=09_ガント元データ!$H10),"■",""))</f>
        <v/>
      </c>
      <c r="W11" s="24" t="str">
        <f aca="false">IF($A11="","",IF(AND(W$2&gt;=09_ガント元データ!$G10,W$2&lt;=09_ガント元データ!$H10),"■",""))</f>
        <v/>
      </c>
      <c r="X11" s="24" t="str">
        <f aca="false">IF($A11="","",IF(AND(X$2&gt;=09_ガント元データ!$G10,X$2&lt;=09_ガント元データ!$H10),"■",""))</f>
        <v/>
      </c>
      <c r="Y11" s="24" t="str">
        <f aca="false">IF($A11="","",IF(AND(Y$2&gt;=09_ガント元データ!$G10,Y$2&lt;=09_ガント元データ!$H10),"■",""))</f>
        <v/>
      </c>
      <c r="Z11" s="24" t="str">
        <f aca="false">IF($A11="","",IF(AND(Z$2&gt;=09_ガント元データ!$G10,Z$2&lt;=09_ガント元データ!$H10),"■",""))</f>
        <v/>
      </c>
      <c r="AA11" s="24" t="str">
        <f aca="false">IF($A11="","",IF(AND(AA$2&gt;=09_ガント元データ!$G10,AA$2&lt;=09_ガント元データ!$H10),"■",""))</f>
        <v/>
      </c>
      <c r="AB11" s="24" t="str">
        <f aca="false">IF($A11="","",IF(AND(AB$2&gt;=09_ガント元データ!$G10,AB$2&lt;=09_ガント元データ!$H10),"■",""))</f>
        <v/>
      </c>
      <c r="AC11" s="24" t="str">
        <f aca="false">IF($A11="","",IF(AND(AC$2&gt;=09_ガント元データ!$G10,AC$2&lt;=09_ガント元データ!$H10),"■",""))</f>
        <v/>
      </c>
      <c r="AD11" s="24" t="str">
        <f aca="false">IF($A11="","",IF(AND(AD$2&gt;=09_ガント元データ!$G10,AD$2&lt;=09_ガント元データ!$H10),"■",""))</f>
        <v/>
      </c>
      <c r="AE11" s="24" t="str">
        <f aca="false">IF($A11="","",IF(AND(AE$2&gt;=09_ガント元データ!$G10,AE$2&lt;=09_ガント元データ!$H10),"■",""))</f>
        <v/>
      </c>
      <c r="AF11" s="24" t="str">
        <f aca="false">IF($A11="","",IF(AND(AF$2&gt;=09_ガント元データ!$G10,AF$2&lt;=09_ガント元データ!$H10),"■",""))</f>
        <v/>
      </c>
      <c r="AG11" s="24" t="str">
        <f aca="false">IF($A11="","",IF(AND(AG$2&gt;=09_ガント元データ!$G10,AG$2&lt;=09_ガント元データ!$H10),"■",""))</f>
        <v/>
      </c>
      <c r="AH11" s="24" t="str">
        <f aca="false">IF($A11="","",IF(AND(AH$2&gt;=09_ガント元データ!$G10,AH$2&lt;=09_ガント元データ!$H10),"■",""))</f>
        <v/>
      </c>
      <c r="AI11" s="24" t="str">
        <f aca="false">IF($A11="","",IF(AND(AI$2&gt;=09_ガント元データ!$G10,AI$2&lt;=09_ガント元データ!$H10),"■",""))</f>
        <v/>
      </c>
      <c r="AJ11" s="24" t="str">
        <f aca="false">IF($A11="","",IF(AND(AJ$2&gt;=09_ガント元データ!$G10,AJ$2&lt;=09_ガント元データ!$H10),"■",""))</f>
        <v/>
      </c>
      <c r="AK11" s="24" t="str">
        <f aca="false">IF($A11="","",IF(AND(AK$2&gt;=09_ガント元データ!$G10,AK$2&lt;=09_ガント元データ!$H10),"■",""))</f>
        <v/>
      </c>
      <c r="AL11" s="24" t="str">
        <f aca="false">IF($A11="","",IF(AND(AL$2&gt;=09_ガント元データ!$G10,AL$2&lt;=09_ガント元データ!$H10),"■",""))</f>
        <v/>
      </c>
      <c r="AM11" s="24" t="str">
        <f aca="false">IF($A11="","",IF(AND(AM$2&gt;=09_ガント元データ!$G10,AM$2&lt;=09_ガント元データ!$H10),"■",""))</f>
        <v/>
      </c>
    </row>
    <row r="12" customFormat="false" ht="15" hidden="false" customHeight="false" outlineLevel="0" collapsed="false">
      <c r="A12" s="22" t="str">
        <f aca="false">09_ガント元データ!A11</f>
        <v/>
      </c>
      <c r="B12" s="22" t="str">
        <f aca="false">09_ガント元データ!B11</f>
        <v/>
      </c>
      <c r="C12" s="23" t="str">
        <f aca="false">09_ガント元データ!C11</f>
        <v/>
      </c>
      <c r="D12" s="24" t="str">
        <f aca="false">IF($A12="","",IF(AND(D$2&gt;=09_ガント元データ!$G11,D$2&lt;=09_ガント元データ!$H11),"■",""))</f>
        <v/>
      </c>
      <c r="E12" s="24" t="str">
        <f aca="false">IF($A12="","",IF(AND(E$2&gt;=09_ガント元データ!$G11,E$2&lt;=09_ガント元データ!$H11),"■",""))</f>
        <v/>
      </c>
      <c r="F12" s="24" t="str">
        <f aca="false">IF($A12="","",IF(AND(F$2&gt;=09_ガント元データ!$G11,F$2&lt;=09_ガント元データ!$H11),"■",""))</f>
        <v/>
      </c>
      <c r="G12" s="24" t="str">
        <f aca="false">IF($A12="","",IF(AND(G$2&gt;=09_ガント元データ!$G11,G$2&lt;=09_ガント元データ!$H11),"■",""))</f>
        <v/>
      </c>
      <c r="H12" s="24" t="str">
        <f aca="false">IF($A12="","",IF(AND(H$2&gt;=09_ガント元データ!$G11,H$2&lt;=09_ガント元データ!$H11),"■",""))</f>
        <v/>
      </c>
      <c r="I12" s="24" t="str">
        <f aca="false">IF($A12="","",IF(AND(I$2&gt;=09_ガント元データ!$G11,I$2&lt;=09_ガント元データ!$H11),"■",""))</f>
        <v/>
      </c>
      <c r="J12" s="24" t="str">
        <f aca="false">IF($A12="","",IF(AND(J$2&gt;=09_ガント元データ!$G11,J$2&lt;=09_ガント元データ!$H11),"■",""))</f>
        <v/>
      </c>
      <c r="K12" s="24" t="str">
        <f aca="false">IF($A12="","",IF(AND(K$2&gt;=09_ガント元データ!$G11,K$2&lt;=09_ガント元データ!$H11),"■",""))</f>
        <v/>
      </c>
      <c r="L12" s="24" t="str">
        <f aca="false">IF($A12="","",IF(AND(L$2&gt;=09_ガント元データ!$G11,L$2&lt;=09_ガント元データ!$H11),"■",""))</f>
        <v/>
      </c>
      <c r="M12" s="24" t="str">
        <f aca="false">IF($A12="","",IF(AND(M$2&gt;=09_ガント元データ!$G11,M$2&lt;=09_ガント元データ!$H11),"■",""))</f>
        <v/>
      </c>
      <c r="N12" s="24" t="str">
        <f aca="false">IF($A12="","",IF(AND(N$2&gt;=09_ガント元データ!$G11,N$2&lt;=09_ガント元データ!$H11),"■",""))</f>
        <v/>
      </c>
      <c r="O12" s="24" t="str">
        <f aca="false">IF($A12="","",IF(AND(O$2&gt;=09_ガント元データ!$G11,O$2&lt;=09_ガント元データ!$H11),"■",""))</f>
        <v/>
      </c>
      <c r="P12" s="24" t="str">
        <f aca="false">IF($A12="","",IF(AND(P$2&gt;=09_ガント元データ!$G11,P$2&lt;=09_ガント元データ!$H11),"■",""))</f>
        <v/>
      </c>
      <c r="Q12" s="24" t="str">
        <f aca="false">IF($A12="","",IF(AND(Q$2&gt;=09_ガント元データ!$G11,Q$2&lt;=09_ガント元データ!$H11),"■",""))</f>
        <v/>
      </c>
      <c r="R12" s="24" t="str">
        <f aca="false">IF($A12="","",IF(AND(R$2&gt;=09_ガント元データ!$G11,R$2&lt;=09_ガント元データ!$H11),"■",""))</f>
        <v/>
      </c>
      <c r="S12" s="24" t="str">
        <f aca="false">IF($A12="","",IF(AND(S$2&gt;=09_ガント元データ!$G11,S$2&lt;=09_ガント元データ!$H11),"■",""))</f>
        <v/>
      </c>
      <c r="T12" s="24" t="str">
        <f aca="false">IF($A12="","",IF(AND(T$2&gt;=09_ガント元データ!$G11,T$2&lt;=09_ガント元データ!$H11),"■",""))</f>
        <v/>
      </c>
      <c r="U12" s="24" t="str">
        <f aca="false">IF($A12="","",IF(AND(U$2&gt;=09_ガント元データ!$G11,U$2&lt;=09_ガント元データ!$H11),"■",""))</f>
        <v/>
      </c>
      <c r="V12" s="24" t="str">
        <f aca="false">IF($A12="","",IF(AND(V$2&gt;=09_ガント元データ!$G11,V$2&lt;=09_ガント元データ!$H11),"■",""))</f>
        <v/>
      </c>
      <c r="W12" s="24" t="str">
        <f aca="false">IF($A12="","",IF(AND(W$2&gt;=09_ガント元データ!$G11,W$2&lt;=09_ガント元データ!$H11),"■",""))</f>
        <v/>
      </c>
      <c r="X12" s="24" t="str">
        <f aca="false">IF($A12="","",IF(AND(X$2&gt;=09_ガント元データ!$G11,X$2&lt;=09_ガント元データ!$H11),"■",""))</f>
        <v/>
      </c>
      <c r="Y12" s="24" t="str">
        <f aca="false">IF($A12="","",IF(AND(Y$2&gt;=09_ガント元データ!$G11,Y$2&lt;=09_ガント元データ!$H11),"■",""))</f>
        <v/>
      </c>
      <c r="Z12" s="24" t="str">
        <f aca="false">IF($A12="","",IF(AND(Z$2&gt;=09_ガント元データ!$G11,Z$2&lt;=09_ガント元データ!$H11),"■",""))</f>
        <v/>
      </c>
      <c r="AA12" s="24" t="str">
        <f aca="false">IF($A12="","",IF(AND(AA$2&gt;=09_ガント元データ!$G11,AA$2&lt;=09_ガント元データ!$H11),"■",""))</f>
        <v/>
      </c>
      <c r="AB12" s="24" t="str">
        <f aca="false">IF($A12="","",IF(AND(AB$2&gt;=09_ガント元データ!$G11,AB$2&lt;=09_ガント元データ!$H11),"■",""))</f>
        <v/>
      </c>
      <c r="AC12" s="24" t="str">
        <f aca="false">IF($A12="","",IF(AND(AC$2&gt;=09_ガント元データ!$G11,AC$2&lt;=09_ガント元データ!$H11),"■",""))</f>
        <v/>
      </c>
      <c r="AD12" s="24" t="str">
        <f aca="false">IF($A12="","",IF(AND(AD$2&gt;=09_ガント元データ!$G11,AD$2&lt;=09_ガント元データ!$H11),"■",""))</f>
        <v/>
      </c>
      <c r="AE12" s="24" t="str">
        <f aca="false">IF($A12="","",IF(AND(AE$2&gt;=09_ガント元データ!$G11,AE$2&lt;=09_ガント元データ!$H11),"■",""))</f>
        <v/>
      </c>
      <c r="AF12" s="24" t="str">
        <f aca="false">IF($A12="","",IF(AND(AF$2&gt;=09_ガント元データ!$G11,AF$2&lt;=09_ガント元データ!$H11),"■",""))</f>
        <v/>
      </c>
      <c r="AG12" s="24" t="str">
        <f aca="false">IF($A12="","",IF(AND(AG$2&gt;=09_ガント元データ!$G11,AG$2&lt;=09_ガント元データ!$H11),"■",""))</f>
        <v/>
      </c>
      <c r="AH12" s="24" t="str">
        <f aca="false">IF($A12="","",IF(AND(AH$2&gt;=09_ガント元データ!$G11,AH$2&lt;=09_ガント元データ!$H11),"■",""))</f>
        <v/>
      </c>
      <c r="AI12" s="24" t="str">
        <f aca="false">IF($A12="","",IF(AND(AI$2&gt;=09_ガント元データ!$G11,AI$2&lt;=09_ガント元データ!$H11),"■",""))</f>
        <v/>
      </c>
      <c r="AJ12" s="24" t="str">
        <f aca="false">IF($A12="","",IF(AND(AJ$2&gt;=09_ガント元データ!$G11,AJ$2&lt;=09_ガント元データ!$H11),"■",""))</f>
        <v/>
      </c>
      <c r="AK12" s="24" t="str">
        <f aca="false">IF($A12="","",IF(AND(AK$2&gt;=09_ガント元データ!$G11,AK$2&lt;=09_ガント元データ!$H11),"■",""))</f>
        <v/>
      </c>
      <c r="AL12" s="24" t="str">
        <f aca="false">IF($A12="","",IF(AND(AL$2&gt;=09_ガント元データ!$G11,AL$2&lt;=09_ガント元データ!$H11),"■",""))</f>
        <v/>
      </c>
      <c r="AM12" s="24" t="str">
        <f aca="false">IF($A12="","",IF(AND(AM$2&gt;=09_ガント元データ!$G11,AM$2&lt;=09_ガント元データ!$H11),"■",""))</f>
        <v/>
      </c>
    </row>
    <row r="13" customFormat="false" ht="15" hidden="false" customHeight="false" outlineLevel="0" collapsed="false">
      <c r="A13" s="22" t="str">
        <f aca="false">09_ガント元データ!A12</f>
        <v/>
      </c>
      <c r="B13" s="22" t="str">
        <f aca="false">09_ガント元データ!B12</f>
        <v/>
      </c>
      <c r="C13" s="23" t="str">
        <f aca="false">09_ガント元データ!C12</f>
        <v/>
      </c>
      <c r="D13" s="24" t="str">
        <f aca="false">IF($A13="","",IF(AND(D$2&gt;=09_ガント元データ!$G12,D$2&lt;=09_ガント元データ!$H12),"■",""))</f>
        <v/>
      </c>
      <c r="E13" s="24" t="str">
        <f aca="false">IF($A13="","",IF(AND(E$2&gt;=09_ガント元データ!$G12,E$2&lt;=09_ガント元データ!$H12),"■",""))</f>
        <v/>
      </c>
      <c r="F13" s="24" t="str">
        <f aca="false">IF($A13="","",IF(AND(F$2&gt;=09_ガント元データ!$G12,F$2&lt;=09_ガント元データ!$H12),"■",""))</f>
        <v/>
      </c>
      <c r="G13" s="24" t="str">
        <f aca="false">IF($A13="","",IF(AND(G$2&gt;=09_ガント元データ!$G12,G$2&lt;=09_ガント元データ!$H12),"■",""))</f>
        <v/>
      </c>
      <c r="H13" s="24" t="str">
        <f aca="false">IF($A13="","",IF(AND(H$2&gt;=09_ガント元データ!$G12,H$2&lt;=09_ガント元データ!$H12),"■",""))</f>
        <v/>
      </c>
      <c r="I13" s="24" t="str">
        <f aca="false">IF($A13="","",IF(AND(I$2&gt;=09_ガント元データ!$G12,I$2&lt;=09_ガント元データ!$H12),"■",""))</f>
        <v/>
      </c>
      <c r="J13" s="24" t="str">
        <f aca="false">IF($A13="","",IF(AND(J$2&gt;=09_ガント元データ!$G12,J$2&lt;=09_ガント元データ!$H12),"■",""))</f>
        <v/>
      </c>
      <c r="K13" s="24" t="str">
        <f aca="false">IF($A13="","",IF(AND(K$2&gt;=09_ガント元データ!$G12,K$2&lt;=09_ガント元データ!$H12),"■",""))</f>
        <v/>
      </c>
      <c r="L13" s="24" t="str">
        <f aca="false">IF($A13="","",IF(AND(L$2&gt;=09_ガント元データ!$G12,L$2&lt;=09_ガント元データ!$H12),"■",""))</f>
        <v/>
      </c>
      <c r="M13" s="24" t="str">
        <f aca="false">IF($A13="","",IF(AND(M$2&gt;=09_ガント元データ!$G12,M$2&lt;=09_ガント元データ!$H12),"■",""))</f>
        <v/>
      </c>
      <c r="N13" s="24" t="str">
        <f aca="false">IF($A13="","",IF(AND(N$2&gt;=09_ガント元データ!$G12,N$2&lt;=09_ガント元データ!$H12),"■",""))</f>
        <v/>
      </c>
      <c r="O13" s="24" t="str">
        <f aca="false">IF($A13="","",IF(AND(O$2&gt;=09_ガント元データ!$G12,O$2&lt;=09_ガント元データ!$H12),"■",""))</f>
        <v/>
      </c>
      <c r="P13" s="24" t="str">
        <f aca="false">IF($A13="","",IF(AND(P$2&gt;=09_ガント元データ!$G12,P$2&lt;=09_ガント元データ!$H12),"■",""))</f>
        <v/>
      </c>
      <c r="Q13" s="24" t="str">
        <f aca="false">IF($A13="","",IF(AND(Q$2&gt;=09_ガント元データ!$G12,Q$2&lt;=09_ガント元データ!$H12),"■",""))</f>
        <v/>
      </c>
      <c r="R13" s="24" t="str">
        <f aca="false">IF($A13="","",IF(AND(R$2&gt;=09_ガント元データ!$G12,R$2&lt;=09_ガント元データ!$H12),"■",""))</f>
        <v/>
      </c>
      <c r="S13" s="24" t="str">
        <f aca="false">IF($A13="","",IF(AND(S$2&gt;=09_ガント元データ!$G12,S$2&lt;=09_ガント元データ!$H12),"■",""))</f>
        <v/>
      </c>
      <c r="T13" s="24" t="str">
        <f aca="false">IF($A13="","",IF(AND(T$2&gt;=09_ガント元データ!$G12,T$2&lt;=09_ガント元データ!$H12),"■",""))</f>
        <v/>
      </c>
      <c r="U13" s="24" t="str">
        <f aca="false">IF($A13="","",IF(AND(U$2&gt;=09_ガント元データ!$G12,U$2&lt;=09_ガント元データ!$H12),"■",""))</f>
        <v/>
      </c>
      <c r="V13" s="24" t="str">
        <f aca="false">IF($A13="","",IF(AND(V$2&gt;=09_ガント元データ!$G12,V$2&lt;=09_ガント元データ!$H12),"■",""))</f>
        <v/>
      </c>
      <c r="W13" s="24" t="str">
        <f aca="false">IF($A13="","",IF(AND(W$2&gt;=09_ガント元データ!$G12,W$2&lt;=09_ガント元データ!$H12),"■",""))</f>
        <v/>
      </c>
      <c r="X13" s="24" t="str">
        <f aca="false">IF($A13="","",IF(AND(X$2&gt;=09_ガント元データ!$G12,X$2&lt;=09_ガント元データ!$H12),"■",""))</f>
        <v/>
      </c>
      <c r="Y13" s="24" t="str">
        <f aca="false">IF($A13="","",IF(AND(Y$2&gt;=09_ガント元データ!$G12,Y$2&lt;=09_ガント元データ!$H12),"■",""))</f>
        <v/>
      </c>
      <c r="Z13" s="24" t="str">
        <f aca="false">IF($A13="","",IF(AND(Z$2&gt;=09_ガント元データ!$G12,Z$2&lt;=09_ガント元データ!$H12),"■",""))</f>
        <v/>
      </c>
      <c r="AA13" s="24" t="str">
        <f aca="false">IF($A13="","",IF(AND(AA$2&gt;=09_ガント元データ!$G12,AA$2&lt;=09_ガント元データ!$H12),"■",""))</f>
        <v/>
      </c>
      <c r="AB13" s="24" t="str">
        <f aca="false">IF($A13="","",IF(AND(AB$2&gt;=09_ガント元データ!$G12,AB$2&lt;=09_ガント元データ!$H12),"■",""))</f>
        <v/>
      </c>
      <c r="AC13" s="24" t="str">
        <f aca="false">IF($A13="","",IF(AND(AC$2&gt;=09_ガント元データ!$G12,AC$2&lt;=09_ガント元データ!$H12),"■",""))</f>
        <v/>
      </c>
      <c r="AD13" s="24" t="str">
        <f aca="false">IF($A13="","",IF(AND(AD$2&gt;=09_ガント元データ!$G12,AD$2&lt;=09_ガント元データ!$H12),"■",""))</f>
        <v/>
      </c>
      <c r="AE13" s="24" t="str">
        <f aca="false">IF($A13="","",IF(AND(AE$2&gt;=09_ガント元データ!$G12,AE$2&lt;=09_ガント元データ!$H12),"■",""))</f>
        <v/>
      </c>
      <c r="AF13" s="24" t="str">
        <f aca="false">IF($A13="","",IF(AND(AF$2&gt;=09_ガント元データ!$G12,AF$2&lt;=09_ガント元データ!$H12),"■",""))</f>
        <v/>
      </c>
      <c r="AG13" s="24" t="str">
        <f aca="false">IF($A13="","",IF(AND(AG$2&gt;=09_ガント元データ!$G12,AG$2&lt;=09_ガント元データ!$H12),"■",""))</f>
        <v/>
      </c>
      <c r="AH13" s="24" t="str">
        <f aca="false">IF($A13="","",IF(AND(AH$2&gt;=09_ガント元データ!$G12,AH$2&lt;=09_ガント元データ!$H12),"■",""))</f>
        <v/>
      </c>
      <c r="AI13" s="24" t="str">
        <f aca="false">IF($A13="","",IF(AND(AI$2&gt;=09_ガント元データ!$G12,AI$2&lt;=09_ガント元データ!$H12),"■",""))</f>
        <v/>
      </c>
      <c r="AJ13" s="24" t="str">
        <f aca="false">IF($A13="","",IF(AND(AJ$2&gt;=09_ガント元データ!$G12,AJ$2&lt;=09_ガント元データ!$H12),"■",""))</f>
        <v/>
      </c>
      <c r="AK13" s="24" t="str">
        <f aca="false">IF($A13="","",IF(AND(AK$2&gt;=09_ガント元データ!$G12,AK$2&lt;=09_ガント元データ!$H12),"■",""))</f>
        <v/>
      </c>
      <c r="AL13" s="24" t="str">
        <f aca="false">IF($A13="","",IF(AND(AL$2&gt;=09_ガント元データ!$G12,AL$2&lt;=09_ガント元データ!$H12),"■",""))</f>
        <v/>
      </c>
      <c r="AM13" s="24" t="str">
        <f aca="false">IF($A13="","",IF(AND(AM$2&gt;=09_ガント元データ!$G12,AM$2&lt;=09_ガント元データ!$H12),"■",""))</f>
        <v/>
      </c>
    </row>
    <row r="14" customFormat="false" ht="15" hidden="false" customHeight="false" outlineLevel="0" collapsed="false">
      <c r="A14" s="22" t="str">
        <f aca="false">09_ガント元データ!A13</f>
        <v/>
      </c>
      <c r="B14" s="22" t="str">
        <f aca="false">09_ガント元データ!B13</f>
        <v/>
      </c>
      <c r="C14" s="23" t="str">
        <f aca="false">09_ガント元データ!C13</f>
        <v/>
      </c>
      <c r="D14" s="24" t="str">
        <f aca="false">IF($A14="","",IF(AND(D$2&gt;=09_ガント元データ!$G13,D$2&lt;=09_ガント元データ!$H13),"■",""))</f>
        <v/>
      </c>
      <c r="E14" s="24" t="str">
        <f aca="false">IF($A14="","",IF(AND(E$2&gt;=09_ガント元データ!$G13,E$2&lt;=09_ガント元データ!$H13),"■",""))</f>
        <v/>
      </c>
      <c r="F14" s="24" t="str">
        <f aca="false">IF($A14="","",IF(AND(F$2&gt;=09_ガント元データ!$G13,F$2&lt;=09_ガント元データ!$H13),"■",""))</f>
        <v/>
      </c>
      <c r="G14" s="24" t="str">
        <f aca="false">IF($A14="","",IF(AND(G$2&gt;=09_ガント元データ!$G13,G$2&lt;=09_ガント元データ!$H13),"■",""))</f>
        <v/>
      </c>
      <c r="H14" s="24" t="str">
        <f aca="false">IF($A14="","",IF(AND(H$2&gt;=09_ガント元データ!$G13,H$2&lt;=09_ガント元データ!$H13),"■",""))</f>
        <v/>
      </c>
      <c r="I14" s="24" t="str">
        <f aca="false">IF($A14="","",IF(AND(I$2&gt;=09_ガント元データ!$G13,I$2&lt;=09_ガント元データ!$H13),"■",""))</f>
        <v/>
      </c>
      <c r="J14" s="24" t="str">
        <f aca="false">IF($A14="","",IF(AND(J$2&gt;=09_ガント元データ!$G13,J$2&lt;=09_ガント元データ!$H13),"■",""))</f>
        <v/>
      </c>
      <c r="K14" s="24" t="str">
        <f aca="false">IF($A14="","",IF(AND(K$2&gt;=09_ガント元データ!$G13,K$2&lt;=09_ガント元データ!$H13),"■",""))</f>
        <v/>
      </c>
      <c r="L14" s="24" t="str">
        <f aca="false">IF($A14="","",IF(AND(L$2&gt;=09_ガント元データ!$G13,L$2&lt;=09_ガント元データ!$H13),"■",""))</f>
        <v/>
      </c>
      <c r="M14" s="24" t="str">
        <f aca="false">IF($A14="","",IF(AND(M$2&gt;=09_ガント元データ!$G13,M$2&lt;=09_ガント元データ!$H13),"■",""))</f>
        <v/>
      </c>
      <c r="N14" s="24" t="str">
        <f aca="false">IF($A14="","",IF(AND(N$2&gt;=09_ガント元データ!$G13,N$2&lt;=09_ガント元データ!$H13),"■",""))</f>
        <v/>
      </c>
      <c r="O14" s="24" t="str">
        <f aca="false">IF($A14="","",IF(AND(O$2&gt;=09_ガント元データ!$G13,O$2&lt;=09_ガント元データ!$H13),"■",""))</f>
        <v/>
      </c>
      <c r="P14" s="24" t="str">
        <f aca="false">IF($A14="","",IF(AND(P$2&gt;=09_ガント元データ!$G13,P$2&lt;=09_ガント元データ!$H13),"■",""))</f>
        <v/>
      </c>
      <c r="Q14" s="24" t="str">
        <f aca="false">IF($A14="","",IF(AND(Q$2&gt;=09_ガント元データ!$G13,Q$2&lt;=09_ガント元データ!$H13),"■",""))</f>
        <v/>
      </c>
      <c r="R14" s="24" t="str">
        <f aca="false">IF($A14="","",IF(AND(R$2&gt;=09_ガント元データ!$G13,R$2&lt;=09_ガント元データ!$H13),"■",""))</f>
        <v/>
      </c>
      <c r="S14" s="24" t="str">
        <f aca="false">IF($A14="","",IF(AND(S$2&gt;=09_ガント元データ!$G13,S$2&lt;=09_ガント元データ!$H13),"■",""))</f>
        <v/>
      </c>
      <c r="T14" s="24" t="str">
        <f aca="false">IF($A14="","",IF(AND(T$2&gt;=09_ガント元データ!$G13,T$2&lt;=09_ガント元データ!$H13),"■",""))</f>
        <v/>
      </c>
      <c r="U14" s="24" t="str">
        <f aca="false">IF($A14="","",IF(AND(U$2&gt;=09_ガント元データ!$G13,U$2&lt;=09_ガント元データ!$H13),"■",""))</f>
        <v/>
      </c>
      <c r="V14" s="24" t="str">
        <f aca="false">IF($A14="","",IF(AND(V$2&gt;=09_ガント元データ!$G13,V$2&lt;=09_ガント元データ!$H13),"■",""))</f>
        <v/>
      </c>
      <c r="W14" s="24" t="str">
        <f aca="false">IF($A14="","",IF(AND(W$2&gt;=09_ガント元データ!$G13,W$2&lt;=09_ガント元データ!$H13),"■",""))</f>
        <v/>
      </c>
      <c r="X14" s="24" t="str">
        <f aca="false">IF($A14="","",IF(AND(X$2&gt;=09_ガント元データ!$G13,X$2&lt;=09_ガント元データ!$H13),"■",""))</f>
        <v/>
      </c>
      <c r="Y14" s="24" t="str">
        <f aca="false">IF($A14="","",IF(AND(Y$2&gt;=09_ガント元データ!$G13,Y$2&lt;=09_ガント元データ!$H13),"■",""))</f>
        <v/>
      </c>
      <c r="Z14" s="24" t="str">
        <f aca="false">IF($A14="","",IF(AND(Z$2&gt;=09_ガント元データ!$G13,Z$2&lt;=09_ガント元データ!$H13),"■",""))</f>
        <v/>
      </c>
      <c r="AA14" s="24" t="str">
        <f aca="false">IF($A14="","",IF(AND(AA$2&gt;=09_ガント元データ!$G13,AA$2&lt;=09_ガント元データ!$H13),"■",""))</f>
        <v/>
      </c>
      <c r="AB14" s="24" t="str">
        <f aca="false">IF($A14="","",IF(AND(AB$2&gt;=09_ガント元データ!$G13,AB$2&lt;=09_ガント元データ!$H13),"■",""))</f>
        <v/>
      </c>
      <c r="AC14" s="24" t="str">
        <f aca="false">IF($A14="","",IF(AND(AC$2&gt;=09_ガント元データ!$G13,AC$2&lt;=09_ガント元データ!$H13),"■",""))</f>
        <v/>
      </c>
      <c r="AD14" s="24" t="str">
        <f aca="false">IF($A14="","",IF(AND(AD$2&gt;=09_ガント元データ!$G13,AD$2&lt;=09_ガント元データ!$H13),"■",""))</f>
        <v/>
      </c>
      <c r="AE14" s="24" t="str">
        <f aca="false">IF($A14="","",IF(AND(AE$2&gt;=09_ガント元データ!$G13,AE$2&lt;=09_ガント元データ!$H13),"■",""))</f>
        <v/>
      </c>
      <c r="AF14" s="24" t="str">
        <f aca="false">IF($A14="","",IF(AND(AF$2&gt;=09_ガント元データ!$G13,AF$2&lt;=09_ガント元データ!$H13),"■",""))</f>
        <v/>
      </c>
      <c r="AG14" s="24" t="str">
        <f aca="false">IF($A14="","",IF(AND(AG$2&gt;=09_ガント元データ!$G13,AG$2&lt;=09_ガント元データ!$H13),"■",""))</f>
        <v/>
      </c>
      <c r="AH14" s="24" t="str">
        <f aca="false">IF($A14="","",IF(AND(AH$2&gt;=09_ガント元データ!$G13,AH$2&lt;=09_ガント元データ!$H13),"■",""))</f>
        <v/>
      </c>
      <c r="AI14" s="24" t="str">
        <f aca="false">IF($A14="","",IF(AND(AI$2&gt;=09_ガント元データ!$G13,AI$2&lt;=09_ガント元データ!$H13),"■",""))</f>
        <v/>
      </c>
      <c r="AJ14" s="24" t="str">
        <f aca="false">IF($A14="","",IF(AND(AJ$2&gt;=09_ガント元データ!$G13,AJ$2&lt;=09_ガント元データ!$H13),"■",""))</f>
        <v/>
      </c>
      <c r="AK14" s="24" t="str">
        <f aca="false">IF($A14="","",IF(AND(AK$2&gt;=09_ガント元データ!$G13,AK$2&lt;=09_ガント元データ!$H13),"■",""))</f>
        <v/>
      </c>
      <c r="AL14" s="24" t="str">
        <f aca="false">IF($A14="","",IF(AND(AL$2&gt;=09_ガント元データ!$G13,AL$2&lt;=09_ガント元データ!$H13),"■",""))</f>
        <v/>
      </c>
      <c r="AM14" s="24" t="str">
        <f aca="false">IF($A14="","",IF(AND(AM$2&gt;=09_ガント元データ!$G13,AM$2&lt;=09_ガント元データ!$H13),"■",""))</f>
        <v/>
      </c>
    </row>
    <row r="15" customFormat="false" ht="15" hidden="false" customHeight="false" outlineLevel="0" collapsed="false">
      <c r="A15" s="22" t="str">
        <f aca="false">09_ガント元データ!A14</f>
        <v/>
      </c>
      <c r="B15" s="22" t="str">
        <f aca="false">09_ガント元データ!B14</f>
        <v/>
      </c>
      <c r="C15" s="23" t="str">
        <f aca="false">09_ガント元データ!C14</f>
        <v/>
      </c>
      <c r="D15" s="24" t="str">
        <f aca="false">IF($A15="","",IF(AND(D$2&gt;=09_ガント元データ!$G14,D$2&lt;=09_ガント元データ!$H14),"■",""))</f>
        <v/>
      </c>
      <c r="E15" s="24" t="str">
        <f aca="false">IF($A15="","",IF(AND(E$2&gt;=09_ガント元データ!$G14,E$2&lt;=09_ガント元データ!$H14),"■",""))</f>
        <v/>
      </c>
      <c r="F15" s="24" t="str">
        <f aca="false">IF($A15="","",IF(AND(F$2&gt;=09_ガント元データ!$G14,F$2&lt;=09_ガント元データ!$H14),"■",""))</f>
        <v/>
      </c>
      <c r="G15" s="24" t="str">
        <f aca="false">IF($A15="","",IF(AND(G$2&gt;=09_ガント元データ!$G14,G$2&lt;=09_ガント元データ!$H14),"■",""))</f>
        <v/>
      </c>
      <c r="H15" s="24" t="str">
        <f aca="false">IF($A15="","",IF(AND(H$2&gt;=09_ガント元データ!$G14,H$2&lt;=09_ガント元データ!$H14),"■",""))</f>
        <v/>
      </c>
      <c r="I15" s="24" t="str">
        <f aca="false">IF($A15="","",IF(AND(I$2&gt;=09_ガント元データ!$G14,I$2&lt;=09_ガント元データ!$H14),"■",""))</f>
        <v/>
      </c>
      <c r="J15" s="24" t="str">
        <f aca="false">IF($A15="","",IF(AND(J$2&gt;=09_ガント元データ!$G14,J$2&lt;=09_ガント元データ!$H14),"■",""))</f>
        <v/>
      </c>
      <c r="K15" s="24" t="str">
        <f aca="false">IF($A15="","",IF(AND(K$2&gt;=09_ガント元データ!$G14,K$2&lt;=09_ガント元データ!$H14),"■",""))</f>
        <v/>
      </c>
      <c r="L15" s="24" t="str">
        <f aca="false">IF($A15="","",IF(AND(L$2&gt;=09_ガント元データ!$G14,L$2&lt;=09_ガント元データ!$H14),"■",""))</f>
        <v/>
      </c>
      <c r="M15" s="24" t="str">
        <f aca="false">IF($A15="","",IF(AND(M$2&gt;=09_ガント元データ!$G14,M$2&lt;=09_ガント元データ!$H14),"■",""))</f>
        <v/>
      </c>
      <c r="N15" s="24" t="str">
        <f aca="false">IF($A15="","",IF(AND(N$2&gt;=09_ガント元データ!$G14,N$2&lt;=09_ガント元データ!$H14),"■",""))</f>
        <v/>
      </c>
      <c r="O15" s="24" t="str">
        <f aca="false">IF($A15="","",IF(AND(O$2&gt;=09_ガント元データ!$G14,O$2&lt;=09_ガント元データ!$H14),"■",""))</f>
        <v/>
      </c>
      <c r="P15" s="24" t="str">
        <f aca="false">IF($A15="","",IF(AND(P$2&gt;=09_ガント元データ!$G14,P$2&lt;=09_ガント元データ!$H14),"■",""))</f>
        <v/>
      </c>
      <c r="Q15" s="24" t="str">
        <f aca="false">IF($A15="","",IF(AND(Q$2&gt;=09_ガント元データ!$G14,Q$2&lt;=09_ガント元データ!$H14),"■",""))</f>
        <v/>
      </c>
      <c r="R15" s="24" t="str">
        <f aca="false">IF($A15="","",IF(AND(R$2&gt;=09_ガント元データ!$G14,R$2&lt;=09_ガント元データ!$H14),"■",""))</f>
        <v/>
      </c>
      <c r="S15" s="24" t="str">
        <f aca="false">IF($A15="","",IF(AND(S$2&gt;=09_ガント元データ!$G14,S$2&lt;=09_ガント元データ!$H14),"■",""))</f>
        <v/>
      </c>
      <c r="T15" s="24" t="str">
        <f aca="false">IF($A15="","",IF(AND(T$2&gt;=09_ガント元データ!$G14,T$2&lt;=09_ガント元データ!$H14),"■",""))</f>
        <v/>
      </c>
      <c r="U15" s="24" t="str">
        <f aca="false">IF($A15="","",IF(AND(U$2&gt;=09_ガント元データ!$G14,U$2&lt;=09_ガント元データ!$H14),"■",""))</f>
        <v/>
      </c>
      <c r="V15" s="24" t="str">
        <f aca="false">IF($A15="","",IF(AND(V$2&gt;=09_ガント元データ!$G14,V$2&lt;=09_ガント元データ!$H14),"■",""))</f>
        <v/>
      </c>
      <c r="W15" s="24" t="str">
        <f aca="false">IF($A15="","",IF(AND(W$2&gt;=09_ガント元データ!$G14,W$2&lt;=09_ガント元データ!$H14),"■",""))</f>
        <v/>
      </c>
      <c r="X15" s="24" t="str">
        <f aca="false">IF($A15="","",IF(AND(X$2&gt;=09_ガント元データ!$G14,X$2&lt;=09_ガント元データ!$H14),"■",""))</f>
        <v/>
      </c>
      <c r="Y15" s="24" t="str">
        <f aca="false">IF($A15="","",IF(AND(Y$2&gt;=09_ガント元データ!$G14,Y$2&lt;=09_ガント元データ!$H14),"■",""))</f>
        <v/>
      </c>
      <c r="Z15" s="24" t="str">
        <f aca="false">IF($A15="","",IF(AND(Z$2&gt;=09_ガント元データ!$G14,Z$2&lt;=09_ガント元データ!$H14),"■",""))</f>
        <v/>
      </c>
      <c r="AA15" s="24" t="str">
        <f aca="false">IF($A15="","",IF(AND(AA$2&gt;=09_ガント元データ!$G14,AA$2&lt;=09_ガント元データ!$H14),"■",""))</f>
        <v/>
      </c>
      <c r="AB15" s="24" t="str">
        <f aca="false">IF($A15="","",IF(AND(AB$2&gt;=09_ガント元データ!$G14,AB$2&lt;=09_ガント元データ!$H14),"■",""))</f>
        <v/>
      </c>
      <c r="AC15" s="24" t="str">
        <f aca="false">IF($A15="","",IF(AND(AC$2&gt;=09_ガント元データ!$G14,AC$2&lt;=09_ガント元データ!$H14),"■",""))</f>
        <v/>
      </c>
      <c r="AD15" s="24" t="str">
        <f aca="false">IF($A15="","",IF(AND(AD$2&gt;=09_ガント元データ!$G14,AD$2&lt;=09_ガント元データ!$H14),"■",""))</f>
        <v/>
      </c>
      <c r="AE15" s="24" t="str">
        <f aca="false">IF($A15="","",IF(AND(AE$2&gt;=09_ガント元データ!$G14,AE$2&lt;=09_ガント元データ!$H14),"■",""))</f>
        <v/>
      </c>
      <c r="AF15" s="24" t="str">
        <f aca="false">IF($A15="","",IF(AND(AF$2&gt;=09_ガント元データ!$G14,AF$2&lt;=09_ガント元データ!$H14),"■",""))</f>
        <v/>
      </c>
      <c r="AG15" s="24" t="str">
        <f aca="false">IF($A15="","",IF(AND(AG$2&gt;=09_ガント元データ!$G14,AG$2&lt;=09_ガント元データ!$H14),"■",""))</f>
        <v/>
      </c>
      <c r="AH15" s="24" t="str">
        <f aca="false">IF($A15="","",IF(AND(AH$2&gt;=09_ガント元データ!$G14,AH$2&lt;=09_ガント元データ!$H14),"■",""))</f>
        <v/>
      </c>
      <c r="AI15" s="24" t="str">
        <f aca="false">IF($A15="","",IF(AND(AI$2&gt;=09_ガント元データ!$G14,AI$2&lt;=09_ガント元データ!$H14),"■",""))</f>
        <v/>
      </c>
      <c r="AJ15" s="24" t="str">
        <f aca="false">IF($A15="","",IF(AND(AJ$2&gt;=09_ガント元データ!$G14,AJ$2&lt;=09_ガント元データ!$H14),"■",""))</f>
        <v/>
      </c>
      <c r="AK15" s="24" t="str">
        <f aca="false">IF($A15="","",IF(AND(AK$2&gt;=09_ガント元データ!$G14,AK$2&lt;=09_ガント元データ!$H14),"■",""))</f>
        <v/>
      </c>
      <c r="AL15" s="24" t="str">
        <f aca="false">IF($A15="","",IF(AND(AL$2&gt;=09_ガント元データ!$G14,AL$2&lt;=09_ガント元データ!$H14),"■",""))</f>
        <v/>
      </c>
      <c r="AM15" s="24" t="str">
        <f aca="false">IF($A15="","",IF(AND(AM$2&gt;=09_ガント元データ!$G14,AM$2&lt;=09_ガント元データ!$H14),"■",""))</f>
        <v/>
      </c>
    </row>
    <row r="16" customFormat="false" ht="15" hidden="false" customHeight="false" outlineLevel="0" collapsed="false">
      <c r="A16" s="22" t="str">
        <f aca="false">09_ガント元データ!A15</f>
        <v/>
      </c>
      <c r="B16" s="22" t="str">
        <f aca="false">09_ガント元データ!B15</f>
        <v/>
      </c>
      <c r="C16" s="23" t="str">
        <f aca="false">09_ガント元データ!C15</f>
        <v/>
      </c>
      <c r="D16" s="24" t="str">
        <f aca="false">IF($A16="","",IF(AND(D$2&gt;=09_ガント元データ!$G15,D$2&lt;=09_ガント元データ!$H15),"■",""))</f>
        <v/>
      </c>
      <c r="E16" s="24" t="str">
        <f aca="false">IF($A16="","",IF(AND(E$2&gt;=09_ガント元データ!$G15,E$2&lt;=09_ガント元データ!$H15),"■",""))</f>
        <v/>
      </c>
      <c r="F16" s="24" t="str">
        <f aca="false">IF($A16="","",IF(AND(F$2&gt;=09_ガント元データ!$G15,F$2&lt;=09_ガント元データ!$H15),"■",""))</f>
        <v/>
      </c>
      <c r="G16" s="24" t="str">
        <f aca="false">IF($A16="","",IF(AND(G$2&gt;=09_ガント元データ!$G15,G$2&lt;=09_ガント元データ!$H15),"■",""))</f>
        <v/>
      </c>
      <c r="H16" s="24" t="str">
        <f aca="false">IF($A16="","",IF(AND(H$2&gt;=09_ガント元データ!$G15,H$2&lt;=09_ガント元データ!$H15),"■",""))</f>
        <v/>
      </c>
      <c r="I16" s="24" t="str">
        <f aca="false">IF($A16="","",IF(AND(I$2&gt;=09_ガント元データ!$G15,I$2&lt;=09_ガント元データ!$H15),"■",""))</f>
        <v/>
      </c>
      <c r="J16" s="24" t="str">
        <f aca="false">IF($A16="","",IF(AND(J$2&gt;=09_ガント元データ!$G15,J$2&lt;=09_ガント元データ!$H15),"■",""))</f>
        <v/>
      </c>
      <c r="K16" s="24" t="str">
        <f aca="false">IF($A16="","",IF(AND(K$2&gt;=09_ガント元データ!$G15,K$2&lt;=09_ガント元データ!$H15),"■",""))</f>
        <v/>
      </c>
      <c r="L16" s="24" t="str">
        <f aca="false">IF($A16="","",IF(AND(L$2&gt;=09_ガント元データ!$G15,L$2&lt;=09_ガント元データ!$H15),"■",""))</f>
        <v/>
      </c>
      <c r="M16" s="24" t="str">
        <f aca="false">IF($A16="","",IF(AND(M$2&gt;=09_ガント元データ!$G15,M$2&lt;=09_ガント元データ!$H15),"■",""))</f>
        <v/>
      </c>
      <c r="N16" s="24" t="str">
        <f aca="false">IF($A16="","",IF(AND(N$2&gt;=09_ガント元データ!$G15,N$2&lt;=09_ガント元データ!$H15),"■",""))</f>
        <v/>
      </c>
      <c r="O16" s="24" t="str">
        <f aca="false">IF($A16="","",IF(AND(O$2&gt;=09_ガント元データ!$G15,O$2&lt;=09_ガント元データ!$H15),"■",""))</f>
        <v/>
      </c>
      <c r="P16" s="24" t="str">
        <f aca="false">IF($A16="","",IF(AND(P$2&gt;=09_ガント元データ!$G15,P$2&lt;=09_ガント元データ!$H15),"■",""))</f>
        <v/>
      </c>
      <c r="Q16" s="24" t="str">
        <f aca="false">IF($A16="","",IF(AND(Q$2&gt;=09_ガント元データ!$G15,Q$2&lt;=09_ガント元データ!$H15),"■",""))</f>
        <v/>
      </c>
      <c r="R16" s="24" t="str">
        <f aca="false">IF($A16="","",IF(AND(R$2&gt;=09_ガント元データ!$G15,R$2&lt;=09_ガント元データ!$H15),"■",""))</f>
        <v/>
      </c>
      <c r="S16" s="24" t="str">
        <f aca="false">IF($A16="","",IF(AND(S$2&gt;=09_ガント元データ!$G15,S$2&lt;=09_ガント元データ!$H15),"■",""))</f>
        <v/>
      </c>
      <c r="T16" s="24" t="str">
        <f aca="false">IF($A16="","",IF(AND(T$2&gt;=09_ガント元データ!$G15,T$2&lt;=09_ガント元データ!$H15),"■",""))</f>
        <v/>
      </c>
      <c r="U16" s="24" t="str">
        <f aca="false">IF($A16="","",IF(AND(U$2&gt;=09_ガント元データ!$G15,U$2&lt;=09_ガント元データ!$H15),"■",""))</f>
        <v/>
      </c>
      <c r="V16" s="24" t="str">
        <f aca="false">IF($A16="","",IF(AND(V$2&gt;=09_ガント元データ!$G15,V$2&lt;=09_ガント元データ!$H15),"■",""))</f>
        <v/>
      </c>
      <c r="W16" s="24" t="str">
        <f aca="false">IF($A16="","",IF(AND(W$2&gt;=09_ガント元データ!$G15,W$2&lt;=09_ガント元データ!$H15),"■",""))</f>
        <v/>
      </c>
      <c r="X16" s="24" t="str">
        <f aca="false">IF($A16="","",IF(AND(X$2&gt;=09_ガント元データ!$G15,X$2&lt;=09_ガント元データ!$H15),"■",""))</f>
        <v/>
      </c>
      <c r="Y16" s="24" t="str">
        <f aca="false">IF($A16="","",IF(AND(Y$2&gt;=09_ガント元データ!$G15,Y$2&lt;=09_ガント元データ!$H15),"■",""))</f>
        <v/>
      </c>
      <c r="Z16" s="24" t="str">
        <f aca="false">IF($A16="","",IF(AND(Z$2&gt;=09_ガント元データ!$G15,Z$2&lt;=09_ガント元データ!$H15),"■",""))</f>
        <v/>
      </c>
      <c r="AA16" s="24" t="str">
        <f aca="false">IF($A16="","",IF(AND(AA$2&gt;=09_ガント元データ!$G15,AA$2&lt;=09_ガント元データ!$H15),"■",""))</f>
        <v/>
      </c>
      <c r="AB16" s="24" t="str">
        <f aca="false">IF($A16="","",IF(AND(AB$2&gt;=09_ガント元データ!$G15,AB$2&lt;=09_ガント元データ!$H15),"■",""))</f>
        <v/>
      </c>
      <c r="AC16" s="24" t="str">
        <f aca="false">IF($A16="","",IF(AND(AC$2&gt;=09_ガント元データ!$G15,AC$2&lt;=09_ガント元データ!$H15),"■",""))</f>
        <v/>
      </c>
      <c r="AD16" s="24" t="str">
        <f aca="false">IF($A16="","",IF(AND(AD$2&gt;=09_ガント元データ!$G15,AD$2&lt;=09_ガント元データ!$H15),"■",""))</f>
        <v/>
      </c>
      <c r="AE16" s="24" t="str">
        <f aca="false">IF($A16="","",IF(AND(AE$2&gt;=09_ガント元データ!$G15,AE$2&lt;=09_ガント元データ!$H15),"■",""))</f>
        <v/>
      </c>
      <c r="AF16" s="24" t="str">
        <f aca="false">IF($A16="","",IF(AND(AF$2&gt;=09_ガント元データ!$G15,AF$2&lt;=09_ガント元データ!$H15),"■",""))</f>
        <v/>
      </c>
      <c r="AG16" s="24" t="str">
        <f aca="false">IF($A16="","",IF(AND(AG$2&gt;=09_ガント元データ!$G15,AG$2&lt;=09_ガント元データ!$H15),"■",""))</f>
        <v/>
      </c>
      <c r="AH16" s="24" t="str">
        <f aca="false">IF($A16="","",IF(AND(AH$2&gt;=09_ガント元データ!$G15,AH$2&lt;=09_ガント元データ!$H15),"■",""))</f>
        <v/>
      </c>
      <c r="AI16" s="24" t="str">
        <f aca="false">IF($A16="","",IF(AND(AI$2&gt;=09_ガント元データ!$G15,AI$2&lt;=09_ガント元データ!$H15),"■",""))</f>
        <v/>
      </c>
      <c r="AJ16" s="24" t="str">
        <f aca="false">IF($A16="","",IF(AND(AJ$2&gt;=09_ガント元データ!$G15,AJ$2&lt;=09_ガント元データ!$H15),"■",""))</f>
        <v/>
      </c>
      <c r="AK16" s="24" t="str">
        <f aca="false">IF($A16="","",IF(AND(AK$2&gt;=09_ガント元データ!$G15,AK$2&lt;=09_ガント元データ!$H15),"■",""))</f>
        <v/>
      </c>
      <c r="AL16" s="24" t="str">
        <f aca="false">IF($A16="","",IF(AND(AL$2&gt;=09_ガント元データ!$G15,AL$2&lt;=09_ガント元データ!$H15),"■",""))</f>
        <v/>
      </c>
      <c r="AM16" s="24" t="str">
        <f aca="false">IF($A16="","",IF(AND(AM$2&gt;=09_ガント元データ!$G15,AM$2&lt;=09_ガント元データ!$H15),"■",""))</f>
        <v/>
      </c>
    </row>
    <row r="17" customFormat="false" ht="15" hidden="false" customHeight="false" outlineLevel="0" collapsed="false">
      <c r="A17" s="22" t="str">
        <f aca="false">09_ガント元データ!A16</f>
        <v/>
      </c>
      <c r="B17" s="22" t="str">
        <f aca="false">09_ガント元データ!B16</f>
        <v/>
      </c>
      <c r="C17" s="23" t="str">
        <f aca="false">09_ガント元データ!C16</f>
        <v/>
      </c>
      <c r="D17" s="24" t="str">
        <f aca="false">IF($A17="","",IF(AND(D$2&gt;=09_ガント元データ!$G16,D$2&lt;=09_ガント元データ!$H16),"■",""))</f>
        <v/>
      </c>
      <c r="E17" s="24" t="str">
        <f aca="false">IF($A17="","",IF(AND(E$2&gt;=09_ガント元データ!$G16,E$2&lt;=09_ガント元データ!$H16),"■",""))</f>
        <v/>
      </c>
      <c r="F17" s="24" t="str">
        <f aca="false">IF($A17="","",IF(AND(F$2&gt;=09_ガント元データ!$G16,F$2&lt;=09_ガント元データ!$H16),"■",""))</f>
        <v/>
      </c>
      <c r="G17" s="24" t="str">
        <f aca="false">IF($A17="","",IF(AND(G$2&gt;=09_ガント元データ!$G16,G$2&lt;=09_ガント元データ!$H16),"■",""))</f>
        <v/>
      </c>
      <c r="H17" s="24" t="str">
        <f aca="false">IF($A17="","",IF(AND(H$2&gt;=09_ガント元データ!$G16,H$2&lt;=09_ガント元データ!$H16),"■",""))</f>
        <v/>
      </c>
      <c r="I17" s="24" t="str">
        <f aca="false">IF($A17="","",IF(AND(I$2&gt;=09_ガント元データ!$G16,I$2&lt;=09_ガント元データ!$H16),"■",""))</f>
        <v/>
      </c>
      <c r="J17" s="24" t="str">
        <f aca="false">IF($A17="","",IF(AND(J$2&gt;=09_ガント元データ!$G16,J$2&lt;=09_ガント元データ!$H16),"■",""))</f>
        <v/>
      </c>
      <c r="K17" s="24" t="str">
        <f aca="false">IF($A17="","",IF(AND(K$2&gt;=09_ガント元データ!$G16,K$2&lt;=09_ガント元データ!$H16),"■",""))</f>
        <v/>
      </c>
      <c r="L17" s="24" t="str">
        <f aca="false">IF($A17="","",IF(AND(L$2&gt;=09_ガント元データ!$G16,L$2&lt;=09_ガント元データ!$H16),"■",""))</f>
        <v/>
      </c>
      <c r="M17" s="24" t="str">
        <f aca="false">IF($A17="","",IF(AND(M$2&gt;=09_ガント元データ!$G16,M$2&lt;=09_ガント元データ!$H16),"■",""))</f>
        <v/>
      </c>
      <c r="N17" s="24" t="str">
        <f aca="false">IF($A17="","",IF(AND(N$2&gt;=09_ガント元データ!$G16,N$2&lt;=09_ガント元データ!$H16),"■",""))</f>
        <v/>
      </c>
      <c r="O17" s="24" t="str">
        <f aca="false">IF($A17="","",IF(AND(O$2&gt;=09_ガント元データ!$G16,O$2&lt;=09_ガント元データ!$H16),"■",""))</f>
        <v/>
      </c>
      <c r="P17" s="24" t="str">
        <f aca="false">IF($A17="","",IF(AND(P$2&gt;=09_ガント元データ!$G16,P$2&lt;=09_ガント元データ!$H16),"■",""))</f>
        <v/>
      </c>
      <c r="Q17" s="24" t="str">
        <f aca="false">IF($A17="","",IF(AND(Q$2&gt;=09_ガント元データ!$G16,Q$2&lt;=09_ガント元データ!$H16),"■",""))</f>
        <v/>
      </c>
      <c r="R17" s="24" t="str">
        <f aca="false">IF($A17="","",IF(AND(R$2&gt;=09_ガント元データ!$G16,R$2&lt;=09_ガント元データ!$H16),"■",""))</f>
        <v/>
      </c>
      <c r="S17" s="24" t="str">
        <f aca="false">IF($A17="","",IF(AND(S$2&gt;=09_ガント元データ!$G16,S$2&lt;=09_ガント元データ!$H16),"■",""))</f>
        <v/>
      </c>
      <c r="T17" s="24" t="str">
        <f aca="false">IF($A17="","",IF(AND(T$2&gt;=09_ガント元データ!$G16,T$2&lt;=09_ガント元データ!$H16),"■",""))</f>
        <v/>
      </c>
      <c r="U17" s="24" t="str">
        <f aca="false">IF($A17="","",IF(AND(U$2&gt;=09_ガント元データ!$G16,U$2&lt;=09_ガント元データ!$H16),"■",""))</f>
        <v/>
      </c>
      <c r="V17" s="24" t="str">
        <f aca="false">IF($A17="","",IF(AND(V$2&gt;=09_ガント元データ!$G16,V$2&lt;=09_ガント元データ!$H16),"■",""))</f>
        <v/>
      </c>
      <c r="W17" s="24" t="str">
        <f aca="false">IF($A17="","",IF(AND(W$2&gt;=09_ガント元データ!$G16,W$2&lt;=09_ガント元データ!$H16),"■",""))</f>
        <v/>
      </c>
      <c r="X17" s="24" t="str">
        <f aca="false">IF($A17="","",IF(AND(X$2&gt;=09_ガント元データ!$G16,X$2&lt;=09_ガント元データ!$H16),"■",""))</f>
        <v/>
      </c>
      <c r="Y17" s="24" t="str">
        <f aca="false">IF($A17="","",IF(AND(Y$2&gt;=09_ガント元データ!$G16,Y$2&lt;=09_ガント元データ!$H16),"■",""))</f>
        <v/>
      </c>
      <c r="Z17" s="24" t="str">
        <f aca="false">IF($A17="","",IF(AND(Z$2&gt;=09_ガント元データ!$G16,Z$2&lt;=09_ガント元データ!$H16),"■",""))</f>
        <v/>
      </c>
      <c r="AA17" s="24" t="str">
        <f aca="false">IF($A17="","",IF(AND(AA$2&gt;=09_ガント元データ!$G16,AA$2&lt;=09_ガント元データ!$H16),"■",""))</f>
        <v/>
      </c>
      <c r="AB17" s="24" t="str">
        <f aca="false">IF($A17="","",IF(AND(AB$2&gt;=09_ガント元データ!$G16,AB$2&lt;=09_ガント元データ!$H16),"■",""))</f>
        <v/>
      </c>
      <c r="AC17" s="24" t="str">
        <f aca="false">IF($A17="","",IF(AND(AC$2&gt;=09_ガント元データ!$G16,AC$2&lt;=09_ガント元データ!$H16),"■",""))</f>
        <v/>
      </c>
      <c r="AD17" s="24" t="str">
        <f aca="false">IF($A17="","",IF(AND(AD$2&gt;=09_ガント元データ!$G16,AD$2&lt;=09_ガント元データ!$H16),"■",""))</f>
        <v/>
      </c>
      <c r="AE17" s="24" t="str">
        <f aca="false">IF($A17="","",IF(AND(AE$2&gt;=09_ガント元データ!$G16,AE$2&lt;=09_ガント元データ!$H16),"■",""))</f>
        <v/>
      </c>
      <c r="AF17" s="24" t="str">
        <f aca="false">IF($A17="","",IF(AND(AF$2&gt;=09_ガント元データ!$G16,AF$2&lt;=09_ガント元データ!$H16),"■",""))</f>
        <v/>
      </c>
      <c r="AG17" s="24" t="str">
        <f aca="false">IF($A17="","",IF(AND(AG$2&gt;=09_ガント元データ!$G16,AG$2&lt;=09_ガント元データ!$H16),"■",""))</f>
        <v/>
      </c>
      <c r="AH17" s="24" t="str">
        <f aca="false">IF($A17="","",IF(AND(AH$2&gt;=09_ガント元データ!$G16,AH$2&lt;=09_ガント元データ!$H16),"■",""))</f>
        <v/>
      </c>
      <c r="AI17" s="24" t="str">
        <f aca="false">IF($A17="","",IF(AND(AI$2&gt;=09_ガント元データ!$G16,AI$2&lt;=09_ガント元データ!$H16),"■",""))</f>
        <v/>
      </c>
      <c r="AJ17" s="24" t="str">
        <f aca="false">IF($A17="","",IF(AND(AJ$2&gt;=09_ガント元データ!$G16,AJ$2&lt;=09_ガント元データ!$H16),"■",""))</f>
        <v/>
      </c>
      <c r="AK17" s="24" t="str">
        <f aca="false">IF($A17="","",IF(AND(AK$2&gt;=09_ガント元データ!$G16,AK$2&lt;=09_ガント元データ!$H16),"■",""))</f>
        <v/>
      </c>
      <c r="AL17" s="24" t="str">
        <f aca="false">IF($A17="","",IF(AND(AL$2&gt;=09_ガント元データ!$G16,AL$2&lt;=09_ガント元データ!$H16),"■",""))</f>
        <v/>
      </c>
      <c r="AM17" s="24" t="str">
        <f aca="false">IF($A17="","",IF(AND(AM$2&gt;=09_ガント元データ!$G16,AM$2&lt;=09_ガント元データ!$H16),"■",""))</f>
        <v/>
      </c>
    </row>
    <row r="18" customFormat="false" ht="15" hidden="false" customHeight="false" outlineLevel="0" collapsed="false">
      <c r="A18" s="22" t="str">
        <f aca="false">09_ガント元データ!A17</f>
        <v/>
      </c>
      <c r="B18" s="22" t="str">
        <f aca="false">09_ガント元データ!B17</f>
        <v/>
      </c>
      <c r="C18" s="23" t="str">
        <f aca="false">09_ガント元データ!C17</f>
        <v/>
      </c>
      <c r="D18" s="24" t="str">
        <f aca="false">IF($A18="","",IF(AND(D$2&gt;=09_ガント元データ!$G17,D$2&lt;=09_ガント元データ!$H17),"■",""))</f>
        <v/>
      </c>
      <c r="E18" s="24" t="str">
        <f aca="false">IF($A18="","",IF(AND(E$2&gt;=09_ガント元データ!$G17,E$2&lt;=09_ガント元データ!$H17),"■",""))</f>
        <v/>
      </c>
      <c r="F18" s="24" t="str">
        <f aca="false">IF($A18="","",IF(AND(F$2&gt;=09_ガント元データ!$G17,F$2&lt;=09_ガント元データ!$H17),"■",""))</f>
        <v/>
      </c>
      <c r="G18" s="24" t="str">
        <f aca="false">IF($A18="","",IF(AND(G$2&gt;=09_ガント元データ!$G17,G$2&lt;=09_ガント元データ!$H17),"■",""))</f>
        <v/>
      </c>
      <c r="H18" s="24" t="str">
        <f aca="false">IF($A18="","",IF(AND(H$2&gt;=09_ガント元データ!$G17,H$2&lt;=09_ガント元データ!$H17),"■",""))</f>
        <v/>
      </c>
      <c r="I18" s="24" t="str">
        <f aca="false">IF($A18="","",IF(AND(I$2&gt;=09_ガント元データ!$G17,I$2&lt;=09_ガント元データ!$H17),"■",""))</f>
        <v/>
      </c>
      <c r="J18" s="24" t="str">
        <f aca="false">IF($A18="","",IF(AND(J$2&gt;=09_ガント元データ!$G17,J$2&lt;=09_ガント元データ!$H17),"■",""))</f>
        <v/>
      </c>
      <c r="K18" s="24" t="str">
        <f aca="false">IF($A18="","",IF(AND(K$2&gt;=09_ガント元データ!$G17,K$2&lt;=09_ガント元データ!$H17),"■",""))</f>
        <v/>
      </c>
      <c r="L18" s="24" t="str">
        <f aca="false">IF($A18="","",IF(AND(L$2&gt;=09_ガント元データ!$G17,L$2&lt;=09_ガント元データ!$H17),"■",""))</f>
        <v/>
      </c>
      <c r="M18" s="24" t="str">
        <f aca="false">IF($A18="","",IF(AND(M$2&gt;=09_ガント元データ!$G17,M$2&lt;=09_ガント元データ!$H17),"■",""))</f>
        <v/>
      </c>
      <c r="N18" s="24" t="str">
        <f aca="false">IF($A18="","",IF(AND(N$2&gt;=09_ガント元データ!$G17,N$2&lt;=09_ガント元データ!$H17),"■",""))</f>
        <v/>
      </c>
      <c r="O18" s="24" t="str">
        <f aca="false">IF($A18="","",IF(AND(O$2&gt;=09_ガント元データ!$G17,O$2&lt;=09_ガント元データ!$H17),"■",""))</f>
        <v/>
      </c>
      <c r="P18" s="24" t="str">
        <f aca="false">IF($A18="","",IF(AND(P$2&gt;=09_ガント元データ!$G17,P$2&lt;=09_ガント元データ!$H17),"■",""))</f>
        <v/>
      </c>
      <c r="Q18" s="24" t="str">
        <f aca="false">IF($A18="","",IF(AND(Q$2&gt;=09_ガント元データ!$G17,Q$2&lt;=09_ガント元データ!$H17),"■",""))</f>
        <v/>
      </c>
      <c r="R18" s="24" t="str">
        <f aca="false">IF($A18="","",IF(AND(R$2&gt;=09_ガント元データ!$G17,R$2&lt;=09_ガント元データ!$H17),"■",""))</f>
        <v/>
      </c>
      <c r="S18" s="24" t="str">
        <f aca="false">IF($A18="","",IF(AND(S$2&gt;=09_ガント元データ!$G17,S$2&lt;=09_ガント元データ!$H17),"■",""))</f>
        <v/>
      </c>
      <c r="T18" s="24" t="str">
        <f aca="false">IF($A18="","",IF(AND(T$2&gt;=09_ガント元データ!$G17,T$2&lt;=09_ガント元データ!$H17),"■",""))</f>
        <v/>
      </c>
      <c r="U18" s="24" t="str">
        <f aca="false">IF($A18="","",IF(AND(U$2&gt;=09_ガント元データ!$G17,U$2&lt;=09_ガント元データ!$H17),"■",""))</f>
        <v/>
      </c>
      <c r="V18" s="24" t="str">
        <f aca="false">IF($A18="","",IF(AND(V$2&gt;=09_ガント元データ!$G17,V$2&lt;=09_ガント元データ!$H17),"■",""))</f>
        <v/>
      </c>
      <c r="W18" s="24" t="str">
        <f aca="false">IF($A18="","",IF(AND(W$2&gt;=09_ガント元データ!$G17,W$2&lt;=09_ガント元データ!$H17),"■",""))</f>
        <v/>
      </c>
      <c r="X18" s="24" t="str">
        <f aca="false">IF($A18="","",IF(AND(X$2&gt;=09_ガント元データ!$G17,X$2&lt;=09_ガント元データ!$H17),"■",""))</f>
        <v/>
      </c>
      <c r="Y18" s="24" t="str">
        <f aca="false">IF($A18="","",IF(AND(Y$2&gt;=09_ガント元データ!$G17,Y$2&lt;=09_ガント元データ!$H17),"■",""))</f>
        <v/>
      </c>
      <c r="Z18" s="24" t="str">
        <f aca="false">IF($A18="","",IF(AND(Z$2&gt;=09_ガント元データ!$G17,Z$2&lt;=09_ガント元データ!$H17),"■",""))</f>
        <v/>
      </c>
      <c r="AA18" s="24" t="str">
        <f aca="false">IF($A18="","",IF(AND(AA$2&gt;=09_ガント元データ!$G17,AA$2&lt;=09_ガント元データ!$H17),"■",""))</f>
        <v/>
      </c>
      <c r="AB18" s="24" t="str">
        <f aca="false">IF($A18="","",IF(AND(AB$2&gt;=09_ガント元データ!$G17,AB$2&lt;=09_ガント元データ!$H17),"■",""))</f>
        <v/>
      </c>
      <c r="AC18" s="24" t="str">
        <f aca="false">IF($A18="","",IF(AND(AC$2&gt;=09_ガント元データ!$G17,AC$2&lt;=09_ガント元データ!$H17),"■",""))</f>
        <v/>
      </c>
      <c r="AD18" s="24" t="str">
        <f aca="false">IF($A18="","",IF(AND(AD$2&gt;=09_ガント元データ!$G17,AD$2&lt;=09_ガント元データ!$H17),"■",""))</f>
        <v/>
      </c>
      <c r="AE18" s="24" t="str">
        <f aca="false">IF($A18="","",IF(AND(AE$2&gt;=09_ガント元データ!$G17,AE$2&lt;=09_ガント元データ!$H17),"■",""))</f>
        <v/>
      </c>
      <c r="AF18" s="24" t="str">
        <f aca="false">IF($A18="","",IF(AND(AF$2&gt;=09_ガント元データ!$G17,AF$2&lt;=09_ガント元データ!$H17),"■",""))</f>
        <v/>
      </c>
      <c r="AG18" s="24" t="str">
        <f aca="false">IF($A18="","",IF(AND(AG$2&gt;=09_ガント元データ!$G17,AG$2&lt;=09_ガント元データ!$H17),"■",""))</f>
        <v/>
      </c>
      <c r="AH18" s="24" t="str">
        <f aca="false">IF($A18="","",IF(AND(AH$2&gt;=09_ガント元データ!$G17,AH$2&lt;=09_ガント元データ!$H17),"■",""))</f>
        <v/>
      </c>
      <c r="AI18" s="24" t="str">
        <f aca="false">IF($A18="","",IF(AND(AI$2&gt;=09_ガント元データ!$G17,AI$2&lt;=09_ガント元データ!$H17),"■",""))</f>
        <v/>
      </c>
      <c r="AJ18" s="24" t="str">
        <f aca="false">IF($A18="","",IF(AND(AJ$2&gt;=09_ガント元データ!$G17,AJ$2&lt;=09_ガント元データ!$H17),"■",""))</f>
        <v/>
      </c>
      <c r="AK18" s="24" t="str">
        <f aca="false">IF($A18="","",IF(AND(AK$2&gt;=09_ガント元データ!$G17,AK$2&lt;=09_ガント元データ!$H17),"■",""))</f>
        <v/>
      </c>
      <c r="AL18" s="24" t="str">
        <f aca="false">IF($A18="","",IF(AND(AL$2&gt;=09_ガント元データ!$G17,AL$2&lt;=09_ガント元データ!$H17),"■",""))</f>
        <v/>
      </c>
      <c r="AM18" s="24" t="str">
        <f aca="false">IF($A18="","",IF(AND(AM$2&gt;=09_ガント元データ!$G17,AM$2&lt;=09_ガント元データ!$H17),"■",""))</f>
        <v/>
      </c>
    </row>
    <row r="19" customFormat="false" ht="15" hidden="false" customHeight="false" outlineLevel="0" collapsed="false">
      <c r="A19" s="22" t="str">
        <f aca="false">09_ガント元データ!A18</f>
        <v/>
      </c>
      <c r="B19" s="22" t="str">
        <f aca="false">09_ガント元データ!B18</f>
        <v/>
      </c>
      <c r="C19" s="23" t="str">
        <f aca="false">09_ガント元データ!C18</f>
        <v/>
      </c>
      <c r="D19" s="24" t="str">
        <f aca="false">IF($A19="","",IF(AND(D$2&gt;=09_ガント元データ!$G18,D$2&lt;=09_ガント元データ!$H18),"■",""))</f>
        <v/>
      </c>
      <c r="E19" s="24" t="str">
        <f aca="false">IF($A19="","",IF(AND(E$2&gt;=09_ガント元データ!$G18,E$2&lt;=09_ガント元データ!$H18),"■",""))</f>
        <v/>
      </c>
      <c r="F19" s="24" t="str">
        <f aca="false">IF($A19="","",IF(AND(F$2&gt;=09_ガント元データ!$G18,F$2&lt;=09_ガント元データ!$H18),"■",""))</f>
        <v/>
      </c>
      <c r="G19" s="24" t="str">
        <f aca="false">IF($A19="","",IF(AND(G$2&gt;=09_ガント元データ!$G18,G$2&lt;=09_ガント元データ!$H18),"■",""))</f>
        <v/>
      </c>
      <c r="H19" s="24" t="str">
        <f aca="false">IF($A19="","",IF(AND(H$2&gt;=09_ガント元データ!$G18,H$2&lt;=09_ガント元データ!$H18),"■",""))</f>
        <v/>
      </c>
      <c r="I19" s="24" t="str">
        <f aca="false">IF($A19="","",IF(AND(I$2&gt;=09_ガント元データ!$G18,I$2&lt;=09_ガント元データ!$H18),"■",""))</f>
        <v/>
      </c>
      <c r="J19" s="24" t="str">
        <f aca="false">IF($A19="","",IF(AND(J$2&gt;=09_ガント元データ!$G18,J$2&lt;=09_ガント元データ!$H18),"■",""))</f>
        <v/>
      </c>
      <c r="K19" s="24" t="str">
        <f aca="false">IF($A19="","",IF(AND(K$2&gt;=09_ガント元データ!$G18,K$2&lt;=09_ガント元データ!$H18),"■",""))</f>
        <v/>
      </c>
      <c r="L19" s="24" t="str">
        <f aca="false">IF($A19="","",IF(AND(L$2&gt;=09_ガント元データ!$G18,L$2&lt;=09_ガント元データ!$H18),"■",""))</f>
        <v/>
      </c>
      <c r="M19" s="24" t="str">
        <f aca="false">IF($A19="","",IF(AND(M$2&gt;=09_ガント元データ!$G18,M$2&lt;=09_ガント元データ!$H18),"■",""))</f>
        <v/>
      </c>
      <c r="N19" s="24" t="str">
        <f aca="false">IF($A19="","",IF(AND(N$2&gt;=09_ガント元データ!$G18,N$2&lt;=09_ガント元データ!$H18),"■",""))</f>
        <v/>
      </c>
      <c r="O19" s="24" t="str">
        <f aca="false">IF($A19="","",IF(AND(O$2&gt;=09_ガント元データ!$G18,O$2&lt;=09_ガント元データ!$H18),"■",""))</f>
        <v/>
      </c>
      <c r="P19" s="24" t="str">
        <f aca="false">IF($A19="","",IF(AND(P$2&gt;=09_ガント元データ!$G18,P$2&lt;=09_ガント元データ!$H18),"■",""))</f>
        <v/>
      </c>
      <c r="Q19" s="24" t="str">
        <f aca="false">IF($A19="","",IF(AND(Q$2&gt;=09_ガント元データ!$G18,Q$2&lt;=09_ガント元データ!$H18),"■",""))</f>
        <v/>
      </c>
      <c r="R19" s="24" t="str">
        <f aca="false">IF($A19="","",IF(AND(R$2&gt;=09_ガント元データ!$G18,R$2&lt;=09_ガント元データ!$H18),"■",""))</f>
        <v/>
      </c>
      <c r="S19" s="24" t="str">
        <f aca="false">IF($A19="","",IF(AND(S$2&gt;=09_ガント元データ!$G18,S$2&lt;=09_ガント元データ!$H18),"■",""))</f>
        <v/>
      </c>
      <c r="T19" s="24" t="str">
        <f aca="false">IF($A19="","",IF(AND(T$2&gt;=09_ガント元データ!$G18,T$2&lt;=09_ガント元データ!$H18),"■",""))</f>
        <v/>
      </c>
      <c r="U19" s="24" t="str">
        <f aca="false">IF($A19="","",IF(AND(U$2&gt;=09_ガント元データ!$G18,U$2&lt;=09_ガント元データ!$H18),"■",""))</f>
        <v/>
      </c>
      <c r="V19" s="24" t="str">
        <f aca="false">IF($A19="","",IF(AND(V$2&gt;=09_ガント元データ!$G18,V$2&lt;=09_ガント元データ!$H18),"■",""))</f>
        <v/>
      </c>
      <c r="W19" s="24" t="str">
        <f aca="false">IF($A19="","",IF(AND(W$2&gt;=09_ガント元データ!$G18,W$2&lt;=09_ガント元データ!$H18),"■",""))</f>
        <v/>
      </c>
      <c r="X19" s="24" t="str">
        <f aca="false">IF($A19="","",IF(AND(X$2&gt;=09_ガント元データ!$G18,X$2&lt;=09_ガント元データ!$H18),"■",""))</f>
        <v/>
      </c>
      <c r="Y19" s="24" t="str">
        <f aca="false">IF($A19="","",IF(AND(Y$2&gt;=09_ガント元データ!$G18,Y$2&lt;=09_ガント元データ!$H18),"■",""))</f>
        <v/>
      </c>
      <c r="Z19" s="24" t="str">
        <f aca="false">IF($A19="","",IF(AND(Z$2&gt;=09_ガント元データ!$G18,Z$2&lt;=09_ガント元データ!$H18),"■",""))</f>
        <v/>
      </c>
      <c r="AA19" s="24" t="str">
        <f aca="false">IF($A19="","",IF(AND(AA$2&gt;=09_ガント元データ!$G18,AA$2&lt;=09_ガント元データ!$H18),"■",""))</f>
        <v/>
      </c>
      <c r="AB19" s="24" t="str">
        <f aca="false">IF($A19="","",IF(AND(AB$2&gt;=09_ガント元データ!$G18,AB$2&lt;=09_ガント元データ!$H18),"■",""))</f>
        <v/>
      </c>
      <c r="AC19" s="24" t="str">
        <f aca="false">IF($A19="","",IF(AND(AC$2&gt;=09_ガント元データ!$G18,AC$2&lt;=09_ガント元データ!$H18),"■",""))</f>
        <v/>
      </c>
      <c r="AD19" s="24" t="str">
        <f aca="false">IF($A19="","",IF(AND(AD$2&gt;=09_ガント元データ!$G18,AD$2&lt;=09_ガント元データ!$H18),"■",""))</f>
        <v/>
      </c>
      <c r="AE19" s="24" t="str">
        <f aca="false">IF($A19="","",IF(AND(AE$2&gt;=09_ガント元データ!$G18,AE$2&lt;=09_ガント元データ!$H18),"■",""))</f>
        <v/>
      </c>
      <c r="AF19" s="24" t="str">
        <f aca="false">IF($A19="","",IF(AND(AF$2&gt;=09_ガント元データ!$G18,AF$2&lt;=09_ガント元データ!$H18),"■",""))</f>
        <v/>
      </c>
      <c r="AG19" s="24" t="str">
        <f aca="false">IF($A19="","",IF(AND(AG$2&gt;=09_ガント元データ!$G18,AG$2&lt;=09_ガント元データ!$H18),"■",""))</f>
        <v/>
      </c>
      <c r="AH19" s="24" t="str">
        <f aca="false">IF($A19="","",IF(AND(AH$2&gt;=09_ガント元データ!$G18,AH$2&lt;=09_ガント元データ!$H18),"■",""))</f>
        <v/>
      </c>
      <c r="AI19" s="24" t="str">
        <f aca="false">IF($A19="","",IF(AND(AI$2&gt;=09_ガント元データ!$G18,AI$2&lt;=09_ガント元データ!$H18),"■",""))</f>
        <v/>
      </c>
      <c r="AJ19" s="24" t="str">
        <f aca="false">IF($A19="","",IF(AND(AJ$2&gt;=09_ガント元データ!$G18,AJ$2&lt;=09_ガント元データ!$H18),"■",""))</f>
        <v/>
      </c>
      <c r="AK19" s="24" t="str">
        <f aca="false">IF($A19="","",IF(AND(AK$2&gt;=09_ガント元データ!$G18,AK$2&lt;=09_ガント元データ!$H18),"■",""))</f>
        <v/>
      </c>
      <c r="AL19" s="24" t="str">
        <f aca="false">IF($A19="","",IF(AND(AL$2&gt;=09_ガント元データ!$G18,AL$2&lt;=09_ガント元データ!$H18),"■",""))</f>
        <v/>
      </c>
      <c r="AM19" s="24" t="str">
        <f aca="false">IF($A19="","",IF(AND(AM$2&gt;=09_ガント元データ!$G18,AM$2&lt;=09_ガント元データ!$H18),"■",""))</f>
        <v/>
      </c>
    </row>
    <row r="20" customFormat="false" ht="15" hidden="false" customHeight="false" outlineLevel="0" collapsed="false">
      <c r="A20" s="22" t="str">
        <f aca="false">09_ガント元データ!A19</f>
        <v/>
      </c>
      <c r="B20" s="22" t="str">
        <f aca="false">09_ガント元データ!B19</f>
        <v/>
      </c>
      <c r="C20" s="23" t="str">
        <f aca="false">09_ガント元データ!C19</f>
        <v/>
      </c>
      <c r="D20" s="24" t="str">
        <f aca="false">IF($A20="","",IF(AND(D$2&gt;=09_ガント元データ!$G19,D$2&lt;=09_ガント元データ!$H19),"■",""))</f>
        <v/>
      </c>
      <c r="E20" s="24" t="str">
        <f aca="false">IF($A20="","",IF(AND(E$2&gt;=09_ガント元データ!$G19,E$2&lt;=09_ガント元データ!$H19),"■",""))</f>
        <v/>
      </c>
      <c r="F20" s="24" t="str">
        <f aca="false">IF($A20="","",IF(AND(F$2&gt;=09_ガント元データ!$G19,F$2&lt;=09_ガント元データ!$H19),"■",""))</f>
        <v/>
      </c>
      <c r="G20" s="24" t="str">
        <f aca="false">IF($A20="","",IF(AND(G$2&gt;=09_ガント元データ!$G19,G$2&lt;=09_ガント元データ!$H19),"■",""))</f>
        <v/>
      </c>
      <c r="H20" s="24" t="str">
        <f aca="false">IF($A20="","",IF(AND(H$2&gt;=09_ガント元データ!$G19,H$2&lt;=09_ガント元データ!$H19),"■",""))</f>
        <v/>
      </c>
      <c r="I20" s="24" t="str">
        <f aca="false">IF($A20="","",IF(AND(I$2&gt;=09_ガント元データ!$G19,I$2&lt;=09_ガント元データ!$H19),"■",""))</f>
        <v/>
      </c>
      <c r="J20" s="24" t="str">
        <f aca="false">IF($A20="","",IF(AND(J$2&gt;=09_ガント元データ!$G19,J$2&lt;=09_ガント元データ!$H19),"■",""))</f>
        <v/>
      </c>
      <c r="K20" s="24" t="str">
        <f aca="false">IF($A20="","",IF(AND(K$2&gt;=09_ガント元データ!$G19,K$2&lt;=09_ガント元データ!$H19),"■",""))</f>
        <v/>
      </c>
      <c r="L20" s="24" t="str">
        <f aca="false">IF($A20="","",IF(AND(L$2&gt;=09_ガント元データ!$G19,L$2&lt;=09_ガント元データ!$H19),"■",""))</f>
        <v/>
      </c>
      <c r="M20" s="24" t="str">
        <f aca="false">IF($A20="","",IF(AND(M$2&gt;=09_ガント元データ!$G19,M$2&lt;=09_ガント元データ!$H19),"■",""))</f>
        <v/>
      </c>
      <c r="N20" s="24" t="str">
        <f aca="false">IF($A20="","",IF(AND(N$2&gt;=09_ガント元データ!$G19,N$2&lt;=09_ガント元データ!$H19),"■",""))</f>
        <v/>
      </c>
      <c r="O20" s="24" t="str">
        <f aca="false">IF($A20="","",IF(AND(O$2&gt;=09_ガント元データ!$G19,O$2&lt;=09_ガント元データ!$H19),"■",""))</f>
        <v/>
      </c>
      <c r="P20" s="24" t="str">
        <f aca="false">IF($A20="","",IF(AND(P$2&gt;=09_ガント元データ!$G19,P$2&lt;=09_ガント元データ!$H19),"■",""))</f>
        <v/>
      </c>
      <c r="Q20" s="24" t="str">
        <f aca="false">IF($A20="","",IF(AND(Q$2&gt;=09_ガント元データ!$G19,Q$2&lt;=09_ガント元データ!$H19),"■",""))</f>
        <v/>
      </c>
      <c r="R20" s="24" t="str">
        <f aca="false">IF($A20="","",IF(AND(R$2&gt;=09_ガント元データ!$G19,R$2&lt;=09_ガント元データ!$H19),"■",""))</f>
        <v/>
      </c>
      <c r="S20" s="24" t="str">
        <f aca="false">IF($A20="","",IF(AND(S$2&gt;=09_ガント元データ!$G19,S$2&lt;=09_ガント元データ!$H19),"■",""))</f>
        <v/>
      </c>
      <c r="T20" s="24" t="str">
        <f aca="false">IF($A20="","",IF(AND(T$2&gt;=09_ガント元データ!$G19,T$2&lt;=09_ガント元データ!$H19),"■",""))</f>
        <v/>
      </c>
      <c r="U20" s="24" t="str">
        <f aca="false">IF($A20="","",IF(AND(U$2&gt;=09_ガント元データ!$G19,U$2&lt;=09_ガント元データ!$H19),"■",""))</f>
        <v/>
      </c>
      <c r="V20" s="24" t="str">
        <f aca="false">IF($A20="","",IF(AND(V$2&gt;=09_ガント元データ!$G19,V$2&lt;=09_ガント元データ!$H19),"■",""))</f>
        <v/>
      </c>
      <c r="W20" s="24" t="str">
        <f aca="false">IF($A20="","",IF(AND(W$2&gt;=09_ガント元データ!$G19,W$2&lt;=09_ガント元データ!$H19),"■",""))</f>
        <v/>
      </c>
      <c r="X20" s="24" t="str">
        <f aca="false">IF($A20="","",IF(AND(X$2&gt;=09_ガント元データ!$G19,X$2&lt;=09_ガント元データ!$H19),"■",""))</f>
        <v/>
      </c>
      <c r="Y20" s="24" t="str">
        <f aca="false">IF($A20="","",IF(AND(Y$2&gt;=09_ガント元データ!$G19,Y$2&lt;=09_ガント元データ!$H19),"■",""))</f>
        <v/>
      </c>
      <c r="Z20" s="24" t="str">
        <f aca="false">IF($A20="","",IF(AND(Z$2&gt;=09_ガント元データ!$G19,Z$2&lt;=09_ガント元データ!$H19),"■",""))</f>
        <v/>
      </c>
      <c r="AA20" s="24" t="str">
        <f aca="false">IF($A20="","",IF(AND(AA$2&gt;=09_ガント元データ!$G19,AA$2&lt;=09_ガント元データ!$H19),"■",""))</f>
        <v/>
      </c>
      <c r="AB20" s="24" t="str">
        <f aca="false">IF($A20="","",IF(AND(AB$2&gt;=09_ガント元データ!$G19,AB$2&lt;=09_ガント元データ!$H19),"■",""))</f>
        <v/>
      </c>
      <c r="AC20" s="24" t="str">
        <f aca="false">IF($A20="","",IF(AND(AC$2&gt;=09_ガント元データ!$G19,AC$2&lt;=09_ガント元データ!$H19),"■",""))</f>
        <v/>
      </c>
      <c r="AD20" s="24" t="str">
        <f aca="false">IF($A20="","",IF(AND(AD$2&gt;=09_ガント元データ!$G19,AD$2&lt;=09_ガント元データ!$H19),"■",""))</f>
        <v/>
      </c>
      <c r="AE20" s="24" t="str">
        <f aca="false">IF($A20="","",IF(AND(AE$2&gt;=09_ガント元データ!$G19,AE$2&lt;=09_ガント元データ!$H19),"■",""))</f>
        <v/>
      </c>
      <c r="AF20" s="24" t="str">
        <f aca="false">IF($A20="","",IF(AND(AF$2&gt;=09_ガント元データ!$G19,AF$2&lt;=09_ガント元データ!$H19),"■",""))</f>
        <v/>
      </c>
      <c r="AG20" s="24" t="str">
        <f aca="false">IF($A20="","",IF(AND(AG$2&gt;=09_ガント元データ!$G19,AG$2&lt;=09_ガント元データ!$H19),"■",""))</f>
        <v/>
      </c>
      <c r="AH20" s="24" t="str">
        <f aca="false">IF($A20="","",IF(AND(AH$2&gt;=09_ガント元データ!$G19,AH$2&lt;=09_ガント元データ!$H19),"■",""))</f>
        <v/>
      </c>
      <c r="AI20" s="24" t="str">
        <f aca="false">IF($A20="","",IF(AND(AI$2&gt;=09_ガント元データ!$G19,AI$2&lt;=09_ガント元データ!$H19),"■",""))</f>
        <v/>
      </c>
      <c r="AJ20" s="24" t="str">
        <f aca="false">IF($A20="","",IF(AND(AJ$2&gt;=09_ガント元データ!$G19,AJ$2&lt;=09_ガント元データ!$H19),"■",""))</f>
        <v/>
      </c>
      <c r="AK20" s="24" t="str">
        <f aca="false">IF($A20="","",IF(AND(AK$2&gt;=09_ガント元データ!$G19,AK$2&lt;=09_ガント元データ!$H19),"■",""))</f>
        <v/>
      </c>
      <c r="AL20" s="24" t="str">
        <f aca="false">IF($A20="","",IF(AND(AL$2&gt;=09_ガント元データ!$G19,AL$2&lt;=09_ガント元データ!$H19),"■",""))</f>
        <v/>
      </c>
      <c r="AM20" s="24" t="str">
        <f aca="false">IF($A20="","",IF(AND(AM$2&gt;=09_ガント元データ!$G19,AM$2&lt;=09_ガント元データ!$H19),"■",""))</f>
        <v/>
      </c>
    </row>
    <row r="21" customFormat="false" ht="15" hidden="false" customHeight="false" outlineLevel="0" collapsed="false">
      <c r="A21" s="22" t="str">
        <f aca="false">09_ガント元データ!A20</f>
        <v/>
      </c>
      <c r="B21" s="22" t="str">
        <f aca="false">09_ガント元データ!B20</f>
        <v/>
      </c>
      <c r="C21" s="23" t="str">
        <f aca="false">09_ガント元データ!C20</f>
        <v/>
      </c>
      <c r="D21" s="24" t="str">
        <f aca="false">IF($A21="","",IF(AND(D$2&gt;=09_ガント元データ!$G20,D$2&lt;=09_ガント元データ!$H20),"■",""))</f>
        <v/>
      </c>
      <c r="E21" s="24" t="str">
        <f aca="false">IF($A21="","",IF(AND(E$2&gt;=09_ガント元データ!$G20,E$2&lt;=09_ガント元データ!$H20),"■",""))</f>
        <v/>
      </c>
      <c r="F21" s="24" t="str">
        <f aca="false">IF($A21="","",IF(AND(F$2&gt;=09_ガント元データ!$G20,F$2&lt;=09_ガント元データ!$H20),"■",""))</f>
        <v/>
      </c>
      <c r="G21" s="24" t="str">
        <f aca="false">IF($A21="","",IF(AND(G$2&gt;=09_ガント元データ!$G20,G$2&lt;=09_ガント元データ!$H20),"■",""))</f>
        <v/>
      </c>
      <c r="H21" s="24" t="str">
        <f aca="false">IF($A21="","",IF(AND(H$2&gt;=09_ガント元データ!$G20,H$2&lt;=09_ガント元データ!$H20),"■",""))</f>
        <v/>
      </c>
      <c r="I21" s="24" t="str">
        <f aca="false">IF($A21="","",IF(AND(I$2&gt;=09_ガント元データ!$G20,I$2&lt;=09_ガント元データ!$H20),"■",""))</f>
        <v/>
      </c>
      <c r="J21" s="24" t="str">
        <f aca="false">IF($A21="","",IF(AND(J$2&gt;=09_ガント元データ!$G20,J$2&lt;=09_ガント元データ!$H20),"■",""))</f>
        <v/>
      </c>
      <c r="K21" s="24" t="str">
        <f aca="false">IF($A21="","",IF(AND(K$2&gt;=09_ガント元データ!$G20,K$2&lt;=09_ガント元データ!$H20),"■",""))</f>
        <v/>
      </c>
      <c r="L21" s="24" t="str">
        <f aca="false">IF($A21="","",IF(AND(L$2&gt;=09_ガント元データ!$G20,L$2&lt;=09_ガント元データ!$H20),"■",""))</f>
        <v/>
      </c>
      <c r="M21" s="24" t="str">
        <f aca="false">IF($A21="","",IF(AND(M$2&gt;=09_ガント元データ!$G20,M$2&lt;=09_ガント元データ!$H20),"■",""))</f>
        <v/>
      </c>
      <c r="N21" s="24" t="str">
        <f aca="false">IF($A21="","",IF(AND(N$2&gt;=09_ガント元データ!$G20,N$2&lt;=09_ガント元データ!$H20),"■",""))</f>
        <v/>
      </c>
      <c r="O21" s="24" t="str">
        <f aca="false">IF($A21="","",IF(AND(O$2&gt;=09_ガント元データ!$G20,O$2&lt;=09_ガント元データ!$H20),"■",""))</f>
        <v/>
      </c>
      <c r="P21" s="24" t="str">
        <f aca="false">IF($A21="","",IF(AND(P$2&gt;=09_ガント元データ!$G20,P$2&lt;=09_ガント元データ!$H20),"■",""))</f>
        <v/>
      </c>
      <c r="Q21" s="24" t="str">
        <f aca="false">IF($A21="","",IF(AND(Q$2&gt;=09_ガント元データ!$G20,Q$2&lt;=09_ガント元データ!$H20),"■",""))</f>
        <v/>
      </c>
      <c r="R21" s="24" t="str">
        <f aca="false">IF($A21="","",IF(AND(R$2&gt;=09_ガント元データ!$G20,R$2&lt;=09_ガント元データ!$H20),"■",""))</f>
        <v/>
      </c>
      <c r="S21" s="24" t="str">
        <f aca="false">IF($A21="","",IF(AND(S$2&gt;=09_ガント元データ!$G20,S$2&lt;=09_ガント元データ!$H20),"■",""))</f>
        <v/>
      </c>
      <c r="T21" s="24" t="str">
        <f aca="false">IF($A21="","",IF(AND(T$2&gt;=09_ガント元データ!$G20,T$2&lt;=09_ガント元データ!$H20),"■",""))</f>
        <v/>
      </c>
      <c r="U21" s="24" t="str">
        <f aca="false">IF($A21="","",IF(AND(U$2&gt;=09_ガント元データ!$G20,U$2&lt;=09_ガント元データ!$H20),"■",""))</f>
        <v/>
      </c>
      <c r="V21" s="24" t="str">
        <f aca="false">IF($A21="","",IF(AND(V$2&gt;=09_ガント元データ!$G20,V$2&lt;=09_ガント元データ!$H20),"■",""))</f>
        <v/>
      </c>
      <c r="W21" s="24" t="str">
        <f aca="false">IF($A21="","",IF(AND(W$2&gt;=09_ガント元データ!$G20,W$2&lt;=09_ガント元データ!$H20),"■",""))</f>
        <v/>
      </c>
      <c r="X21" s="24" t="str">
        <f aca="false">IF($A21="","",IF(AND(X$2&gt;=09_ガント元データ!$G20,X$2&lt;=09_ガント元データ!$H20),"■",""))</f>
        <v/>
      </c>
      <c r="Y21" s="24" t="str">
        <f aca="false">IF($A21="","",IF(AND(Y$2&gt;=09_ガント元データ!$G20,Y$2&lt;=09_ガント元データ!$H20),"■",""))</f>
        <v/>
      </c>
      <c r="Z21" s="24" t="str">
        <f aca="false">IF($A21="","",IF(AND(Z$2&gt;=09_ガント元データ!$G20,Z$2&lt;=09_ガント元データ!$H20),"■",""))</f>
        <v/>
      </c>
      <c r="AA21" s="24" t="str">
        <f aca="false">IF($A21="","",IF(AND(AA$2&gt;=09_ガント元データ!$G20,AA$2&lt;=09_ガント元データ!$H20),"■",""))</f>
        <v/>
      </c>
      <c r="AB21" s="24" t="str">
        <f aca="false">IF($A21="","",IF(AND(AB$2&gt;=09_ガント元データ!$G20,AB$2&lt;=09_ガント元データ!$H20),"■",""))</f>
        <v/>
      </c>
      <c r="AC21" s="24" t="str">
        <f aca="false">IF($A21="","",IF(AND(AC$2&gt;=09_ガント元データ!$G20,AC$2&lt;=09_ガント元データ!$H20),"■",""))</f>
        <v/>
      </c>
      <c r="AD21" s="24" t="str">
        <f aca="false">IF($A21="","",IF(AND(AD$2&gt;=09_ガント元データ!$G20,AD$2&lt;=09_ガント元データ!$H20),"■",""))</f>
        <v/>
      </c>
      <c r="AE21" s="24" t="str">
        <f aca="false">IF($A21="","",IF(AND(AE$2&gt;=09_ガント元データ!$G20,AE$2&lt;=09_ガント元データ!$H20),"■",""))</f>
        <v/>
      </c>
      <c r="AF21" s="24" t="str">
        <f aca="false">IF($A21="","",IF(AND(AF$2&gt;=09_ガント元データ!$G20,AF$2&lt;=09_ガント元データ!$H20),"■",""))</f>
        <v/>
      </c>
      <c r="AG21" s="24" t="str">
        <f aca="false">IF($A21="","",IF(AND(AG$2&gt;=09_ガント元データ!$G20,AG$2&lt;=09_ガント元データ!$H20),"■",""))</f>
        <v/>
      </c>
      <c r="AH21" s="24" t="str">
        <f aca="false">IF($A21="","",IF(AND(AH$2&gt;=09_ガント元データ!$G20,AH$2&lt;=09_ガント元データ!$H20),"■",""))</f>
        <v/>
      </c>
      <c r="AI21" s="24" t="str">
        <f aca="false">IF($A21="","",IF(AND(AI$2&gt;=09_ガント元データ!$G20,AI$2&lt;=09_ガント元データ!$H20),"■",""))</f>
        <v/>
      </c>
      <c r="AJ21" s="24" t="str">
        <f aca="false">IF($A21="","",IF(AND(AJ$2&gt;=09_ガント元データ!$G20,AJ$2&lt;=09_ガント元データ!$H20),"■",""))</f>
        <v/>
      </c>
      <c r="AK21" s="24" t="str">
        <f aca="false">IF($A21="","",IF(AND(AK$2&gt;=09_ガント元データ!$G20,AK$2&lt;=09_ガント元データ!$H20),"■",""))</f>
        <v/>
      </c>
      <c r="AL21" s="24" t="str">
        <f aca="false">IF($A21="","",IF(AND(AL$2&gt;=09_ガント元データ!$G20,AL$2&lt;=09_ガント元データ!$H20),"■",""))</f>
        <v/>
      </c>
      <c r="AM21" s="24" t="str">
        <f aca="false">IF($A21="","",IF(AND(AM$2&gt;=09_ガント元データ!$G20,AM$2&lt;=09_ガント元データ!$H20),"■",""))</f>
        <v/>
      </c>
    </row>
    <row r="22" customFormat="false" ht="15" hidden="false" customHeight="false" outlineLevel="0" collapsed="false">
      <c r="A22" s="22" t="str">
        <f aca="false">09_ガント元データ!A21</f>
        <v/>
      </c>
      <c r="B22" s="22" t="str">
        <f aca="false">09_ガント元データ!B21</f>
        <v/>
      </c>
      <c r="C22" s="23" t="str">
        <f aca="false">09_ガント元データ!C21</f>
        <v/>
      </c>
      <c r="D22" s="24" t="str">
        <f aca="false">IF($A22="","",IF(AND(D$2&gt;=09_ガント元データ!$G21,D$2&lt;=09_ガント元データ!$H21),"■",""))</f>
        <v/>
      </c>
      <c r="E22" s="24" t="str">
        <f aca="false">IF($A22="","",IF(AND(E$2&gt;=09_ガント元データ!$G21,E$2&lt;=09_ガント元データ!$H21),"■",""))</f>
        <v/>
      </c>
      <c r="F22" s="24" t="str">
        <f aca="false">IF($A22="","",IF(AND(F$2&gt;=09_ガント元データ!$G21,F$2&lt;=09_ガント元データ!$H21),"■",""))</f>
        <v/>
      </c>
      <c r="G22" s="24" t="str">
        <f aca="false">IF($A22="","",IF(AND(G$2&gt;=09_ガント元データ!$G21,G$2&lt;=09_ガント元データ!$H21),"■",""))</f>
        <v/>
      </c>
      <c r="H22" s="24" t="str">
        <f aca="false">IF($A22="","",IF(AND(H$2&gt;=09_ガント元データ!$G21,H$2&lt;=09_ガント元データ!$H21),"■",""))</f>
        <v/>
      </c>
      <c r="I22" s="24" t="str">
        <f aca="false">IF($A22="","",IF(AND(I$2&gt;=09_ガント元データ!$G21,I$2&lt;=09_ガント元データ!$H21),"■",""))</f>
        <v/>
      </c>
      <c r="J22" s="24" t="str">
        <f aca="false">IF($A22="","",IF(AND(J$2&gt;=09_ガント元データ!$G21,J$2&lt;=09_ガント元データ!$H21),"■",""))</f>
        <v/>
      </c>
      <c r="K22" s="24" t="str">
        <f aca="false">IF($A22="","",IF(AND(K$2&gt;=09_ガント元データ!$G21,K$2&lt;=09_ガント元データ!$H21),"■",""))</f>
        <v/>
      </c>
      <c r="L22" s="24" t="str">
        <f aca="false">IF($A22="","",IF(AND(L$2&gt;=09_ガント元データ!$G21,L$2&lt;=09_ガント元データ!$H21),"■",""))</f>
        <v/>
      </c>
      <c r="M22" s="24" t="str">
        <f aca="false">IF($A22="","",IF(AND(M$2&gt;=09_ガント元データ!$G21,M$2&lt;=09_ガント元データ!$H21),"■",""))</f>
        <v/>
      </c>
      <c r="N22" s="24" t="str">
        <f aca="false">IF($A22="","",IF(AND(N$2&gt;=09_ガント元データ!$G21,N$2&lt;=09_ガント元データ!$H21),"■",""))</f>
        <v/>
      </c>
      <c r="O22" s="24" t="str">
        <f aca="false">IF($A22="","",IF(AND(O$2&gt;=09_ガント元データ!$G21,O$2&lt;=09_ガント元データ!$H21),"■",""))</f>
        <v/>
      </c>
      <c r="P22" s="24" t="str">
        <f aca="false">IF($A22="","",IF(AND(P$2&gt;=09_ガント元データ!$G21,P$2&lt;=09_ガント元データ!$H21),"■",""))</f>
        <v/>
      </c>
      <c r="Q22" s="24" t="str">
        <f aca="false">IF($A22="","",IF(AND(Q$2&gt;=09_ガント元データ!$G21,Q$2&lt;=09_ガント元データ!$H21),"■",""))</f>
        <v/>
      </c>
      <c r="R22" s="24" t="str">
        <f aca="false">IF($A22="","",IF(AND(R$2&gt;=09_ガント元データ!$G21,R$2&lt;=09_ガント元データ!$H21),"■",""))</f>
        <v/>
      </c>
      <c r="S22" s="24" t="str">
        <f aca="false">IF($A22="","",IF(AND(S$2&gt;=09_ガント元データ!$G21,S$2&lt;=09_ガント元データ!$H21),"■",""))</f>
        <v/>
      </c>
      <c r="T22" s="24" t="str">
        <f aca="false">IF($A22="","",IF(AND(T$2&gt;=09_ガント元データ!$G21,T$2&lt;=09_ガント元データ!$H21),"■",""))</f>
        <v/>
      </c>
      <c r="U22" s="24" t="str">
        <f aca="false">IF($A22="","",IF(AND(U$2&gt;=09_ガント元データ!$G21,U$2&lt;=09_ガント元データ!$H21),"■",""))</f>
        <v/>
      </c>
      <c r="V22" s="24" t="str">
        <f aca="false">IF($A22="","",IF(AND(V$2&gt;=09_ガント元データ!$G21,V$2&lt;=09_ガント元データ!$H21),"■",""))</f>
        <v/>
      </c>
      <c r="W22" s="24" t="str">
        <f aca="false">IF($A22="","",IF(AND(W$2&gt;=09_ガント元データ!$G21,W$2&lt;=09_ガント元データ!$H21),"■",""))</f>
        <v/>
      </c>
      <c r="X22" s="24" t="str">
        <f aca="false">IF($A22="","",IF(AND(X$2&gt;=09_ガント元データ!$G21,X$2&lt;=09_ガント元データ!$H21),"■",""))</f>
        <v/>
      </c>
      <c r="Y22" s="24" t="str">
        <f aca="false">IF($A22="","",IF(AND(Y$2&gt;=09_ガント元データ!$G21,Y$2&lt;=09_ガント元データ!$H21),"■",""))</f>
        <v/>
      </c>
      <c r="Z22" s="24" t="str">
        <f aca="false">IF($A22="","",IF(AND(Z$2&gt;=09_ガント元データ!$G21,Z$2&lt;=09_ガント元データ!$H21),"■",""))</f>
        <v/>
      </c>
      <c r="AA22" s="24" t="str">
        <f aca="false">IF($A22="","",IF(AND(AA$2&gt;=09_ガント元データ!$G21,AA$2&lt;=09_ガント元データ!$H21),"■",""))</f>
        <v/>
      </c>
      <c r="AB22" s="24" t="str">
        <f aca="false">IF($A22="","",IF(AND(AB$2&gt;=09_ガント元データ!$G21,AB$2&lt;=09_ガント元データ!$H21),"■",""))</f>
        <v/>
      </c>
      <c r="AC22" s="24" t="str">
        <f aca="false">IF($A22="","",IF(AND(AC$2&gt;=09_ガント元データ!$G21,AC$2&lt;=09_ガント元データ!$H21),"■",""))</f>
        <v/>
      </c>
      <c r="AD22" s="24" t="str">
        <f aca="false">IF($A22="","",IF(AND(AD$2&gt;=09_ガント元データ!$G21,AD$2&lt;=09_ガント元データ!$H21),"■",""))</f>
        <v/>
      </c>
      <c r="AE22" s="24" t="str">
        <f aca="false">IF($A22="","",IF(AND(AE$2&gt;=09_ガント元データ!$G21,AE$2&lt;=09_ガント元データ!$H21),"■",""))</f>
        <v/>
      </c>
      <c r="AF22" s="24" t="str">
        <f aca="false">IF($A22="","",IF(AND(AF$2&gt;=09_ガント元データ!$G21,AF$2&lt;=09_ガント元データ!$H21),"■",""))</f>
        <v/>
      </c>
      <c r="AG22" s="24" t="str">
        <f aca="false">IF($A22="","",IF(AND(AG$2&gt;=09_ガント元データ!$G21,AG$2&lt;=09_ガント元データ!$H21),"■",""))</f>
        <v/>
      </c>
      <c r="AH22" s="24" t="str">
        <f aca="false">IF($A22="","",IF(AND(AH$2&gt;=09_ガント元データ!$G21,AH$2&lt;=09_ガント元データ!$H21),"■",""))</f>
        <v/>
      </c>
      <c r="AI22" s="24" t="str">
        <f aca="false">IF($A22="","",IF(AND(AI$2&gt;=09_ガント元データ!$G21,AI$2&lt;=09_ガント元データ!$H21),"■",""))</f>
        <v/>
      </c>
      <c r="AJ22" s="24" t="str">
        <f aca="false">IF($A22="","",IF(AND(AJ$2&gt;=09_ガント元データ!$G21,AJ$2&lt;=09_ガント元データ!$H21),"■",""))</f>
        <v/>
      </c>
      <c r="AK22" s="24" t="str">
        <f aca="false">IF($A22="","",IF(AND(AK$2&gt;=09_ガント元データ!$G21,AK$2&lt;=09_ガント元データ!$H21),"■",""))</f>
        <v/>
      </c>
      <c r="AL22" s="24" t="str">
        <f aca="false">IF($A22="","",IF(AND(AL$2&gt;=09_ガント元データ!$G21,AL$2&lt;=09_ガント元データ!$H21),"■",""))</f>
        <v/>
      </c>
      <c r="AM22" s="24" t="str">
        <f aca="false">IF($A22="","",IF(AND(AM$2&gt;=09_ガント元データ!$G21,AM$2&lt;=09_ガント元データ!$H21),"■",""))</f>
        <v/>
      </c>
    </row>
    <row r="23" customFormat="false" ht="15" hidden="false" customHeight="false" outlineLevel="0" collapsed="false">
      <c r="A23" s="22" t="str">
        <f aca="false">09_ガント元データ!A22</f>
        <v/>
      </c>
      <c r="B23" s="22" t="str">
        <f aca="false">09_ガント元データ!B22</f>
        <v/>
      </c>
      <c r="C23" s="23" t="str">
        <f aca="false">09_ガント元データ!C22</f>
        <v/>
      </c>
      <c r="D23" s="24" t="str">
        <f aca="false">IF($A23="","",IF(AND(D$2&gt;=09_ガント元データ!$G22,D$2&lt;=09_ガント元データ!$H22),"■",""))</f>
        <v/>
      </c>
      <c r="E23" s="24" t="str">
        <f aca="false">IF($A23="","",IF(AND(E$2&gt;=09_ガント元データ!$G22,E$2&lt;=09_ガント元データ!$H22),"■",""))</f>
        <v/>
      </c>
      <c r="F23" s="24" t="str">
        <f aca="false">IF($A23="","",IF(AND(F$2&gt;=09_ガント元データ!$G22,F$2&lt;=09_ガント元データ!$H22),"■",""))</f>
        <v/>
      </c>
      <c r="G23" s="24" t="str">
        <f aca="false">IF($A23="","",IF(AND(G$2&gt;=09_ガント元データ!$G22,G$2&lt;=09_ガント元データ!$H22),"■",""))</f>
        <v/>
      </c>
      <c r="H23" s="24" t="str">
        <f aca="false">IF($A23="","",IF(AND(H$2&gt;=09_ガント元データ!$G22,H$2&lt;=09_ガント元データ!$H22),"■",""))</f>
        <v/>
      </c>
      <c r="I23" s="24" t="str">
        <f aca="false">IF($A23="","",IF(AND(I$2&gt;=09_ガント元データ!$G22,I$2&lt;=09_ガント元データ!$H22),"■",""))</f>
        <v/>
      </c>
      <c r="J23" s="24" t="str">
        <f aca="false">IF($A23="","",IF(AND(J$2&gt;=09_ガント元データ!$G22,J$2&lt;=09_ガント元データ!$H22),"■",""))</f>
        <v/>
      </c>
      <c r="K23" s="24" t="str">
        <f aca="false">IF($A23="","",IF(AND(K$2&gt;=09_ガント元データ!$G22,K$2&lt;=09_ガント元データ!$H22),"■",""))</f>
        <v/>
      </c>
      <c r="L23" s="24" t="str">
        <f aca="false">IF($A23="","",IF(AND(L$2&gt;=09_ガント元データ!$G22,L$2&lt;=09_ガント元データ!$H22),"■",""))</f>
        <v/>
      </c>
      <c r="M23" s="24" t="str">
        <f aca="false">IF($A23="","",IF(AND(M$2&gt;=09_ガント元データ!$G22,M$2&lt;=09_ガント元データ!$H22),"■",""))</f>
        <v/>
      </c>
      <c r="N23" s="24" t="str">
        <f aca="false">IF($A23="","",IF(AND(N$2&gt;=09_ガント元データ!$G22,N$2&lt;=09_ガント元データ!$H22),"■",""))</f>
        <v/>
      </c>
      <c r="O23" s="24" t="str">
        <f aca="false">IF($A23="","",IF(AND(O$2&gt;=09_ガント元データ!$G22,O$2&lt;=09_ガント元データ!$H22),"■",""))</f>
        <v/>
      </c>
      <c r="P23" s="24" t="str">
        <f aca="false">IF($A23="","",IF(AND(P$2&gt;=09_ガント元データ!$G22,P$2&lt;=09_ガント元データ!$H22),"■",""))</f>
        <v/>
      </c>
      <c r="Q23" s="24" t="str">
        <f aca="false">IF($A23="","",IF(AND(Q$2&gt;=09_ガント元データ!$G22,Q$2&lt;=09_ガント元データ!$H22),"■",""))</f>
        <v/>
      </c>
      <c r="R23" s="24" t="str">
        <f aca="false">IF($A23="","",IF(AND(R$2&gt;=09_ガント元データ!$G22,R$2&lt;=09_ガント元データ!$H22),"■",""))</f>
        <v/>
      </c>
      <c r="S23" s="24" t="str">
        <f aca="false">IF($A23="","",IF(AND(S$2&gt;=09_ガント元データ!$G22,S$2&lt;=09_ガント元データ!$H22),"■",""))</f>
        <v/>
      </c>
      <c r="T23" s="24" t="str">
        <f aca="false">IF($A23="","",IF(AND(T$2&gt;=09_ガント元データ!$G22,T$2&lt;=09_ガント元データ!$H22),"■",""))</f>
        <v/>
      </c>
      <c r="U23" s="24" t="str">
        <f aca="false">IF($A23="","",IF(AND(U$2&gt;=09_ガント元データ!$G22,U$2&lt;=09_ガント元データ!$H22),"■",""))</f>
        <v/>
      </c>
      <c r="V23" s="24" t="str">
        <f aca="false">IF($A23="","",IF(AND(V$2&gt;=09_ガント元データ!$G22,V$2&lt;=09_ガント元データ!$H22),"■",""))</f>
        <v/>
      </c>
      <c r="W23" s="24" t="str">
        <f aca="false">IF($A23="","",IF(AND(W$2&gt;=09_ガント元データ!$G22,W$2&lt;=09_ガント元データ!$H22),"■",""))</f>
        <v/>
      </c>
      <c r="X23" s="24" t="str">
        <f aca="false">IF($A23="","",IF(AND(X$2&gt;=09_ガント元データ!$G22,X$2&lt;=09_ガント元データ!$H22),"■",""))</f>
        <v/>
      </c>
      <c r="Y23" s="24" t="str">
        <f aca="false">IF($A23="","",IF(AND(Y$2&gt;=09_ガント元データ!$G22,Y$2&lt;=09_ガント元データ!$H22),"■",""))</f>
        <v/>
      </c>
      <c r="Z23" s="24" t="str">
        <f aca="false">IF($A23="","",IF(AND(Z$2&gt;=09_ガント元データ!$G22,Z$2&lt;=09_ガント元データ!$H22),"■",""))</f>
        <v/>
      </c>
      <c r="AA23" s="24" t="str">
        <f aca="false">IF($A23="","",IF(AND(AA$2&gt;=09_ガント元データ!$G22,AA$2&lt;=09_ガント元データ!$H22),"■",""))</f>
        <v/>
      </c>
      <c r="AB23" s="24" t="str">
        <f aca="false">IF($A23="","",IF(AND(AB$2&gt;=09_ガント元データ!$G22,AB$2&lt;=09_ガント元データ!$H22),"■",""))</f>
        <v/>
      </c>
      <c r="AC23" s="24" t="str">
        <f aca="false">IF($A23="","",IF(AND(AC$2&gt;=09_ガント元データ!$G22,AC$2&lt;=09_ガント元データ!$H22),"■",""))</f>
        <v/>
      </c>
      <c r="AD23" s="24" t="str">
        <f aca="false">IF($A23="","",IF(AND(AD$2&gt;=09_ガント元データ!$G22,AD$2&lt;=09_ガント元データ!$H22),"■",""))</f>
        <v/>
      </c>
      <c r="AE23" s="24" t="str">
        <f aca="false">IF($A23="","",IF(AND(AE$2&gt;=09_ガント元データ!$G22,AE$2&lt;=09_ガント元データ!$H22),"■",""))</f>
        <v/>
      </c>
      <c r="AF23" s="24" t="str">
        <f aca="false">IF($A23="","",IF(AND(AF$2&gt;=09_ガント元データ!$G22,AF$2&lt;=09_ガント元データ!$H22),"■",""))</f>
        <v/>
      </c>
      <c r="AG23" s="24" t="str">
        <f aca="false">IF($A23="","",IF(AND(AG$2&gt;=09_ガント元データ!$G22,AG$2&lt;=09_ガント元データ!$H22),"■",""))</f>
        <v/>
      </c>
      <c r="AH23" s="24" t="str">
        <f aca="false">IF($A23="","",IF(AND(AH$2&gt;=09_ガント元データ!$G22,AH$2&lt;=09_ガント元データ!$H22),"■",""))</f>
        <v/>
      </c>
      <c r="AI23" s="24" t="str">
        <f aca="false">IF($A23="","",IF(AND(AI$2&gt;=09_ガント元データ!$G22,AI$2&lt;=09_ガント元データ!$H22),"■",""))</f>
        <v/>
      </c>
      <c r="AJ23" s="24" t="str">
        <f aca="false">IF($A23="","",IF(AND(AJ$2&gt;=09_ガント元データ!$G22,AJ$2&lt;=09_ガント元データ!$H22),"■",""))</f>
        <v/>
      </c>
      <c r="AK23" s="24" t="str">
        <f aca="false">IF($A23="","",IF(AND(AK$2&gt;=09_ガント元データ!$G22,AK$2&lt;=09_ガント元データ!$H22),"■",""))</f>
        <v/>
      </c>
      <c r="AL23" s="24" t="str">
        <f aca="false">IF($A23="","",IF(AND(AL$2&gt;=09_ガント元データ!$G22,AL$2&lt;=09_ガント元データ!$H22),"■",""))</f>
        <v/>
      </c>
      <c r="AM23" s="24" t="str">
        <f aca="false">IF($A23="","",IF(AND(AM$2&gt;=09_ガント元データ!$G22,AM$2&lt;=09_ガント元データ!$H22),"■",""))</f>
        <v/>
      </c>
    </row>
    <row r="24" customFormat="false" ht="15" hidden="false" customHeight="false" outlineLevel="0" collapsed="false">
      <c r="A24" s="22" t="str">
        <f aca="false">09_ガント元データ!A23</f>
        <v/>
      </c>
      <c r="B24" s="22" t="str">
        <f aca="false">09_ガント元データ!B23</f>
        <v/>
      </c>
      <c r="C24" s="23" t="str">
        <f aca="false">09_ガント元データ!C23</f>
        <v/>
      </c>
      <c r="D24" s="24" t="str">
        <f aca="false">IF($A24="","",IF(AND(D$2&gt;=09_ガント元データ!$G23,D$2&lt;=09_ガント元データ!$H23),"■",""))</f>
        <v/>
      </c>
      <c r="E24" s="24" t="str">
        <f aca="false">IF($A24="","",IF(AND(E$2&gt;=09_ガント元データ!$G23,E$2&lt;=09_ガント元データ!$H23),"■",""))</f>
        <v/>
      </c>
      <c r="F24" s="24" t="str">
        <f aca="false">IF($A24="","",IF(AND(F$2&gt;=09_ガント元データ!$G23,F$2&lt;=09_ガント元データ!$H23),"■",""))</f>
        <v/>
      </c>
      <c r="G24" s="24" t="str">
        <f aca="false">IF($A24="","",IF(AND(G$2&gt;=09_ガント元データ!$G23,G$2&lt;=09_ガント元データ!$H23),"■",""))</f>
        <v/>
      </c>
      <c r="H24" s="24" t="str">
        <f aca="false">IF($A24="","",IF(AND(H$2&gt;=09_ガント元データ!$G23,H$2&lt;=09_ガント元データ!$H23),"■",""))</f>
        <v/>
      </c>
      <c r="I24" s="24" t="str">
        <f aca="false">IF($A24="","",IF(AND(I$2&gt;=09_ガント元データ!$G23,I$2&lt;=09_ガント元データ!$H23),"■",""))</f>
        <v/>
      </c>
      <c r="J24" s="24" t="str">
        <f aca="false">IF($A24="","",IF(AND(J$2&gt;=09_ガント元データ!$G23,J$2&lt;=09_ガント元データ!$H23),"■",""))</f>
        <v/>
      </c>
      <c r="K24" s="24" t="str">
        <f aca="false">IF($A24="","",IF(AND(K$2&gt;=09_ガント元データ!$G23,K$2&lt;=09_ガント元データ!$H23),"■",""))</f>
        <v/>
      </c>
      <c r="L24" s="24" t="str">
        <f aca="false">IF($A24="","",IF(AND(L$2&gt;=09_ガント元データ!$G23,L$2&lt;=09_ガント元データ!$H23),"■",""))</f>
        <v/>
      </c>
      <c r="M24" s="24" t="str">
        <f aca="false">IF($A24="","",IF(AND(M$2&gt;=09_ガント元データ!$G23,M$2&lt;=09_ガント元データ!$H23),"■",""))</f>
        <v/>
      </c>
      <c r="N24" s="24" t="str">
        <f aca="false">IF($A24="","",IF(AND(N$2&gt;=09_ガント元データ!$G23,N$2&lt;=09_ガント元データ!$H23),"■",""))</f>
        <v/>
      </c>
      <c r="O24" s="24" t="str">
        <f aca="false">IF($A24="","",IF(AND(O$2&gt;=09_ガント元データ!$G23,O$2&lt;=09_ガント元データ!$H23),"■",""))</f>
        <v/>
      </c>
      <c r="P24" s="24" t="str">
        <f aca="false">IF($A24="","",IF(AND(P$2&gt;=09_ガント元データ!$G23,P$2&lt;=09_ガント元データ!$H23),"■",""))</f>
        <v/>
      </c>
      <c r="Q24" s="24" t="str">
        <f aca="false">IF($A24="","",IF(AND(Q$2&gt;=09_ガント元データ!$G23,Q$2&lt;=09_ガント元データ!$H23),"■",""))</f>
        <v/>
      </c>
      <c r="R24" s="24" t="str">
        <f aca="false">IF($A24="","",IF(AND(R$2&gt;=09_ガント元データ!$G23,R$2&lt;=09_ガント元データ!$H23),"■",""))</f>
        <v/>
      </c>
      <c r="S24" s="24" t="str">
        <f aca="false">IF($A24="","",IF(AND(S$2&gt;=09_ガント元データ!$G23,S$2&lt;=09_ガント元データ!$H23),"■",""))</f>
        <v/>
      </c>
      <c r="T24" s="24" t="str">
        <f aca="false">IF($A24="","",IF(AND(T$2&gt;=09_ガント元データ!$G23,T$2&lt;=09_ガント元データ!$H23),"■",""))</f>
        <v/>
      </c>
      <c r="U24" s="24" t="str">
        <f aca="false">IF($A24="","",IF(AND(U$2&gt;=09_ガント元データ!$G23,U$2&lt;=09_ガント元データ!$H23),"■",""))</f>
        <v/>
      </c>
      <c r="V24" s="24" t="str">
        <f aca="false">IF($A24="","",IF(AND(V$2&gt;=09_ガント元データ!$G23,V$2&lt;=09_ガント元データ!$H23),"■",""))</f>
        <v/>
      </c>
      <c r="W24" s="24" t="str">
        <f aca="false">IF($A24="","",IF(AND(W$2&gt;=09_ガント元データ!$G23,W$2&lt;=09_ガント元データ!$H23),"■",""))</f>
        <v/>
      </c>
      <c r="X24" s="24" t="str">
        <f aca="false">IF($A24="","",IF(AND(X$2&gt;=09_ガント元データ!$G23,X$2&lt;=09_ガント元データ!$H23),"■",""))</f>
        <v/>
      </c>
      <c r="Y24" s="24" t="str">
        <f aca="false">IF($A24="","",IF(AND(Y$2&gt;=09_ガント元データ!$G23,Y$2&lt;=09_ガント元データ!$H23),"■",""))</f>
        <v/>
      </c>
      <c r="Z24" s="24" t="str">
        <f aca="false">IF($A24="","",IF(AND(Z$2&gt;=09_ガント元データ!$G23,Z$2&lt;=09_ガント元データ!$H23),"■",""))</f>
        <v/>
      </c>
      <c r="AA24" s="24" t="str">
        <f aca="false">IF($A24="","",IF(AND(AA$2&gt;=09_ガント元データ!$G23,AA$2&lt;=09_ガント元データ!$H23),"■",""))</f>
        <v/>
      </c>
      <c r="AB24" s="24" t="str">
        <f aca="false">IF($A24="","",IF(AND(AB$2&gt;=09_ガント元データ!$G23,AB$2&lt;=09_ガント元データ!$H23),"■",""))</f>
        <v/>
      </c>
      <c r="AC24" s="24" t="str">
        <f aca="false">IF($A24="","",IF(AND(AC$2&gt;=09_ガント元データ!$G23,AC$2&lt;=09_ガント元データ!$H23),"■",""))</f>
        <v/>
      </c>
      <c r="AD24" s="24" t="str">
        <f aca="false">IF($A24="","",IF(AND(AD$2&gt;=09_ガント元データ!$G23,AD$2&lt;=09_ガント元データ!$H23),"■",""))</f>
        <v/>
      </c>
      <c r="AE24" s="24" t="str">
        <f aca="false">IF($A24="","",IF(AND(AE$2&gt;=09_ガント元データ!$G23,AE$2&lt;=09_ガント元データ!$H23),"■",""))</f>
        <v/>
      </c>
      <c r="AF24" s="24" t="str">
        <f aca="false">IF($A24="","",IF(AND(AF$2&gt;=09_ガント元データ!$G23,AF$2&lt;=09_ガント元データ!$H23),"■",""))</f>
        <v/>
      </c>
      <c r="AG24" s="24" t="str">
        <f aca="false">IF($A24="","",IF(AND(AG$2&gt;=09_ガント元データ!$G23,AG$2&lt;=09_ガント元データ!$H23),"■",""))</f>
        <v/>
      </c>
      <c r="AH24" s="24" t="str">
        <f aca="false">IF($A24="","",IF(AND(AH$2&gt;=09_ガント元データ!$G23,AH$2&lt;=09_ガント元データ!$H23),"■",""))</f>
        <v/>
      </c>
      <c r="AI24" s="24" t="str">
        <f aca="false">IF($A24="","",IF(AND(AI$2&gt;=09_ガント元データ!$G23,AI$2&lt;=09_ガント元データ!$H23),"■",""))</f>
        <v/>
      </c>
      <c r="AJ24" s="24" t="str">
        <f aca="false">IF($A24="","",IF(AND(AJ$2&gt;=09_ガント元データ!$G23,AJ$2&lt;=09_ガント元データ!$H23),"■",""))</f>
        <v/>
      </c>
      <c r="AK24" s="24" t="str">
        <f aca="false">IF($A24="","",IF(AND(AK$2&gt;=09_ガント元データ!$G23,AK$2&lt;=09_ガント元データ!$H23),"■",""))</f>
        <v/>
      </c>
      <c r="AL24" s="24" t="str">
        <f aca="false">IF($A24="","",IF(AND(AL$2&gt;=09_ガント元データ!$G23,AL$2&lt;=09_ガント元データ!$H23),"■",""))</f>
        <v/>
      </c>
      <c r="AM24" s="24" t="str">
        <f aca="false">IF($A24="","",IF(AND(AM$2&gt;=09_ガント元データ!$G23,AM$2&lt;=09_ガント元データ!$H23),"■",""))</f>
        <v/>
      </c>
    </row>
    <row r="25" customFormat="false" ht="15" hidden="false" customHeight="false" outlineLevel="0" collapsed="false">
      <c r="A25" s="22" t="str">
        <f aca="false">09_ガント元データ!A24</f>
        <v/>
      </c>
      <c r="B25" s="22" t="str">
        <f aca="false">09_ガント元データ!B24</f>
        <v/>
      </c>
      <c r="C25" s="23" t="str">
        <f aca="false">09_ガント元データ!C24</f>
        <v/>
      </c>
      <c r="D25" s="24" t="str">
        <f aca="false">IF($A25="","",IF(AND(D$2&gt;=09_ガント元データ!$G24,D$2&lt;=09_ガント元データ!$H24),"■",""))</f>
        <v/>
      </c>
      <c r="E25" s="24" t="str">
        <f aca="false">IF($A25="","",IF(AND(E$2&gt;=09_ガント元データ!$G24,E$2&lt;=09_ガント元データ!$H24),"■",""))</f>
        <v/>
      </c>
      <c r="F25" s="24" t="str">
        <f aca="false">IF($A25="","",IF(AND(F$2&gt;=09_ガント元データ!$G24,F$2&lt;=09_ガント元データ!$H24),"■",""))</f>
        <v/>
      </c>
      <c r="G25" s="24" t="str">
        <f aca="false">IF($A25="","",IF(AND(G$2&gt;=09_ガント元データ!$G24,G$2&lt;=09_ガント元データ!$H24),"■",""))</f>
        <v/>
      </c>
      <c r="H25" s="24" t="str">
        <f aca="false">IF($A25="","",IF(AND(H$2&gt;=09_ガント元データ!$G24,H$2&lt;=09_ガント元データ!$H24),"■",""))</f>
        <v/>
      </c>
      <c r="I25" s="24" t="str">
        <f aca="false">IF($A25="","",IF(AND(I$2&gt;=09_ガント元データ!$G24,I$2&lt;=09_ガント元データ!$H24),"■",""))</f>
        <v/>
      </c>
      <c r="J25" s="24" t="str">
        <f aca="false">IF($A25="","",IF(AND(J$2&gt;=09_ガント元データ!$G24,J$2&lt;=09_ガント元データ!$H24),"■",""))</f>
        <v/>
      </c>
      <c r="K25" s="24" t="str">
        <f aca="false">IF($A25="","",IF(AND(K$2&gt;=09_ガント元データ!$G24,K$2&lt;=09_ガント元データ!$H24),"■",""))</f>
        <v/>
      </c>
      <c r="L25" s="24" t="str">
        <f aca="false">IF($A25="","",IF(AND(L$2&gt;=09_ガント元データ!$G24,L$2&lt;=09_ガント元データ!$H24),"■",""))</f>
        <v/>
      </c>
      <c r="M25" s="24" t="str">
        <f aca="false">IF($A25="","",IF(AND(M$2&gt;=09_ガント元データ!$G24,M$2&lt;=09_ガント元データ!$H24),"■",""))</f>
        <v/>
      </c>
      <c r="N25" s="24" t="str">
        <f aca="false">IF($A25="","",IF(AND(N$2&gt;=09_ガント元データ!$G24,N$2&lt;=09_ガント元データ!$H24),"■",""))</f>
        <v/>
      </c>
      <c r="O25" s="24" t="str">
        <f aca="false">IF($A25="","",IF(AND(O$2&gt;=09_ガント元データ!$G24,O$2&lt;=09_ガント元データ!$H24),"■",""))</f>
        <v/>
      </c>
      <c r="P25" s="24" t="str">
        <f aca="false">IF($A25="","",IF(AND(P$2&gt;=09_ガント元データ!$G24,P$2&lt;=09_ガント元データ!$H24),"■",""))</f>
        <v/>
      </c>
      <c r="Q25" s="24" t="str">
        <f aca="false">IF($A25="","",IF(AND(Q$2&gt;=09_ガント元データ!$G24,Q$2&lt;=09_ガント元データ!$H24),"■",""))</f>
        <v/>
      </c>
      <c r="R25" s="24" t="str">
        <f aca="false">IF($A25="","",IF(AND(R$2&gt;=09_ガント元データ!$G24,R$2&lt;=09_ガント元データ!$H24),"■",""))</f>
        <v/>
      </c>
      <c r="S25" s="24" t="str">
        <f aca="false">IF($A25="","",IF(AND(S$2&gt;=09_ガント元データ!$G24,S$2&lt;=09_ガント元データ!$H24),"■",""))</f>
        <v/>
      </c>
      <c r="T25" s="24" t="str">
        <f aca="false">IF($A25="","",IF(AND(T$2&gt;=09_ガント元データ!$G24,T$2&lt;=09_ガント元データ!$H24),"■",""))</f>
        <v/>
      </c>
      <c r="U25" s="24" t="str">
        <f aca="false">IF($A25="","",IF(AND(U$2&gt;=09_ガント元データ!$G24,U$2&lt;=09_ガント元データ!$H24),"■",""))</f>
        <v/>
      </c>
      <c r="V25" s="24" t="str">
        <f aca="false">IF($A25="","",IF(AND(V$2&gt;=09_ガント元データ!$G24,V$2&lt;=09_ガント元データ!$H24),"■",""))</f>
        <v/>
      </c>
      <c r="W25" s="24" t="str">
        <f aca="false">IF($A25="","",IF(AND(W$2&gt;=09_ガント元データ!$G24,W$2&lt;=09_ガント元データ!$H24),"■",""))</f>
        <v/>
      </c>
      <c r="X25" s="24" t="str">
        <f aca="false">IF($A25="","",IF(AND(X$2&gt;=09_ガント元データ!$G24,X$2&lt;=09_ガント元データ!$H24),"■",""))</f>
        <v/>
      </c>
      <c r="Y25" s="24" t="str">
        <f aca="false">IF($A25="","",IF(AND(Y$2&gt;=09_ガント元データ!$G24,Y$2&lt;=09_ガント元データ!$H24),"■",""))</f>
        <v/>
      </c>
      <c r="Z25" s="24" t="str">
        <f aca="false">IF($A25="","",IF(AND(Z$2&gt;=09_ガント元データ!$G24,Z$2&lt;=09_ガント元データ!$H24),"■",""))</f>
        <v/>
      </c>
      <c r="AA25" s="24" t="str">
        <f aca="false">IF($A25="","",IF(AND(AA$2&gt;=09_ガント元データ!$G24,AA$2&lt;=09_ガント元データ!$H24),"■",""))</f>
        <v/>
      </c>
      <c r="AB25" s="24" t="str">
        <f aca="false">IF($A25="","",IF(AND(AB$2&gt;=09_ガント元データ!$G24,AB$2&lt;=09_ガント元データ!$H24),"■",""))</f>
        <v/>
      </c>
      <c r="AC25" s="24" t="str">
        <f aca="false">IF($A25="","",IF(AND(AC$2&gt;=09_ガント元データ!$G24,AC$2&lt;=09_ガント元データ!$H24),"■",""))</f>
        <v/>
      </c>
      <c r="AD25" s="24" t="str">
        <f aca="false">IF($A25="","",IF(AND(AD$2&gt;=09_ガント元データ!$G24,AD$2&lt;=09_ガント元データ!$H24),"■",""))</f>
        <v/>
      </c>
      <c r="AE25" s="24" t="str">
        <f aca="false">IF($A25="","",IF(AND(AE$2&gt;=09_ガント元データ!$G24,AE$2&lt;=09_ガント元データ!$H24),"■",""))</f>
        <v/>
      </c>
      <c r="AF25" s="24" t="str">
        <f aca="false">IF($A25="","",IF(AND(AF$2&gt;=09_ガント元データ!$G24,AF$2&lt;=09_ガント元データ!$H24),"■",""))</f>
        <v/>
      </c>
      <c r="AG25" s="24" t="str">
        <f aca="false">IF($A25="","",IF(AND(AG$2&gt;=09_ガント元データ!$G24,AG$2&lt;=09_ガント元データ!$H24),"■",""))</f>
        <v/>
      </c>
      <c r="AH25" s="24" t="str">
        <f aca="false">IF($A25="","",IF(AND(AH$2&gt;=09_ガント元データ!$G24,AH$2&lt;=09_ガント元データ!$H24),"■",""))</f>
        <v/>
      </c>
      <c r="AI25" s="24" t="str">
        <f aca="false">IF($A25="","",IF(AND(AI$2&gt;=09_ガント元データ!$G24,AI$2&lt;=09_ガント元データ!$H24),"■",""))</f>
        <v/>
      </c>
      <c r="AJ25" s="24" t="str">
        <f aca="false">IF($A25="","",IF(AND(AJ$2&gt;=09_ガント元データ!$G24,AJ$2&lt;=09_ガント元データ!$H24),"■",""))</f>
        <v/>
      </c>
      <c r="AK25" s="24" t="str">
        <f aca="false">IF($A25="","",IF(AND(AK$2&gt;=09_ガント元データ!$G24,AK$2&lt;=09_ガント元データ!$H24),"■",""))</f>
        <v/>
      </c>
      <c r="AL25" s="24" t="str">
        <f aca="false">IF($A25="","",IF(AND(AL$2&gt;=09_ガント元データ!$G24,AL$2&lt;=09_ガント元データ!$H24),"■",""))</f>
        <v/>
      </c>
      <c r="AM25" s="24" t="str">
        <f aca="false">IF($A25="","",IF(AND(AM$2&gt;=09_ガント元データ!$G24,AM$2&lt;=09_ガント元データ!$H24),"■",""))</f>
        <v/>
      </c>
    </row>
    <row r="26" customFormat="false" ht="15" hidden="false" customHeight="false" outlineLevel="0" collapsed="false">
      <c r="A26" s="22" t="str">
        <f aca="false">09_ガント元データ!A25</f>
        <v/>
      </c>
      <c r="B26" s="22" t="str">
        <f aca="false">09_ガント元データ!B25</f>
        <v/>
      </c>
      <c r="C26" s="23" t="str">
        <f aca="false">09_ガント元データ!C25</f>
        <v/>
      </c>
      <c r="D26" s="24" t="str">
        <f aca="false">IF($A26="","",IF(AND(D$2&gt;=09_ガント元データ!$G25,D$2&lt;=09_ガント元データ!$H25),"■",""))</f>
        <v/>
      </c>
      <c r="E26" s="24" t="str">
        <f aca="false">IF($A26="","",IF(AND(E$2&gt;=09_ガント元データ!$G25,E$2&lt;=09_ガント元データ!$H25),"■",""))</f>
        <v/>
      </c>
      <c r="F26" s="24" t="str">
        <f aca="false">IF($A26="","",IF(AND(F$2&gt;=09_ガント元データ!$G25,F$2&lt;=09_ガント元データ!$H25),"■",""))</f>
        <v/>
      </c>
      <c r="G26" s="24" t="str">
        <f aca="false">IF($A26="","",IF(AND(G$2&gt;=09_ガント元データ!$G25,G$2&lt;=09_ガント元データ!$H25),"■",""))</f>
        <v/>
      </c>
      <c r="H26" s="24" t="str">
        <f aca="false">IF($A26="","",IF(AND(H$2&gt;=09_ガント元データ!$G25,H$2&lt;=09_ガント元データ!$H25),"■",""))</f>
        <v/>
      </c>
      <c r="I26" s="24" t="str">
        <f aca="false">IF($A26="","",IF(AND(I$2&gt;=09_ガント元データ!$G25,I$2&lt;=09_ガント元データ!$H25),"■",""))</f>
        <v/>
      </c>
      <c r="J26" s="24" t="str">
        <f aca="false">IF($A26="","",IF(AND(J$2&gt;=09_ガント元データ!$G25,J$2&lt;=09_ガント元データ!$H25),"■",""))</f>
        <v/>
      </c>
      <c r="K26" s="24" t="str">
        <f aca="false">IF($A26="","",IF(AND(K$2&gt;=09_ガント元データ!$G25,K$2&lt;=09_ガント元データ!$H25),"■",""))</f>
        <v/>
      </c>
      <c r="L26" s="24" t="str">
        <f aca="false">IF($A26="","",IF(AND(L$2&gt;=09_ガント元データ!$G25,L$2&lt;=09_ガント元データ!$H25),"■",""))</f>
        <v/>
      </c>
      <c r="M26" s="24" t="str">
        <f aca="false">IF($A26="","",IF(AND(M$2&gt;=09_ガント元データ!$G25,M$2&lt;=09_ガント元データ!$H25),"■",""))</f>
        <v/>
      </c>
      <c r="N26" s="24" t="str">
        <f aca="false">IF($A26="","",IF(AND(N$2&gt;=09_ガント元データ!$G25,N$2&lt;=09_ガント元データ!$H25),"■",""))</f>
        <v/>
      </c>
      <c r="O26" s="24" t="str">
        <f aca="false">IF($A26="","",IF(AND(O$2&gt;=09_ガント元データ!$G25,O$2&lt;=09_ガント元データ!$H25),"■",""))</f>
        <v/>
      </c>
      <c r="P26" s="24" t="str">
        <f aca="false">IF($A26="","",IF(AND(P$2&gt;=09_ガント元データ!$G25,P$2&lt;=09_ガント元データ!$H25),"■",""))</f>
        <v/>
      </c>
      <c r="Q26" s="24" t="str">
        <f aca="false">IF($A26="","",IF(AND(Q$2&gt;=09_ガント元データ!$G25,Q$2&lt;=09_ガント元データ!$H25),"■",""))</f>
        <v/>
      </c>
      <c r="R26" s="24" t="str">
        <f aca="false">IF($A26="","",IF(AND(R$2&gt;=09_ガント元データ!$G25,R$2&lt;=09_ガント元データ!$H25),"■",""))</f>
        <v/>
      </c>
      <c r="S26" s="24" t="str">
        <f aca="false">IF($A26="","",IF(AND(S$2&gt;=09_ガント元データ!$G25,S$2&lt;=09_ガント元データ!$H25),"■",""))</f>
        <v/>
      </c>
      <c r="T26" s="24" t="str">
        <f aca="false">IF($A26="","",IF(AND(T$2&gt;=09_ガント元データ!$G25,T$2&lt;=09_ガント元データ!$H25),"■",""))</f>
        <v/>
      </c>
      <c r="U26" s="24" t="str">
        <f aca="false">IF($A26="","",IF(AND(U$2&gt;=09_ガント元データ!$G25,U$2&lt;=09_ガント元データ!$H25),"■",""))</f>
        <v/>
      </c>
      <c r="V26" s="24" t="str">
        <f aca="false">IF($A26="","",IF(AND(V$2&gt;=09_ガント元データ!$G25,V$2&lt;=09_ガント元データ!$H25),"■",""))</f>
        <v/>
      </c>
      <c r="W26" s="24" t="str">
        <f aca="false">IF($A26="","",IF(AND(W$2&gt;=09_ガント元データ!$G25,W$2&lt;=09_ガント元データ!$H25),"■",""))</f>
        <v/>
      </c>
      <c r="X26" s="24" t="str">
        <f aca="false">IF($A26="","",IF(AND(X$2&gt;=09_ガント元データ!$G25,X$2&lt;=09_ガント元データ!$H25),"■",""))</f>
        <v/>
      </c>
      <c r="Y26" s="24" t="str">
        <f aca="false">IF($A26="","",IF(AND(Y$2&gt;=09_ガント元データ!$G25,Y$2&lt;=09_ガント元データ!$H25),"■",""))</f>
        <v/>
      </c>
      <c r="Z26" s="24" t="str">
        <f aca="false">IF($A26="","",IF(AND(Z$2&gt;=09_ガント元データ!$G25,Z$2&lt;=09_ガント元データ!$H25),"■",""))</f>
        <v/>
      </c>
      <c r="AA26" s="24" t="str">
        <f aca="false">IF($A26="","",IF(AND(AA$2&gt;=09_ガント元データ!$G25,AA$2&lt;=09_ガント元データ!$H25),"■",""))</f>
        <v/>
      </c>
      <c r="AB26" s="24" t="str">
        <f aca="false">IF($A26="","",IF(AND(AB$2&gt;=09_ガント元データ!$G25,AB$2&lt;=09_ガント元データ!$H25),"■",""))</f>
        <v/>
      </c>
      <c r="AC26" s="24" t="str">
        <f aca="false">IF($A26="","",IF(AND(AC$2&gt;=09_ガント元データ!$G25,AC$2&lt;=09_ガント元データ!$H25),"■",""))</f>
        <v/>
      </c>
      <c r="AD26" s="24" t="str">
        <f aca="false">IF($A26="","",IF(AND(AD$2&gt;=09_ガント元データ!$G25,AD$2&lt;=09_ガント元データ!$H25),"■",""))</f>
        <v/>
      </c>
      <c r="AE26" s="24" t="str">
        <f aca="false">IF($A26="","",IF(AND(AE$2&gt;=09_ガント元データ!$G25,AE$2&lt;=09_ガント元データ!$H25),"■",""))</f>
        <v/>
      </c>
      <c r="AF26" s="24" t="str">
        <f aca="false">IF($A26="","",IF(AND(AF$2&gt;=09_ガント元データ!$G25,AF$2&lt;=09_ガント元データ!$H25),"■",""))</f>
        <v/>
      </c>
      <c r="AG26" s="24" t="str">
        <f aca="false">IF($A26="","",IF(AND(AG$2&gt;=09_ガント元データ!$G25,AG$2&lt;=09_ガント元データ!$H25),"■",""))</f>
        <v/>
      </c>
      <c r="AH26" s="24" t="str">
        <f aca="false">IF($A26="","",IF(AND(AH$2&gt;=09_ガント元データ!$G25,AH$2&lt;=09_ガント元データ!$H25),"■",""))</f>
        <v/>
      </c>
      <c r="AI26" s="24" t="str">
        <f aca="false">IF($A26="","",IF(AND(AI$2&gt;=09_ガント元データ!$G25,AI$2&lt;=09_ガント元データ!$H25),"■",""))</f>
        <v/>
      </c>
      <c r="AJ26" s="24" t="str">
        <f aca="false">IF($A26="","",IF(AND(AJ$2&gt;=09_ガント元データ!$G25,AJ$2&lt;=09_ガント元データ!$H25),"■",""))</f>
        <v/>
      </c>
      <c r="AK26" s="24" t="str">
        <f aca="false">IF($A26="","",IF(AND(AK$2&gt;=09_ガント元データ!$G25,AK$2&lt;=09_ガント元データ!$H25),"■",""))</f>
        <v/>
      </c>
      <c r="AL26" s="24" t="str">
        <f aca="false">IF($A26="","",IF(AND(AL$2&gt;=09_ガント元データ!$G25,AL$2&lt;=09_ガント元データ!$H25),"■",""))</f>
        <v/>
      </c>
      <c r="AM26" s="24" t="str">
        <f aca="false">IF($A26="","",IF(AND(AM$2&gt;=09_ガント元データ!$G25,AM$2&lt;=09_ガント元データ!$H25),"■",""))</f>
        <v/>
      </c>
    </row>
    <row r="27" customFormat="false" ht="15" hidden="false" customHeight="false" outlineLevel="0" collapsed="false">
      <c r="A27" s="22" t="str">
        <f aca="false">09_ガント元データ!A26</f>
        <v/>
      </c>
      <c r="B27" s="22" t="str">
        <f aca="false">09_ガント元データ!B26</f>
        <v/>
      </c>
      <c r="C27" s="23" t="str">
        <f aca="false">09_ガント元データ!C26</f>
        <v/>
      </c>
      <c r="D27" s="24" t="str">
        <f aca="false">IF($A27="","",IF(AND(D$2&gt;=09_ガント元データ!$G26,D$2&lt;=09_ガント元データ!$H26),"■",""))</f>
        <v/>
      </c>
      <c r="E27" s="24" t="str">
        <f aca="false">IF($A27="","",IF(AND(E$2&gt;=09_ガント元データ!$G26,E$2&lt;=09_ガント元データ!$H26),"■",""))</f>
        <v/>
      </c>
      <c r="F27" s="24" t="str">
        <f aca="false">IF($A27="","",IF(AND(F$2&gt;=09_ガント元データ!$G26,F$2&lt;=09_ガント元データ!$H26),"■",""))</f>
        <v/>
      </c>
      <c r="G27" s="24" t="str">
        <f aca="false">IF($A27="","",IF(AND(G$2&gt;=09_ガント元データ!$G26,G$2&lt;=09_ガント元データ!$H26),"■",""))</f>
        <v/>
      </c>
      <c r="H27" s="24" t="str">
        <f aca="false">IF($A27="","",IF(AND(H$2&gt;=09_ガント元データ!$G26,H$2&lt;=09_ガント元データ!$H26),"■",""))</f>
        <v/>
      </c>
      <c r="I27" s="24" t="str">
        <f aca="false">IF($A27="","",IF(AND(I$2&gt;=09_ガント元データ!$G26,I$2&lt;=09_ガント元データ!$H26),"■",""))</f>
        <v/>
      </c>
      <c r="J27" s="24" t="str">
        <f aca="false">IF($A27="","",IF(AND(J$2&gt;=09_ガント元データ!$G26,J$2&lt;=09_ガント元データ!$H26),"■",""))</f>
        <v/>
      </c>
      <c r="K27" s="24" t="str">
        <f aca="false">IF($A27="","",IF(AND(K$2&gt;=09_ガント元データ!$G26,K$2&lt;=09_ガント元データ!$H26),"■",""))</f>
        <v/>
      </c>
      <c r="L27" s="24" t="str">
        <f aca="false">IF($A27="","",IF(AND(L$2&gt;=09_ガント元データ!$G26,L$2&lt;=09_ガント元データ!$H26),"■",""))</f>
        <v/>
      </c>
      <c r="M27" s="24" t="str">
        <f aca="false">IF($A27="","",IF(AND(M$2&gt;=09_ガント元データ!$G26,M$2&lt;=09_ガント元データ!$H26),"■",""))</f>
        <v/>
      </c>
      <c r="N27" s="24" t="str">
        <f aca="false">IF($A27="","",IF(AND(N$2&gt;=09_ガント元データ!$G26,N$2&lt;=09_ガント元データ!$H26),"■",""))</f>
        <v/>
      </c>
      <c r="O27" s="24" t="str">
        <f aca="false">IF($A27="","",IF(AND(O$2&gt;=09_ガント元データ!$G26,O$2&lt;=09_ガント元データ!$H26),"■",""))</f>
        <v/>
      </c>
      <c r="P27" s="24" t="str">
        <f aca="false">IF($A27="","",IF(AND(P$2&gt;=09_ガント元データ!$G26,P$2&lt;=09_ガント元データ!$H26),"■",""))</f>
        <v/>
      </c>
      <c r="Q27" s="24" t="str">
        <f aca="false">IF($A27="","",IF(AND(Q$2&gt;=09_ガント元データ!$G26,Q$2&lt;=09_ガント元データ!$H26),"■",""))</f>
        <v/>
      </c>
      <c r="R27" s="24" t="str">
        <f aca="false">IF($A27="","",IF(AND(R$2&gt;=09_ガント元データ!$G26,R$2&lt;=09_ガント元データ!$H26),"■",""))</f>
        <v/>
      </c>
      <c r="S27" s="24" t="str">
        <f aca="false">IF($A27="","",IF(AND(S$2&gt;=09_ガント元データ!$G26,S$2&lt;=09_ガント元データ!$H26),"■",""))</f>
        <v/>
      </c>
      <c r="T27" s="24" t="str">
        <f aca="false">IF($A27="","",IF(AND(T$2&gt;=09_ガント元データ!$G26,T$2&lt;=09_ガント元データ!$H26),"■",""))</f>
        <v/>
      </c>
      <c r="U27" s="24" t="str">
        <f aca="false">IF($A27="","",IF(AND(U$2&gt;=09_ガント元データ!$G26,U$2&lt;=09_ガント元データ!$H26),"■",""))</f>
        <v/>
      </c>
      <c r="V27" s="24" t="str">
        <f aca="false">IF($A27="","",IF(AND(V$2&gt;=09_ガント元データ!$G26,V$2&lt;=09_ガント元データ!$H26),"■",""))</f>
        <v/>
      </c>
      <c r="W27" s="24" t="str">
        <f aca="false">IF($A27="","",IF(AND(W$2&gt;=09_ガント元データ!$G26,W$2&lt;=09_ガント元データ!$H26),"■",""))</f>
        <v/>
      </c>
      <c r="X27" s="24" t="str">
        <f aca="false">IF($A27="","",IF(AND(X$2&gt;=09_ガント元データ!$G26,X$2&lt;=09_ガント元データ!$H26),"■",""))</f>
        <v/>
      </c>
      <c r="Y27" s="24" t="str">
        <f aca="false">IF($A27="","",IF(AND(Y$2&gt;=09_ガント元データ!$G26,Y$2&lt;=09_ガント元データ!$H26),"■",""))</f>
        <v/>
      </c>
      <c r="Z27" s="24" t="str">
        <f aca="false">IF($A27="","",IF(AND(Z$2&gt;=09_ガント元データ!$G26,Z$2&lt;=09_ガント元データ!$H26),"■",""))</f>
        <v/>
      </c>
      <c r="AA27" s="24" t="str">
        <f aca="false">IF($A27="","",IF(AND(AA$2&gt;=09_ガント元データ!$G26,AA$2&lt;=09_ガント元データ!$H26),"■",""))</f>
        <v/>
      </c>
      <c r="AB27" s="24" t="str">
        <f aca="false">IF($A27="","",IF(AND(AB$2&gt;=09_ガント元データ!$G26,AB$2&lt;=09_ガント元データ!$H26),"■",""))</f>
        <v/>
      </c>
      <c r="AC27" s="24" t="str">
        <f aca="false">IF($A27="","",IF(AND(AC$2&gt;=09_ガント元データ!$G26,AC$2&lt;=09_ガント元データ!$H26),"■",""))</f>
        <v/>
      </c>
      <c r="AD27" s="24" t="str">
        <f aca="false">IF($A27="","",IF(AND(AD$2&gt;=09_ガント元データ!$G26,AD$2&lt;=09_ガント元データ!$H26),"■",""))</f>
        <v/>
      </c>
      <c r="AE27" s="24" t="str">
        <f aca="false">IF($A27="","",IF(AND(AE$2&gt;=09_ガント元データ!$G26,AE$2&lt;=09_ガント元データ!$H26),"■",""))</f>
        <v/>
      </c>
      <c r="AF27" s="24" t="str">
        <f aca="false">IF($A27="","",IF(AND(AF$2&gt;=09_ガント元データ!$G26,AF$2&lt;=09_ガント元データ!$H26),"■",""))</f>
        <v/>
      </c>
      <c r="AG27" s="24" t="str">
        <f aca="false">IF($A27="","",IF(AND(AG$2&gt;=09_ガント元データ!$G26,AG$2&lt;=09_ガント元データ!$H26),"■",""))</f>
        <v/>
      </c>
      <c r="AH27" s="24" t="str">
        <f aca="false">IF($A27="","",IF(AND(AH$2&gt;=09_ガント元データ!$G26,AH$2&lt;=09_ガント元データ!$H26),"■",""))</f>
        <v/>
      </c>
      <c r="AI27" s="24" t="str">
        <f aca="false">IF($A27="","",IF(AND(AI$2&gt;=09_ガント元データ!$G26,AI$2&lt;=09_ガント元データ!$H26),"■",""))</f>
        <v/>
      </c>
      <c r="AJ27" s="24" t="str">
        <f aca="false">IF($A27="","",IF(AND(AJ$2&gt;=09_ガント元データ!$G26,AJ$2&lt;=09_ガント元データ!$H26),"■",""))</f>
        <v/>
      </c>
      <c r="AK27" s="24" t="str">
        <f aca="false">IF($A27="","",IF(AND(AK$2&gt;=09_ガント元データ!$G26,AK$2&lt;=09_ガント元データ!$H26),"■",""))</f>
        <v/>
      </c>
      <c r="AL27" s="24" t="str">
        <f aca="false">IF($A27="","",IF(AND(AL$2&gt;=09_ガント元データ!$G26,AL$2&lt;=09_ガント元データ!$H26),"■",""))</f>
        <v/>
      </c>
      <c r="AM27" s="24" t="str">
        <f aca="false">IF($A27="","",IF(AND(AM$2&gt;=09_ガント元データ!$G26,AM$2&lt;=09_ガント元データ!$H26),"■",""))</f>
        <v/>
      </c>
    </row>
    <row r="28" customFormat="false" ht="15" hidden="false" customHeight="false" outlineLevel="0" collapsed="false">
      <c r="A28" s="22" t="str">
        <f aca="false">09_ガント元データ!A27</f>
        <v/>
      </c>
      <c r="B28" s="22" t="str">
        <f aca="false">09_ガント元データ!B27</f>
        <v/>
      </c>
      <c r="C28" s="23" t="str">
        <f aca="false">09_ガント元データ!C27</f>
        <v/>
      </c>
      <c r="D28" s="24" t="str">
        <f aca="false">IF($A28="","",IF(AND(D$2&gt;=09_ガント元データ!$G27,D$2&lt;=09_ガント元データ!$H27),"■",""))</f>
        <v/>
      </c>
      <c r="E28" s="24" t="str">
        <f aca="false">IF($A28="","",IF(AND(E$2&gt;=09_ガント元データ!$G27,E$2&lt;=09_ガント元データ!$H27),"■",""))</f>
        <v/>
      </c>
      <c r="F28" s="24" t="str">
        <f aca="false">IF($A28="","",IF(AND(F$2&gt;=09_ガント元データ!$G27,F$2&lt;=09_ガント元データ!$H27),"■",""))</f>
        <v/>
      </c>
      <c r="G28" s="24" t="str">
        <f aca="false">IF($A28="","",IF(AND(G$2&gt;=09_ガント元データ!$G27,G$2&lt;=09_ガント元データ!$H27),"■",""))</f>
        <v/>
      </c>
      <c r="H28" s="24" t="str">
        <f aca="false">IF($A28="","",IF(AND(H$2&gt;=09_ガント元データ!$G27,H$2&lt;=09_ガント元データ!$H27),"■",""))</f>
        <v/>
      </c>
      <c r="I28" s="24" t="str">
        <f aca="false">IF($A28="","",IF(AND(I$2&gt;=09_ガント元データ!$G27,I$2&lt;=09_ガント元データ!$H27),"■",""))</f>
        <v/>
      </c>
      <c r="J28" s="24" t="str">
        <f aca="false">IF($A28="","",IF(AND(J$2&gt;=09_ガント元データ!$G27,J$2&lt;=09_ガント元データ!$H27),"■",""))</f>
        <v/>
      </c>
      <c r="K28" s="24" t="str">
        <f aca="false">IF($A28="","",IF(AND(K$2&gt;=09_ガント元データ!$G27,K$2&lt;=09_ガント元データ!$H27),"■",""))</f>
        <v/>
      </c>
      <c r="L28" s="24" t="str">
        <f aca="false">IF($A28="","",IF(AND(L$2&gt;=09_ガント元データ!$G27,L$2&lt;=09_ガント元データ!$H27),"■",""))</f>
        <v/>
      </c>
      <c r="M28" s="24" t="str">
        <f aca="false">IF($A28="","",IF(AND(M$2&gt;=09_ガント元データ!$G27,M$2&lt;=09_ガント元データ!$H27),"■",""))</f>
        <v/>
      </c>
      <c r="N28" s="24" t="str">
        <f aca="false">IF($A28="","",IF(AND(N$2&gt;=09_ガント元データ!$G27,N$2&lt;=09_ガント元データ!$H27),"■",""))</f>
        <v/>
      </c>
      <c r="O28" s="24" t="str">
        <f aca="false">IF($A28="","",IF(AND(O$2&gt;=09_ガント元データ!$G27,O$2&lt;=09_ガント元データ!$H27),"■",""))</f>
        <v/>
      </c>
      <c r="P28" s="24" t="str">
        <f aca="false">IF($A28="","",IF(AND(P$2&gt;=09_ガント元データ!$G27,P$2&lt;=09_ガント元データ!$H27),"■",""))</f>
        <v/>
      </c>
      <c r="Q28" s="24" t="str">
        <f aca="false">IF($A28="","",IF(AND(Q$2&gt;=09_ガント元データ!$G27,Q$2&lt;=09_ガント元データ!$H27),"■",""))</f>
        <v/>
      </c>
      <c r="R28" s="24" t="str">
        <f aca="false">IF($A28="","",IF(AND(R$2&gt;=09_ガント元データ!$G27,R$2&lt;=09_ガント元データ!$H27),"■",""))</f>
        <v/>
      </c>
      <c r="S28" s="24" t="str">
        <f aca="false">IF($A28="","",IF(AND(S$2&gt;=09_ガント元データ!$G27,S$2&lt;=09_ガント元データ!$H27),"■",""))</f>
        <v/>
      </c>
      <c r="T28" s="24" t="str">
        <f aca="false">IF($A28="","",IF(AND(T$2&gt;=09_ガント元データ!$G27,T$2&lt;=09_ガント元データ!$H27),"■",""))</f>
        <v/>
      </c>
      <c r="U28" s="24" t="str">
        <f aca="false">IF($A28="","",IF(AND(U$2&gt;=09_ガント元データ!$G27,U$2&lt;=09_ガント元データ!$H27),"■",""))</f>
        <v/>
      </c>
      <c r="V28" s="24" t="str">
        <f aca="false">IF($A28="","",IF(AND(V$2&gt;=09_ガント元データ!$G27,V$2&lt;=09_ガント元データ!$H27),"■",""))</f>
        <v/>
      </c>
      <c r="W28" s="24" t="str">
        <f aca="false">IF($A28="","",IF(AND(W$2&gt;=09_ガント元データ!$G27,W$2&lt;=09_ガント元データ!$H27),"■",""))</f>
        <v/>
      </c>
      <c r="X28" s="24" t="str">
        <f aca="false">IF($A28="","",IF(AND(X$2&gt;=09_ガント元データ!$G27,X$2&lt;=09_ガント元データ!$H27),"■",""))</f>
        <v/>
      </c>
      <c r="Y28" s="24" t="str">
        <f aca="false">IF($A28="","",IF(AND(Y$2&gt;=09_ガント元データ!$G27,Y$2&lt;=09_ガント元データ!$H27),"■",""))</f>
        <v/>
      </c>
      <c r="Z28" s="24" t="str">
        <f aca="false">IF($A28="","",IF(AND(Z$2&gt;=09_ガント元データ!$G27,Z$2&lt;=09_ガント元データ!$H27),"■",""))</f>
        <v/>
      </c>
      <c r="AA28" s="24" t="str">
        <f aca="false">IF($A28="","",IF(AND(AA$2&gt;=09_ガント元データ!$G27,AA$2&lt;=09_ガント元データ!$H27),"■",""))</f>
        <v/>
      </c>
      <c r="AB28" s="24" t="str">
        <f aca="false">IF($A28="","",IF(AND(AB$2&gt;=09_ガント元データ!$G27,AB$2&lt;=09_ガント元データ!$H27),"■",""))</f>
        <v/>
      </c>
      <c r="AC28" s="24" t="str">
        <f aca="false">IF($A28="","",IF(AND(AC$2&gt;=09_ガント元データ!$G27,AC$2&lt;=09_ガント元データ!$H27),"■",""))</f>
        <v/>
      </c>
      <c r="AD28" s="24" t="str">
        <f aca="false">IF($A28="","",IF(AND(AD$2&gt;=09_ガント元データ!$G27,AD$2&lt;=09_ガント元データ!$H27),"■",""))</f>
        <v/>
      </c>
      <c r="AE28" s="24" t="str">
        <f aca="false">IF($A28="","",IF(AND(AE$2&gt;=09_ガント元データ!$G27,AE$2&lt;=09_ガント元データ!$H27),"■",""))</f>
        <v/>
      </c>
      <c r="AF28" s="24" t="str">
        <f aca="false">IF($A28="","",IF(AND(AF$2&gt;=09_ガント元データ!$G27,AF$2&lt;=09_ガント元データ!$H27),"■",""))</f>
        <v/>
      </c>
      <c r="AG28" s="24" t="str">
        <f aca="false">IF($A28="","",IF(AND(AG$2&gt;=09_ガント元データ!$G27,AG$2&lt;=09_ガント元データ!$H27),"■",""))</f>
        <v/>
      </c>
      <c r="AH28" s="24" t="str">
        <f aca="false">IF($A28="","",IF(AND(AH$2&gt;=09_ガント元データ!$G27,AH$2&lt;=09_ガント元データ!$H27),"■",""))</f>
        <v/>
      </c>
      <c r="AI28" s="24" t="str">
        <f aca="false">IF($A28="","",IF(AND(AI$2&gt;=09_ガント元データ!$G27,AI$2&lt;=09_ガント元データ!$H27),"■",""))</f>
        <v/>
      </c>
      <c r="AJ28" s="24" t="str">
        <f aca="false">IF($A28="","",IF(AND(AJ$2&gt;=09_ガント元データ!$G27,AJ$2&lt;=09_ガント元データ!$H27),"■",""))</f>
        <v/>
      </c>
      <c r="AK28" s="24" t="str">
        <f aca="false">IF($A28="","",IF(AND(AK$2&gt;=09_ガント元データ!$G27,AK$2&lt;=09_ガント元データ!$H27),"■",""))</f>
        <v/>
      </c>
      <c r="AL28" s="24" t="str">
        <f aca="false">IF($A28="","",IF(AND(AL$2&gt;=09_ガント元データ!$G27,AL$2&lt;=09_ガント元データ!$H27),"■",""))</f>
        <v/>
      </c>
      <c r="AM28" s="24" t="str">
        <f aca="false">IF($A28="","",IF(AND(AM$2&gt;=09_ガント元データ!$G27,AM$2&lt;=09_ガント元データ!$H27),"■",""))</f>
        <v/>
      </c>
    </row>
    <row r="29" customFormat="false" ht="15" hidden="false" customHeight="false" outlineLevel="0" collapsed="false">
      <c r="A29" s="22" t="str">
        <f aca="false">09_ガント元データ!A28</f>
        <v/>
      </c>
      <c r="B29" s="22" t="str">
        <f aca="false">09_ガント元データ!B28</f>
        <v/>
      </c>
      <c r="C29" s="23" t="str">
        <f aca="false">09_ガント元データ!C28</f>
        <v/>
      </c>
      <c r="D29" s="24" t="str">
        <f aca="false">IF($A29="","",IF(AND(D$2&gt;=09_ガント元データ!$G28,D$2&lt;=09_ガント元データ!$H28),"■",""))</f>
        <v/>
      </c>
      <c r="E29" s="24" t="str">
        <f aca="false">IF($A29="","",IF(AND(E$2&gt;=09_ガント元データ!$G28,E$2&lt;=09_ガント元データ!$H28),"■",""))</f>
        <v/>
      </c>
      <c r="F29" s="24" t="str">
        <f aca="false">IF($A29="","",IF(AND(F$2&gt;=09_ガント元データ!$G28,F$2&lt;=09_ガント元データ!$H28),"■",""))</f>
        <v/>
      </c>
      <c r="G29" s="24" t="str">
        <f aca="false">IF($A29="","",IF(AND(G$2&gt;=09_ガント元データ!$G28,G$2&lt;=09_ガント元データ!$H28),"■",""))</f>
        <v/>
      </c>
      <c r="H29" s="24" t="str">
        <f aca="false">IF($A29="","",IF(AND(H$2&gt;=09_ガント元データ!$G28,H$2&lt;=09_ガント元データ!$H28),"■",""))</f>
        <v/>
      </c>
      <c r="I29" s="24" t="str">
        <f aca="false">IF($A29="","",IF(AND(I$2&gt;=09_ガント元データ!$G28,I$2&lt;=09_ガント元データ!$H28),"■",""))</f>
        <v/>
      </c>
      <c r="J29" s="24" t="str">
        <f aca="false">IF($A29="","",IF(AND(J$2&gt;=09_ガント元データ!$G28,J$2&lt;=09_ガント元データ!$H28),"■",""))</f>
        <v/>
      </c>
      <c r="K29" s="24" t="str">
        <f aca="false">IF($A29="","",IF(AND(K$2&gt;=09_ガント元データ!$G28,K$2&lt;=09_ガント元データ!$H28),"■",""))</f>
        <v/>
      </c>
      <c r="L29" s="24" t="str">
        <f aca="false">IF($A29="","",IF(AND(L$2&gt;=09_ガント元データ!$G28,L$2&lt;=09_ガント元データ!$H28),"■",""))</f>
        <v/>
      </c>
      <c r="M29" s="24" t="str">
        <f aca="false">IF($A29="","",IF(AND(M$2&gt;=09_ガント元データ!$G28,M$2&lt;=09_ガント元データ!$H28),"■",""))</f>
        <v/>
      </c>
      <c r="N29" s="24" t="str">
        <f aca="false">IF($A29="","",IF(AND(N$2&gt;=09_ガント元データ!$G28,N$2&lt;=09_ガント元データ!$H28),"■",""))</f>
        <v/>
      </c>
      <c r="O29" s="24" t="str">
        <f aca="false">IF($A29="","",IF(AND(O$2&gt;=09_ガント元データ!$G28,O$2&lt;=09_ガント元データ!$H28),"■",""))</f>
        <v/>
      </c>
      <c r="P29" s="24" t="str">
        <f aca="false">IF($A29="","",IF(AND(P$2&gt;=09_ガント元データ!$G28,P$2&lt;=09_ガント元データ!$H28),"■",""))</f>
        <v/>
      </c>
      <c r="Q29" s="24" t="str">
        <f aca="false">IF($A29="","",IF(AND(Q$2&gt;=09_ガント元データ!$G28,Q$2&lt;=09_ガント元データ!$H28),"■",""))</f>
        <v/>
      </c>
      <c r="R29" s="24" t="str">
        <f aca="false">IF($A29="","",IF(AND(R$2&gt;=09_ガント元データ!$G28,R$2&lt;=09_ガント元データ!$H28),"■",""))</f>
        <v/>
      </c>
      <c r="S29" s="24" t="str">
        <f aca="false">IF($A29="","",IF(AND(S$2&gt;=09_ガント元データ!$G28,S$2&lt;=09_ガント元データ!$H28),"■",""))</f>
        <v/>
      </c>
      <c r="T29" s="24" t="str">
        <f aca="false">IF($A29="","",IF(AND(T$2&gt;=09_ガント元データ!$G28,T$2&lt;=09_ガント元データ!$H28),"■",""))</f>
        <v/>
      </c>
      <c r="U29" s="24" t="str">
        <f aca="false">IF($A29="","",IF(AND(U$2&gt;=09_ガント元データ!$G28,U$2&lt;=09_ガント元データ!$H28),"■",""))</f>
        <v/>
      </c>
      <c r="V29" s="24" t="str">
        <f aca="false">IF($A29="","",IF(AND(V$2&gt;=09_ガント元データ!$G28,V$2&lt;=09_ガント元データ!$H28),"■",""))</f>
        <v/>
      </c>
      <c r="W29" s="24" t="str">
        <f aca="false">IF($A29="","",IF(AND(W$2&gt;=09_ガント元データ!$G28,W$2&lt;=09_ガント元データ!$H28),"■",""))</f>
        <v/>
      </c>
      <c r="X29" s="24" t="str">
        <f aca="false">IF($A29="","",IF(AND(X$2&gt;=09_ガント元データ!$G28,X$2&lt;=09_ガント元データ!$H28),"■",""))</f>
        <v/>
      </c>
      <c r="Y29" s="24" t="str">
        <f aca="false">IF($A29="","",IF(AND(Y$2&gt;=09_ガント元データ!$G28,Y$2&lt;=09_ガント元データ!$H28),"■",""))</f>
        <v/>
      </c>
      <c r="Z29" s="24" t="str">
        <f aca="false">IF($A29="","",IF(AND(Z$2&gt;=09_ガント元データ!$G28,Z$2&lt;=09_ガント元データ!$H28),"■",""))</f>
        <v/>
      </c>
      <c r="AA29" s="24" t="str">
        <f aca="false">IF($A29="","",IF(AND(AA$2&gt;=09_ガント元データ!$G28,AA$2&lt;=09_ガント元データ!$H28),"■",""))</f>
        <v/>
      </c>
      <c r="AB29" s="24" t="str">
        <f aca="false">IF($A29="","",IF(AND(AB$2&gt;=09_ガント元データ!$G28,AB$2&lt;=09_ガント元データ!$H28),"■",""))</f>
        <v/>
      </c>
      <c r="AC29" s="24" t="str">
        <f aca="false">IF($A29="","",IF(AND(AC$2&gt;=09_ガント元データ!$G28,AC$2&lt;=09_ガント元データ!$H28),"■",""))</f>
        <v/>
      </c>
      <c r="AD29" s="24" t="str">
        <f aca="false">IF($A29="","",IF(AND(AD$2&gt;=09_ガント元データ!$G28,AD$2&lt;=09_ガント元データ!$H28),"■",""))</f>
        <v/>
      </c>
      <c r="AE29" s="24" t="str">
        <f aca="false">IF($A29="","",IF(AND(AE$2&gt;=09_ガント元データ!$G28,AE$2&lt;=09_ガント元データ!$H28),"■",""))</f>
        <v/>
      </c>
      <c r="AF29" s="24" t="str">
        <f aca="false">IF($A29="","",IF(AND(AF$2&gt;=09_ガント元データ!$G28,AF$2&lt;=09_ガント元データ!$H28),"■",""))</f>
        <v/>
      </c>
      <c r="AG29" s="24" t="str">
        <f aca="false">IF($A29="","",IF(AND(AG$2&gt;=09_ガント元データ!$G28,AG$2&lt;=09_ガント元データ!$H28),"■",""))</f>
        <v/>
      </c>
      <c r="AH29" s="24" t="str">
        <f aca="false">IF($A29="","",IF(AND(AH$2&gt;=09_ガント元データ!$G28,AH$2&lt;=09_ガント元データ!$H28),"■",""))</f>
        <v/>
      </c>
      <c r="AI29" s="24" t="str">
        <f aca="false">IF($A29="","",IF(AND(AI$2&gt;=09_ガント元データ!$G28,AI$2&lt;=09_ガント元データ!$H28),"■",""))</f>
        <v/>
      </c>
      <c r="AJ29" s="24" t="str">
        <f aca="false">IF($A29="","",IF(AND(AJ$2&gt;=09_ガント元データ!$G28,AJ$2&lt;=09_ガント元データ!$H28),"■",""))</f>
        <v/>
      </c>
      <c r="AK29" s="24" t="str">
        <f aca="false">IF($A29="","",IF(AND(AK$2&gt;=09_ガント元データ!$G28,AK$2&lt;=09_ガント元データ!$H28),"■",""))</f>
        <v/>
      </c>
      <c r="AL29" s="24" t="str">
        <f aca="false">IF($A29="","",IF(AND(AL$2&gt;=09_ガント元データ!$G28,AL$2&lt;=09_ガント元データ!$H28),"■",""))</f>
        <v/>
      </c>
      <c r="AM29" s="24" t="str">
        <f aca="false">IF($A29="","",IF(AND(AM$2&gt;=09_ガント元データ!$G28,AM$2&lt;=09_ガント元データ!$H28),"■",""))</f>
        <v/>
      </c>
    </row>
    <row r="30" customFormat="false" ht="15" hidden="false" customHeight="false" outlineLevel="0" collapsed="false">
      <c r="A30" s="22" t="str">
        <f aca="false">09_ガント元データ!A29</f>
        <v/>
      </c>
      <c r="B30" s="22" t="str">
        <f aca="false">09_ガント元データ!B29</f>
        <v/>
      </c>
      <c r="C30" s="23" t="str">
        <f aca="false">09_ガント元データ!C29</f>
        <v/>
      </c>
      <c r="D30" s="24" t="str">
        <f aca="false">IF($A30="","",IF(AND(D$2&gt;=09_ガント元データ!$G29,D$2&lt;=09_ガント元データ!$H29),"■",""))</f>
        <v/>
      </c>
      <c r="E30" s="24" t="str">
        <f aca="false">IF($A30="","",IF(AND(E$2&gt;=09_ガント元データ!$G29,E$2&lt;=09_ガント元データ!$H29),"■",""))</f>
        <v/>
      </c>
      <c r="F30" s="24" t="str">
        <f aca="false">IF($A30="","",IF(AND(F$2&gt;=09_ガント元データ!$G29,F$2&lt;=09_ガント元データ!$H29),"■",""))</f>
        <v/>
      </c>
      <c r="G30" s="24" t="str">
        <f aca="false">IF($A30="","",IF(AND(G$2&gt;=09_ガント元データ!$G29,G$2&lt;=09_ガント元データ!$H29),"■",""))</f>
        <v/>
      </c>
      <c r="H30" s="24" t="str">
        <f aca="false">IF($A30="","",IF(AND(H$2&gt;=09_ガント元データ!$G29,H$2&lt;=09_ガント元データ!$H29),"■",""))</f>
        <v/>
      </c>
      <c r="I30" s="24" t="str">
        <f aca="false">IF($A30="","",IF(AND(I$2&gt;=09_ガント元データ!$G29,I$2&lt;=09_ガント元データ!$H29),"■",""))</f>
        <v/>
      </c>
      <c r="J30" s="24" t="str">
        <f aca="false">IF($A30="","",IF(AND(J$2&gt;=09_ガント元データ!$G29,J$2&lt;=09_ガント元データ!$H29),"■",""))</f>
        <v/>
      </c>
      <c r="K30" s="24" t="str">
        <f aca="false">IF($A30="","",IF(AND(K$2&gt;=09_ガント元データ!$G29,K$2&lt;=09_ガント元データ!$H29),"■",""))</f>
        <v/>
      </c>
      <c r="L30" s="24" t="str">
        <f aca="false">IF($A30="","",IF(AND(L$2&gt;=09_ガント元データ!$G29,L$2&lt;=09_ガント元データ!$H29),"■",""))</f>
        <v/>
      </c>
      <c r="M30" s="24" t="str">
        <f aca="false">IF($A30="","",IF(AND(M$2&gt;=09_ガント元データ!$G29,M$2&lt;=09_ガント元データ!$H29),"■",""))</f>
        <v/>
      </c>
      <c r="N30" s="24" t="str">
        <f aca="false">IF($A30="","",IF(AND(N$2&gt;=09_ガント元データ!$G29,N$2&lt;=09_ガント元データ!$H29),"■",""))</f>
        <v/>
      </c>
      <c r="O30" s="24" t="str">
        <f aca="false">IF($A30="","",IF(AND(O$2&gt;=09_ガント元データ!$G29,O$2&lt;=09_ガント元データ!$H29),"■",""))</f>
        <v/>
      </c>
      <c r="P30" s="24" t="str">
        <f aca="false">IF($A30="","",IF(AND(P$2&gt;=09_ガント元データ!$G29,P$2&lt;=09_ガント元データ!$H29),"■",""))</f>
        <v/>
      </c>
      <c r="Q30" s="24" t="str">
        <f aca="false">IF($A30="","",IF(AND(Q$2&gt;=09_ガント元データ!$G29,Q$2&lt;=09_ガント元データ!$H29),"■",""))</f>
        <v/>
      </c>
      <c r="R30" s="24" t="str">
        <f aca="false">IF($A30="","",IF(AND(R$2&gt;=09_ガント元データ!$G29,R$2&lt;=09_ガント元データ!$H29),"■",""))</f>
        <v/>
      </c>
      <c r="S30" s="24" t="str">
        <f aca="false">IF($A30="","",IF(AND(S$2&gt;=09_ガント元データ!$G29,S$2&lt;=09_ガント元データ!$H29),"■",""))</f>
        <v/>
      </c>
      <c r="T30" s="24" t="str">
        <f aca="false">IF($A30="","",IF(AND(T$2&gt;=09_ガント元データ!$G29,T$2&lt;=09_ガント元データ!$H29),"■",""))</f>
        <v/>
      </c>
      <c r="U30" s="24" t="str">
        <f aca="false">IF($A30="","",IF(AND(U$2&gt;=09_ガント元データ!$G29,U$2&lt;=09_ガント元データ!$H29),"■",""))</f>
        <v/>
      </c>
      <c r="V30" s="24" t="str">
        <f aca="false">IF($A30="","",IF(AND(V$2&gt;=09_ガント元データ!$G29,V$2&lt;=09_ガント元データ!$H29),"■",""))</f>
        <v/>
      </c>
      <c r="W30" s="24" t="str">
        <f aca="false">IF($A30="","",IF(AND(W$2&gt;=09_ガント元データ!$G29,W$2&lt;=09_ガント元データ!$H29),"■",""))</f>
        <v/>
      </c>
      <c r="X30" s="24" t="str">
        <f aca="false">IF($A30="","",IF(AND(X$2&gt;=09_ガント元データ!$G29,X$2&lt;=09_ガント元データ!$H29),"■",""))</f>
        <v/>
      </c>
      <c r="Y30" s="24" t="str">
        <f aca="false">IF($A30="","",IF(AND(Y$2&gt;=09_ガント元データ!$G29,Y$2&lt;=09_ガント元データ!$H29),"■",""))</f>
        <v/>
      </c>
      <c r="Z30" s="24" t="str">
        <f aca="false">IF($A30="","",IF(AND(Z$2&gt;=09_ガント元データ!$G29,Z$2&lt;=09_ガント元データ!$H29),"■",""))</f>
        <v/>
      </c>
      <c r="AA30" s="24" t="str">
        <f aca="false">IF($A30="","",IF(AND(AA$2&gt;=09_ガント元データ!$G29,AA$2&lt;=09_ガント元データ!$H29),"■",""))</f>
        <v/>
      </c>
      <c r="AB30" s="24" t="str">
        <f aca="false">IF($A30="","",IF(AND(AB$2&gt;=09_ガント元データ!$G29,AB$2&lt;=09_ガント元データ!$H29),"■",""))</f>
        <v/>
      </c>
      <c r="AC30" s="24" t="str">
        <f aca="false">IF($A30="","",IF(AND(AC$2&gt;=09_ガント元データ!$G29,AC$2&lt;=09_ガント元データ!$H29),"■",""))</f>
        <v/>
      </c>
      <c r="AD30" s="24" t="str">
        <f aca="false">IF($A30="","",IF(AND(AD$2&gt;=09_ガント元データ!$G29,AD$2&lt;=09_ガント元データ!$H29),"■",""))</f>
        <v/>
      </c>
      <c r="AE30" s="24" t="str">
        <f aca="false">IF($A30="","",IF(AND(AE$2&gt;=09_ガント元データ!$G29,AE$2&lt;=09_ガント元データ!$H29),"■",""))</f>
        <v/>
      </c>
      <c r="AF30" s="24" t="str">
        <f aca="false">IF($A30="","",IF(AND(AF$2&gt;=09_ガント元データ!$G29,AF$2&lt;=09_ガント元データ!$H29),"■",""))</f>
        <v/>
      </c>
      <c r="AG30" s="24" t="str">
        <f aca="false">IF($A30="","",IF(AND(AG$2&gt;=09_ガント元データ!$G29,AG$2&lt;=09_ガント元データ!$H29),"■",""))</f>
        <v/>
      </c>
      <c r="AH30" s="24" t="str">
        <f aca="false">IF($A30="","",IF(AND(AH$2&gt;=09_ガント元データ!$G29,AH$2&lt;=09_ガント元データ!$H29),"■",""))</f>
        <v/>
      </c>
      <c r="AI30" s="24" t="str">
        <f aca="false">IF($A30="","",IF(AND(AI$2&gt;=09_ガント元データ!$G29,AI$2&lt;=09_ガント元データ!$H29),"■",""))</f>
        <v/>
      </c>
      <c r="AJ30" s="24" t="str">
        <f aca="false">IF($A30="","",IF(AND(AJ$2&gt;=09_ガント元データ!$G29,AJ$2&lt;=09_ガント元データ!$H29),"■",""))</f>
        <v/>
      </c>
      <c r="AK30" s="24" t="str">
        <f aca="false">IF($A30="","",IF(AND(AK$2&gt;=09_ガント元データ!$G29,AK$2&lt;=09_ガント元データ!$H29),"■",""))</f>
        <v/>
      </c>
      <c r="AL30" s="24" t="str">
        <f aca="false">IF($A30="","",IF(AND(AL$2&gt;=09_ガント元データ!$G29,AL$2&lt;=09_ガント元データ!$H29),"■",""))</f>
        <v/>
      </c>
      <c r="AM30" s="24" t="str">
        <f aca="false">IF($A30="","",IF(AND(AM$2&gt;=09_ガント元データ!$G29,AM$2&lt;=09_ガント元データ!$H29),"■",""))</f>
        <v/>
      </c>
    </row>
    <row r="31" customFormat="false" ht="15" hidden="false" customHeight="false" outlineLevel="0" collapsed="false">
      <c r="A31" s="22" t="str">
        <f aca="false">09_ガント元データ!A30</f>
        <v/>
      </c>
      <c r="B31" s="22" t="str">
        <f aca="false">09_ガント元データ!B30</f>
        <v/>
      </c>
      <c r="C31" s="23" t="str">
        <f aca="false">09_ガント元データ!C30</f>
        <v/>
      </c>
      <c r="D31" s="24" t="str">
        <f aca="false">IF($A31="","",IF(AND(D$2&gt;=09_ガント元データ!$G30,D$2&lt;=09_ガント元データ!$H30),"■",""))</f>
        <v/>
      </c>
      <c r="E31" s="24" t="str">
        <f aca="false">IF($A31="","",IF(AND(E$2&gt;=09_ガント元データ!$G30,E$2&lt;=09_ガント元データ!$H30),"■",""))</f>
        <v/>
      </c>
      <c r="F31" s="24" t="str">
        <f aca="false">IF($A31="","",IF(AND(F$2&gt;=09_ガント元データ!$G30,F$2&lt;=09_ガント元データ!$H30),"■",""))</f>
        <v/>
      </c>
      <c r="G31" s="24" t="str">
        <f aca="false">IF($A31="","",IF(AND(G$2&gt;=09_ガント元データ!$G30,G$2&lt;=09_ガント元データ!$H30),"■",""))</f>
        <v/>
      </c>
      <c r="H31" s="24" t="str">
        <f aca="false">IF($A31="","",IF(AND(H$2&gt;=09_ガント元データ!$G30,H$2&lt;=09_ガント元データ!$H30),"■",""))</f>
        <v/>
      </c>
      <c r="I31" s="24" t="str">
        <f aca="false">IF($A31="","",IF(AND(I$2&gt;=09_ガント元データ!$G30,I$2&lt;=09_ガント元データ!$H30),"■",""))</f>
        <v/>
      </c>
      <c r="J31" s="24" t="str">
        <f aca="false">IF($A31="","",IF(AND(J$2&gt;=09_ガント元データ!$G30,J$2&lt;=09_ガント元データ!$H30),"■",""))</f>
        <v/>
      </c>
      <c r="K31" s="24" t="str">
        <f aca="false">IF($A31="","",IF(AND(K$2&gt;=09_ガント元データ!$G30,K$2&lt;=09_ガント元データ!$H30),"■",""))</f>
        <v/>
      </c>
      <c r="L31" s="24" t="str">
        <f aca="false">IF($A31="","",IF(AND(L$2&gt;=09_ガント元データ!$G30,L$2&lt;=09_ガント元データ!$H30),"■",""))</f>
        <v/>
      </c>
      <c r="M31" s="24" t="str">
        <f aca="false">IF($A31="","",IF(AND(M$2&gt;=09_ガント元データ!$G30,M$2&lt;=09_ガント元データ!$H30),"■",""))</f>
        <v/>
      </c>
      <c r="N31" s="24" t="str">
        <f aca="false">IF($A31="","",IF(AND(N$2&gt;=09_ガント元データ!$G30,N$2&lt;=09_ガント元データ!$H30),"■",""))</f>
        <v/>
      </c>
      <c r="O31" s="24" t="str">
        <f aca="false">IF($A31="","",IF(AND(O$2&gt;=09_ガント元データ!$G30,O$2&lt;=09_ガント元データ!$H30),"■",""))</f>
        <v/>
      </c>
      <c r="P31" s="24" t="str">
        <f aca="false">IF($A31="","",IF(AND(P$2&gt;=09_ガント元データ!$G30,P$2&lt;=09_ガント元データ!$H30),"■",""))</f>
        <v/>
      </c>
      <c r="Q31" s="24" t="str">
        <f aca="false">IF($A31="","",IF(AND(Q$2&gt;=09_ガント元データ!$G30,Q$2&lt;=09_ガント元データ!$H30),"■",""))</f>
        <v/>
      </c>
      <c r="R31" s="24" t="str">
        <f aca="false">IF($A31="","",IF(AND(R$2&gt;=09_ガント元データ!$G30,R$2&lt;=09_ガント元データ!$H30),"■",""))</f>
        <v/>
      </c>
      <c r="S31" s="24" t="str">
        <f aca="false">IF($A31="","",IF(AND(S$2&gt;=09_ガント元データ!$G30,S$2&lt;=09_ガント元データ!$H30),"■",""))</f>
        <v/>
      </c>
      <c r="T31" s="24" t="str">
        <f aca="false">IF($A31="","",IF(AND(T$2&gt;=09_ガント元データ!$G30,T$2&lt;=09_ガント元データ!$H30),"■",""))</f>
        <v/>
      </c>
      <c r="U31" s="24" t="str">
        <f aca="false">IF($A31="","",IF(AND(U$2&gt;=09_ガント元データ!$G30,U$2&lt;=09_ガント元データ!$H30),"■",""))</f>
        <v/>
      </c>
      <c r="V31" s="24" t="str">
        <f aca="false">IF($A31="","",IF(AND(V$2&gt;=09_ガント元データ!$G30,V$2&lt;=09_ガント元データ!$H30),"■",""))</f>
        <v/>
      </c>
      <c r="W31" s="24" t="str">
        <f aca="false">IF($A31="","",IF(AND(W$2&gt;=09_ガント元データ!$G30,W$2&lt;=09_ガント元データ!$H30),"■",""))</f>
        <v/>
      </c>
      <c r="X31" s="24" t="str">
        <f aca="false">IF($A31="","",IF(AND(X$2&gt;=09_ガント元データ!$G30,X$2&lt;=09_ガント元データ!$H30),"■",""))</f>
        <v/>
      </c>
      <c r="Y31" s="24" t="str">
        <f aca="false">IF($A31="","",IF(AND(Y$2&gt;=09_ガント元データ!$G30,Y$2&lt;=09_ガント元データ!$H30),"■",""))</f>
        <v/>
      </c>
      <c r="Z31" s="24" t="str">
        <f aca="false">IF($A31="","",IF(AND(Z$2&gt;=09_ガント元データ!$G30,Z$2&lt;=09_ガント元データ!$H30),"■",""))</f>
        <v/>
      </c>
      <c r="AA31" s="24" t="str">
        <f aca="false">IF($A31="","",IF(AND(AA$2&gt;=09_ガント元データ!$G30,AA$2&lt;=09_ガント元データ!$H30),"■",""))</f>
        <v/>
      </c>
      <c r="AB31" s="24" t="str">
        <f aca="false">IF($A31="","",IF(AND(AB$2&gt;=09_ガント元データ!$G30,AB$2&lt;=09_ガント元データ!$H30),"■",""))</f>
        <v/>
      </c>
      <c r="AC31" s="24" t="str">
        <f aca="false">IF($A31="","",IF(AND(AC$2&gt;=09_ガント元データ!$G30,AC$2&lt;=09_ガント元データ!$H30),"■",""))</f>
        <v/>
      </c>
      <c r="AD31" s="24" t="str">
        <f aca="false">IF($A31="","",IF(AND(AD$2&gt;=09_ガント元データ!$G30,AD$2&lt;=09_ガント元データ!$H30),"■",""))</f>
        <v/>
      </c>
      <c r="AE31" s="24" t="str">
        <f aca="false">IF($A31="","",IF(AND(AE$2&gt;=09_ガント元データ!$G30,AE$2&lt;=09_ガント元データ!$H30),"■",""))</f>
        <v/>
      </c>
      <c r="AF31" s="24" t="str">
        <f aca="false">IF($A31="","",IF(AND(AF$2&gt;=09_ガント元データ!$G30,AF$2&lt;=09_ガント元データ!$H30),"■",""))</f>
        <v/>
      </c>
      <c r="AG31" s="24" t="str">
        <f aca="false">IF($A31="","",IF(AND(AG$2&gt;=09_ガント元データ!$G30,AG$2&lt;=09_ガント元データ!$H30),"■",""))</f>
        <v/>
      </c>
      <c r="AH31" s="24" t="str">
        <f aca="false">IF($A31="","",IF(AND(AH$2&gt;=09_ガント元データ!$G30,AH$2&lt;=09_ガント元データ!$H30),"■",""))</f>
        <v/>
      </c>
      <c r="AI31" s="24" t="str">
        <f aca="false">IF($A31="","",IF(AND(AI$2&gt;=09_ガント元データ!$G30,AI$2&lt;=09_ガント元データ!$H30),"■",""))</f>
        <v/>
      </c>
      <c r="AJ31" s="24" t="str">
        <f aca="false">IF($A31="","",IF(AND(AJ$2&gt;=09_ガント元データ!$G30,AJ$2&lt;=09_ガント元データ!$H30),"■",""))</f>
        <v/>
      </c>
      <c r="AK31" s="24" t="str">
        <f aca="false">IF($A31="","",IF(AND(AK$2&gt;=09_ガント元データ!$G30,AK$2&lt;=09_ガント元データ!$H30),"■",""))</f>
        <v/>
      </c>
      <c r="AL31" s="24" t="str">
        <f aca="false">IF($A31="","",IF(AND(AL$2&gt;=09_ガント元データ!$G30,AL$2&lt;=09_ガント元データ!$H30),"■",""))</f>
        <v/>
      </c>
      <c r="AM31" s="24" t="str">
        <f aca="false">IF($A31="","",IF(AND(AM$2&gt;=09_ガント元データ!$G30,AM$2&lt;=09_ガント元データ!$H30),"■",""))</f>
        <v/>
      </c>
    </row>
    <row r="32" customFormat="false" ht="15" hidden="false" customHeight="false" outlineLevel="0" collapsed="false">
      <c r="A32" s="22" t="str">
        <f aca="false">09_ガント元データ!A31</f>
        <v/>
      </c>
      <c r="B32" s="22" t="str">
        <f aca="false">09_ガント元データ!B31</f>
        <v/>
      </c>
      <c r="C32" s="23" t="str">
        <f aca="false">09_ガント元データ!C31</f>
        <v/>
      </c>
      <c r="D32" s="24" t="str">
        <f aca="false">IF($A32="","",IF(AND(D$2&gt;=09_ガント元データ!$G31,D$2&lt;=09_ガント元データ!$H31),"■",""))</f>
        <v/>
      </c>
      <c r="E32" s="24" t="str">
        <f aca="false">IF($A32="","",IF(AND(E$2&gt;=09_ガント元データ!$G31,E$2&lt;=09_ガント元データ!$H31),"■",""))</f>
        <v/>
      </c>
      <c r="F32" s="24" t="str">
        <f aca="false">IF($A32="","",IF(AND(F$2&gt;=09_ガント元データ!$G31,F$2&lt;=09_ガント元データ!$H31),"■",""))</f>
        <v/>
      </c>
      <c r="G32" s="24" t="str">
        <f aca="false">IF($A32="","",IF(AND(G$2&gt;=09_ガント元データ!$G31,G$2&lt;=09_ガント元データ!$H31),"■",""))</f>
        <v/>
      </c>
      <c r="H32" s="24" t="str">
        <f aca="false">IF($A32="","",IF(AND(H$2&gt;=09_ガント元データ!$G31,H$2&lt;=09_ガント元データ!$H31),"■",""))</f>
        <v/>
      </c>
      <c r="I32" s="24" t="str">
        <f aca="false">IF($A32="","",IF(AND(I$2&gt;=09_ガント元データ!$G31,I$2&lt;=09_ガント元データ!$H31),"■",""))</f>
        <v/>
      </c>
      <c r="J32" s="24" t="str">
        <f aca="false">IF($A32="","",IF(AND(J$2&gt;=09_ガント元データ!$G31,J$2&lt;=09_ガント元データ!$H31),"■",""))</f>
        <v/>
      </c>
      <c r="K32" s="24" t="str">
        <f aca="false">IF($A32="","",IF(AND(K$2&gt;=09_ガント元データ!$G31,K$2&lt;=09_ガント元データ!$H31),"■",""))</f>
        <v/>
      </c>
      <c r="L32" s="24" t="str">
        <f aca="false">IF($A32="","",IF(AND(L$2&gt;=09_ガント元データ!$G31,L$2&lt;=09_ガント元データ!$H31),"■",""))</f>
        <v/>
      </c>
      <c r="M32" s="24" t="str">
        <f aca="false">IF($A32="","",IF(AND(M$2&gt;=09_ガント元データ!$G31,M$2&lt;=09_ガント元データ!$H31),"■",""))</f>
        <v/>
      </c>
      <c r="N32" s="24" t="str">
        <f aca="false">IF($A32="","",IF(AND(N$2&gt;=09_ガント元データ!$G31,N$2&lt;=09_ガント元データ!$H31),"■",""))</f>
        <v/>
      </c>
      <c r="O32" s="24" t="str">
        <f aca="false">IF($A32="","",IF(AND(O$2&gt;=09_ガント元データ!$G31,O$2&lt;=09_ガント元データ!$H31),"■",""))</f>
        <v/>
      </c>
      <c r="P32" s="24" t="str">
        <f aca="false">IF($A32="","",IF(AND(P$2&gt;=09_ガント元データ!$G31,P$2&lt;=09_ガント元データ!$H31),"■",""))</f>
        <v/>
      </c>
      <c r="Q32" s="24" t="str">
        <f aca="false">IF($A32="","",IF(AND(Q$2&gt;=09_ガント元データ!$G31,Q$2&lt;=09_ガント元データ!$H31),"■",""))</f>
        <v/>
      </c>
      <c r="R32" s="24" t="str">
        <f aca="false">IF($A32="","",IF(AND(R$2&gt;=09_ガント元データ!$G31,R$2&lt;=09_ガント元データ!$H31),"■",""))</f>
        <v/>
      </c>
      <c r="S32" s="24" t="str">
        <f aca="false">IF($A32="","",IF(AND(S$2&gt;=09_ガント元データ!$G31,S$2&lt;=09_ガント元データ!$H31),"■",""))</f>
        <v/>
      </c>
      <c r="T32" s="24" t="str">
        <f aca="false">IF($A32="","",IF(AND(T$2&gt;=09_ガント元データ!$G31,T$2&lt;=09_ガント元データ!$H31),"■",""))</f>
        <v/>
      </c>
      <c r="U32" s="24" t="str">
        <f aca="false">IF($A32="","",IF(AND(U$2&gt;=09_ガント元データ!$G31,U$2&lt;=09_ガント元データ!$H31),"■",""))</f>
        <v/>
      </c>
      <c r="V32" s="24" t="str">
        <f aca="false">IF($A32="","",IF(AND(V$2&gt;=09_ガント元データ!$G31,V$2&lt;=09_ガント元データ!$H31),"■",""))</f>
        <v/>
      </c>
      <c r="W32" s="24" t="str">
        <f aca="false">IF($A32="","",IF(AND(W$2&gt;=09_ガント元データ!$G31,W$2&lt;=09_ガント元データ!$H31),"■",""))</f>
        <v/>
      </c>
      <c r="X32" s="24" t="str">
        <f aca="false">IF($A32="","",IF(AND(X$2&gt;=09_ガント元データ!$G31,X$2&lt;=09_ガント元データ!$H31),"■",""))</f>
        <v/>
      </c>
      <c r="Y32" s="24" t="str">
        <f aca="false">IF($A32="","",IF(AND(Y$2&gt;=09_ガント元データ!$G31,Y$2&lt;=09_ガント元データ!$H31),"■",""))</f>
        <v/>
      </c>
      <c r="Z32" s="24" t="str">
        <f aca="false">IF($A32="","",IF(AND(Z$2&gt;=09_ガント元データ!$G31,Z$2&lt;=09_ガント元データ!$H31),"■",""))</f>
        <v/>
      </c>
      <c r="AA32" s="24" t="str">
        <f aca="false">IF($A32="","",IF(AND(AA$2&gt;=09_ガント元データ!$G31,AA$2&lt;=09_ガント元データ!$H31),"■",""))</f>
        <v/>
      </c>
      <c r="AB32" s="24" t="str">
        <f aca="false">IF($A32="","",IF(AND(AB$2&gt;=09_ガント元データ!$G31,AB$2&lt;=09_ガント元データ!$H31),"■",""))</f>
        <v/>
      </c>
      <c r="AC32" s="24" t="str">
        <f aca="false">IF($A32="","",IF(AND(AC$2&gt;=09_ガント元データ!$G31,AC$2&lt;=09_ガント元データ!$H31),"■",""))</f>
        <v/>
      </c>
      <c r="AD32" s="24" t="str">
        <f aca="false">IF($A32="","",IF(AND(AD$2&gt;=09_ガント元データ!$G31,AD$2&lt;=09_ガント元データ!$H31),"■",""))</f>
        <v/>
      </c>
      <c r="AE32" s="24" t="str">
        <f aca="false">IF($A32="","",IF(AND(AE$2&gt;=09_ガント元データ!$G31,AE$2&lt;=09_ガント元データ!$H31),"■",""))</f>
        <v/>
      </c>
      <c r="AF32" s="24" t="str">
        <f aca="false">IF($A32="","",IF(AND(AF$2&gt;=09_ガント元データ!$G31,AF$2&lt;=09_ガント元データ!$H31),"■",""))</f>
        <v/>
      </c>
      <c r="AG32" s="24" t="str">
        <f aca="false">IF($A32="","",IF(AND(AG$2&gt;=09_ガント元データ!$G31,AG$2&lt;=09_ガント元データ!$H31),"■",""))</f>
        <v/>
      </c>
      <c r="AH32" s="24" t="str">
        <f aca="false">IF($A32="","",IF(AND(AH$2&gt;=09_ガント元データ!$G31,AH$2&lt;=09_ガント元データ!$H31),"■",""))</f>
        <v/>
      </c>
      <c r="AI32" s="24" t="str">
        <f aca="false">IF($A32="","",IF(AND(AI$2&gt;=09_ガント元データ!$G31,AI$2&lt;=09_ガント元データ!$H31),"■",""))</f>
        <v/>
      </c>
      <c r="AJ32" s="24" t="str">
        <f aca="false">IF($A32="","",IF(AND(AJ$2&gt;=09_ガント元データ!$G31,AJ$2&lt;=09_ガント元データ!$H31),"■",""))</f>
        <v/>
      </c>
      <c r="AK32" s="24" t="str">
        <f aca="false">IF($A32="","",IF(AND(AK$2&gt;=09_ガント元データ!$G31,AK$2&lt;=09_ガント元データ!$H31),"■",""))</f>
        <v/>
      </c>
      <c r="AL32" s="24" t="str">
        <f aca="false">IF($A32="","",IF(AND(AL$2&gt;=09_ガント元データ!$G31,AL$2&lt;=09_ガント元データ!$H31),"■",""))</f>
        <v/>
      </c>
      <c r="AM32" s="24" t="str">
        <f aca="false">IF($A32="","",IF(AND(AM$2&gt;=09_ガント元データ!$G31,AM$2&lt;=09_ガント元データ!$H31),"■",""))</f>
        <v/>
      </c>
    </row>
    <row r="33" customFormat="false" ht="15" hidden="false" customHeight="false" outlineLevel="0" collapsed="false">
      <c r="A33" s="22" t="str">
        <f aca="false">09_ガント元データ!A32</f>
        <v/>
      </c>
      <c r="B33" s="22" t="str">
        <f aca="false">09_ガント元データ!B32</f>
        <v/>
      </c>
      <c r="C33" s="23" t="str">
        <f aca="false">09_ガント元データ!C32</f>
        <v/>
      </c>
      <c r="D33" s="24" t="str">
        <f aca="false">IF($A33="","",IF(AND(D$2&gt;=09_ガント元データ!$G32,D$2&lt;=09_ガント元データ!$H32),"■",""))</f>
        <v/>
      </c>
      <c r="E33" s="24" t="str">
        <f aca="false">IF($A33="","",IF(AND(E$2&gt;=09_ガント元データ!$G32,E$2&lt;=09_ガント元データ!$H32),"■",""))</f>
        <v/>
      </c>
      <c r="F33" s="24" t="str">
        <f aca="false">IF($A33="","",IF(AND(F$2&gt;=09_ガント元データ!$G32,F$2&lt;=09_ガント元データ!$H32),"■",""))</f>
        <v/>
      </c>
      <c r="G33" s="24" t="str">
        <f aca="false">IF($A33="","",IF(AND(G$2&gt;=09_ガント元データ!$G32,G$2&lt;=09_ガント元データ!$H32),"■",""))</f>
        <v/>
      </c>
      <c r="H33" s="24" t="str">
        <f aca="false">IF($A33="","",IF(AND(H$2&gt;=09_ガント元データ!$G32,H$2&lt;=09_ガント元データ!$H32),"■",""))</f>
        <v/>
      </c>
      <c r="I33" s="24" t="str">
        <f aca="false">IF($A33="","",IF(AND(I$2&gt;=09_ガント元データ!$G32,I$2&lt;=09_ガント元データ!$H32),"■",""))</f>
        <v/>
      </c>
      <c r="J33" s="24" t="str">
        <f aca="false">IF($A33="","",IF(AND(J$2&gt;=09_ガント元データ!$G32,J$2&lt;=09_ガント元データ!$H32),"■",""))</f>
        <v/>
      </c>
      <c r="K33" s="24" t="str">
        <f aca="false">IF($A33="","",IF(AND(K$2&gt;=09_ガント元データ!$G32,K$2&lt;=09_ガント元データ!$H32),"■",""))</f>
        <v/>
      </c>
      <c r="L33" s="24" t="str">
        <f aca="false">IF($A33="","",IF(AND(L$2&gt;=09_ガント元データ!$G32,L$2&lt;=09_ガント元データ!$H32),"■",""))</f>
        <v/>
      </c>
      <c r="M33" s="24" t="str">
        <f aca="false">IF($A33="","",IF(AND(M$2&gt;=09_ガント元データ!$G32,M$2&lt;=09_ガント元データ!$H32),"■",""))</f>
        <v/>
      </c>
      <c r="N33" s="24" t="str">
        <f aca="false">IF($A33="","",IF(AND(N$2&gt;=09_ガント元データ!$G32,N$2&lt;=09_ガント元データ!$H32),"■",""))</f>
        <v/>
      </c>
      <c r="O33" s="24" t="str">
        <f aca="false">IF($A33="","",IF(AND(O$2&gt;=09_ガント元データ!$G32,O$2&lt;=09_ガント元データ!$H32),"■",""))</f>
        <v/>
      </c>
      <c r="P33" s="24" t="str">
        <f aca="false">IF($A33="","",IF(AND(P$2&gt;=09_ガント元データ!$G32,P$2&lt;=09_ガント元データ!$H32),"■",""))</f>
        <v/>
      </c>
      <c r="Q33" s="24" t="str">
        <f aca="false">IF($A33="","",IF(AND(Q$2&gt;=09_ガント元データ!$G32,Q$2&lt;=09_ガント元データ!$H32),"■",""))</f>
        <v/>
      </c>
      <c r="R33" s="24" t="str">
        <f aca="false">IF($A33="","",IF(AND(R$2&gt;=09_ガント元データ!$G32,R$2&lt;=09_ガント元データ!$H32),"■",""))</f>
        <v/>
      </c>
      <c r="S33" s="24" t="str">
        <f aca="false">IF($A33="","",IF(AND(S$2&gt;=09_ガント元データ!$G32,S$2&lt;=09_ガント元データ!$H32),"■",""))</f>
        <v/>
      </c>
      <c r="T33" s="24" t="str">
        <f aca="false">IF($A33="","",IF(AND(T$2&gt;=09_ガント元データ!$G32,T$2&lt;=09_ガント元データ!$H32),"■",""))</f>
        <v/>
      </c>
      <c r="U33" s="24" t="str">
        <f aca="false">IF($A33="","",IF(AND(U$2&gt;=09_ガント元データ!$G32,U$2&lt;=09_ガント元データ!$H32),"■",""))</f>
        <v/>
      </c>
      <c r="V33" s="24" t="str">
        <f aca="false">IF($A33="","",IF(AND(V$2&gt;=09_ガント元データ!$G32,V$2&lt;=09_ガント元データ!$H32),"■",""))</f>
        <v/>
      </c>
      <c r="W33" s="24" t="str">
        <f aca="false">IF($A33="","",IF(AND(W$2&gt;=09_ガント元データ!$G32,W$2&lt;=09_ガント元データ!$H32),"■",""))</f>
        <v/>
      </c>
      <c r="X33" s="24" t="str">
        <f aca="false">IF($A33="","",IF(AND(X$2&gt;=09_ガント元データ!$G32,X$2&lt;=09_ガント元データ!$H32),"■",""))</f>
        <v/>
      </c>
      <c r="Y33" s="24" t="str">
        <f aca="false">IF($A33="","",IF(AND(Y$2&gt;=09_ガント元データ!$G32,Y$2&lt;=09_ガント元データ!$H32),"■",""))</f>
        <v/>
      </c>
      <c r="Z33" s="24" t="str">
        <f aca="false">IF($A33="","",IF(AND(Z$2&gt;=09_ガント元データ!$G32,Z$2&lt;=09_ガント元データ!$H32),"■",""))</f>
        <v/>
      </c>
      <c r="AA33" s="24" t="str">
        <f aca="false">IF($A33="","",IF(AND(AA$2&gt;=09_ガント元データ!$G32,AA$2&lt;=09_ガント元データ!$H32),"■",""))</f>
        <v/>
      </c>
      <c r="AB33" s="24" t="str">
        <f aca="false">IF($A33="","",IF(AND(AB$2&gt;=09_ガント元データ!$G32,AB$2&lt;=09_ガント元データ!$H32),"■",""))</f>
        <v/>
      </c>
      <c r="AC33" s="24" t="str">
        <f aca="false">IF($A33="","",IF(AND(AC$2&gt;=09_ガント元データ!$G32,AC$2&lt;=09_ガント元データ!$H32),"■",""))</f>
        <v/>
      </c>
      <c r="AD33" s="24" t="str">
        <f aca="false">IF($A33="","",IF(AND(AD$2&gt;=09_ガント元データ!$G32,AD$2&lt;=09_ガント元データ!$H32),"■",""))</f>
        <v/>
      </c>
      <c r="AE33" s="24" t="str">
        <f aca="false">IF($A33="","",IF(AND(AE$2&gt;=09_ガント元データ!$G32,AE$2&lt;=09_ガント元データ!$H32),"■",""))</f>
        <v/>
      </c>
      <c r="AF33" s="24" t="str">
        <f aca="false">IF($A33="","",IF(AND(AF$2&gt;=09_ガント元データ!$G32,AF$2&lt;=09_ガント元データ!$H32),"■",""))</f>
        <v/>
      </c>
      <c r="AG33" s="24" t="str">
        <f aca="false">IF($A33="","",IF(AND(AG$2&gt;=09_ガント元データ!$G32,AG$2&lt;=09_ガント元データ!$H32),"■",""))</f>
        <v/>
      </c>
      <c r="AH33" s="24" t="str">
        <f aca="false">IF($A33="","",IF(AND(AH$2&gt;=09_ガント元データ!$G32,AH$2&lt;=09_ガント元データ!$H32),"■",""))</f>
        <v/>
      </c>
      <c r="AI33" s="24" t="str">
        <f aca="false">IF($A33="","",IF(AND(AI$2&gt;=09_ガント元データ!$G32,AI$2&lt;=09_ガント元データ!$H32),"■",""))</f>
        <v/>
      </c>
      <c r="AJ33" s="24" t="str">
        <f aca="false">IF($A33="","",IF(AND(AJ$2&gt;=09_ガント元データ!$G32,AJ$2&lt;=09_ガント元データ!$H32),"■",""))</f>
        <v/>
      </c>
      <c r="AK33" s="24" t="str">
        <f aca="false">IF($A33="","",IF(AND(AK$2&gt;=09_ガント元データ!$G32,AK$2&lt;=09_ガント元データ!$H32),"■",""))</f>
        <v/>
      </c>
      <c r="AL33" s="24" t="str">
        <f aca="false">IF($A33="","",IF(AND(AL$2&gt;=09_ガント元データ!$G32,AL$2&lt;=09_ガント元データ!$H32),"■",""))</f>
        <v/>
      </c>
      <c r="AM33" s="24" t="str">
        <f aca="false">IF($A33="","",IF(AND(AM$2&gt;=09_ガント元データ!$G32,AM$2&lt;=09_ガント元データ!$H32),"■",""))</f>
        <v/>
      </c>
    </row>
    <row r="34" customFormat="false" ht="15" hidden="false" customHeight="false" outlineLevel="0" collapsed="false">
      <c r="A34" s="22" t="str">
        <f aca="false">09_ガント元データ!A33</f>
        <v/>
      </c>
      <c r="B34" s="22" t="str">
        <f aca="false">09_ガント元データ!B33</f>
        <v/>
      </c>
      <c r="C34" s="23" t="str">
        <f aca="false">09_ガント元データ!C33</f>
        <v/>
      </c>
      <c r="D34" s="24" t="str">
        <f aca="false">IF($A34="","",IF(AND(D$2&gt;=09_ガント元データ!$G33,D$2&lt;=09_ガント元データ!$H33),"■",""))</f>
        <v/>
      </c>
      <c r="E34" s="24" t="str">
        <f aca="false">IF($A34="","",IF(AND(E$2&gt;=09_ガント元データ!$G33,E$2&lt;=09_ガント元データ!$H33),"■",""))</f>
        <v/>
      </c>
      <c r="F34" s="24" t="str">
        <f aca="false">IF($A34="","",IF(AND(F$2&gt;=09_ガント元データ!$G33,F$2&lt;=09_ガント元データ!$H33),"■",""))</f>
        <v/>
      </c>
      <c r="G34" s="24" t="str">
        <f aca="false">IF($A34="","",IF(AND(G$2&gt;=09_ガント元データ!$G33,G$2&lt;=09_ガント元データ!$H33),"■",""))</f>
        <v/>
      </c>
      <c r="H34" s="24" t="str">
        <f aca="false">IF($A34="","",IF(AND(H$2&gt;=09_ガント元データ!$G33,H$2&lt;=09_ガント元データ!$H33),"■",""))</f>
        <v/>
      </c>
      <c r="I34" s="24" t="str">
        <f aca="false">IF($A34="","",IF(AND(I$2&gt;=09_ガント元データ!$G33,I$2&lt;=09_ガント元データ!$H33),"■",""))</f>
        <v/>
      </c>
      <c r="J34" s="24" t="str">
        <f aca="false">IF($A34="","",IF(AND(J$2&gt;=09_ガント元データ!$G33,J$2&lt;=09_ガント元データ!$H33),"■",""))</f>
        <v/>
      </c>
      <c r="K34" s="24" t="str">
        <f aca="false">IF($A34="","",IF(AND(K$2&gt;=09_ガント元データ!$G33,K$2&lt;=09_ガント元データ!$H33),"■",""))</f>
        <v/>
      </c>
      <c r="L34" s="24" t="str">
        <f aca="false">IF($A34="","",IF(AND(L$2&gt;=09_ガント元データ!$G33,L$2&lt;=09_ガント元データ!$H33),"■",""))</f>
        <v/>
      </c>
      <c r="M34" s="24" t="str">
        <f aca="false">IF($A34="","",IF(AND(M$2&gt;=09_ガント元データ!$G33,M$2&lt;=09_ガント元データ!$H33),"■",""))</f>
        <v/>
      </c>
      <c r="N34" s="24" t="str">
        <f aca="false">IF($A34="","",IF(AND(N$2&gt;=09_ガント元データ!$G33,N$2&lt;=09_ガント元データ!$H33),"■",""))</f>
        <v/>
      </c>
      <c r="O34" s="24" t="str">
        <f aca="false">IF($A34="","",IF(AND(O$2&gt;=09_ガント元データ!$G33,O$2&lt;=09_ガント元データ!$H33),"■",""))</f>
        <v/>
      </c>
      <c r="P34" s="24" t="str">
        <f aca="false">IF($A34="","",IF(AND(P$2&gt;=09_ガント元データ!$G33,P$2&lt;=09_ガント元データ!$H33),"■",""))</f>
        <v/>
      </c>
      <c r="Q34" s="24" t="str">
        <f aca="false">IF($A34="","",IF(AND(Q$2&gt;=09_ガント元データ!$G33,Q$2&lt;=09_ガント元データ!$H33),"■",""))</f>
        <v/>
      </c>
      <c r="R34" s="24" t="str">
        <f aca="false">IF($A34="","",IF(AND(R$2&gt;=09_ガント元データ!$G33,R$2&lt;=09_ガント元データ!$H33),"■",""))</f>
        <v/>
      </c>
      <c r="S34" s="24" t="str">
        <f aca="false">IF($A34="","",IF(AND(S$2&gt;=09_ガント元データ!$G33,S$2&lt;=09_ガント元データ!$H33),"■",""))</f>
        <v/>
      </c>
      <c r="T34" s="24" t="str">
        <f aca="false">IF($A34="","",IF(AND(T$2&gt;=09_ガント元データ!$G33,T$2&lt;=09_ガント元データ!$H33),"■",""))</f>
        <v/>
      </c>
      <c r="U34" s="24" t="str">
        <f aca="false">IF($A34="","",IF(AND(U$2&gt;=09_ガント元データ!$G33,U$2&lt;=09_ガント元データ!$H33),"■",""))</f>
        <v/>
      </c>
      <c r="V34" s="24" t="str">
        <f aca="false">IF($A34="","",IF(AND(V$2&gt;=09_ガント元データ!$G33,V$2&lt;=09_ガント元データ!$H33),"■",""))</f>
        <v/>
      </c>
      <c r="W34" s="24" t="str">
        <f aca="false">IF($A34="","",IF(AND(W$2&gt;=09_ガント元データ!$G33,W$2&lt;=09_ガント元データ!$H33),"■",""))</f>
        <v/>
      </c>
      <c r="X34" s="24" t="str">
        <f aca="false">IF($A34="","",IF(AND(X$2&gt;=09_ガント元データ!$G33,X$2&lt;=09_ガント元データ!$H33),"■",""))</f>
        <v/>
      </c>
      <c r="Y34" s="24" t="str">
        <f aca="false">IF($A34="","",IF(AND(Y$2&gt;=09_ガント元データ!$G33,Y$2&lt;=09_ガント元データ!$H33),"■",""))</f>
        <v/>
      </c>
      <c r="Z34" s="24" t="str">
        <f aca="false">IF($A34="","",IF(AND(Z$2&gt;=09_ガント元データ!$G33,Z$2&lt;=09_ガント元データ!$H33),"■",""))</f>
        <v/>
      </c>
      <c r="AA34" s="24" t="str">
        <f aca="false">IF($A34="","",IF(AND(AA$2&gt;=09_ガント元データ!$G33,AA$2&lt;=09_ガント元データ!$H33),"■",""))</f>
        <v/>
      </c>
      <c r="AB34" s="24" t="str">
        <f aca="false">IF($A34="","",IF(AND(AB$2&gt;=09_ガント元データ!$G33,AB$2&lt;=09_ガント元データ!$H33),"■",""))</f>
        <v/>
      </c>
      <c r="AC34" s="24" t="str">
        <f aca="false">IF($A34="","",IF(AND(AC$2&gt;=09_ガント元データ!$G33,AC$2&lt;=09_ガント元データ!$H33),"■",""))</f>
        <v/>
      </c>
      <c r="AD34" s="24" t="str">
        <f aca="false">IF($A34="","",IF(AND(AD$2&gt;=09_ガント元データ!$G33,AD$2&lt;=09_ガント元データ!$H33),"■",""))</f>
        <v/>
      </c>
      <c r="AE34" s="24" t="str">
        <f aca="false">IF($A34="","",IF(AND(AE$2&gt;=09_ガント元データ!$G33,AE$2&lt;=09_ガント元データ!$H33),"■",""))</f>
        <v/>
      </c>
      <c r="AF34" s="24" t="str">
        <f aca="false">IF($A34="","",IF(AND(AF$2&gt;=09_ガント元データ!$G33,AF$2&lt;=09_ガント元データ!$H33),"■",""))</f>
        <v/>
      </c>
      <c r="AG34" s="24" t="str">
        <f aca="false">IF($A34="","",IF(AND(AG$2&gt;=09_ガント元データ!$G33,AG$2&lt;=09_ガント元データ!$H33),"■",""))</f>
        <v/>
      </c>
      <c r="AH34" s="24" t="str">
        <f aca="false">IF($A34="","",IF(AND(AH$2&gt;=09_ガント元データ!$G33,AH$2&lt;=09_ガント元データ!$H33),"■",""))</f>
        <v/>
      </c>
      <c r="AI34" s="24" t="str">
        <f aca="false">IF($A34="","",IF(AND(AI$2&gt;=09_ガント元データ!$G33,AI$2&lt;=09_ガント元データ!$H33),"■",""))</f>
        <v/>
      </c>
      <c r="AJ34" s="24" t="str">
        <f aca="false">IF($A34="","",IF(AND(AJ$2&gt;=09_ガント元データ!$G33,AJ$2&lt;=09_ガント元データ!$H33),"■",""))</f>
        <v/>
      </c>
      <c r="AK34" s="24" t="str">
        <f aca="false">IF($A34="","",IF(AND(AK$2&gt;=09_ガント元データ!$G33,AK$2&lt;=09_ガント元データ!$H33),"■",""))</f>
        <v/>
      </c>
      <c r="AL34" s="24" t="str">
        <f aca="false">IF($A34="","",IF(AND(AL$2&gt;=09_ガント元データ!$G33,AL$2&lt;=09_ガント元データ!$H33),"■",""))</f>
        <v/>
      </c>
      <c r="AM34" s="24" t="str">
        <f aca="false">IF($A34="","",IF(AND(AM$2&gt;=09_ガント元データ!$G33,AM$2&lt;=09_ガント元データ!$H33),"■",""))</f>
        <v/>
      </c>
    </row>
    <row r="35" customFormat="false" ht="15" hidden="false" customHeight="false" outlineLevel="0" collapsed="false">
      <c r="A35" s="22" t="str">
        <f aca="false">09_ガント元データ!A34</f>
        <v/>
      </c>
      <c r="B35" s="22" t="str">
        <f aca="false">09_ガント元データ!B34</f>
        <v/>
      </c>
      <c r="C35" s="23" t="str">
        <f aca="false">09_ガント元データ!C34</f>
        <v/>
      </c>
      <c r="D35" s="24" t="str">
        <f aca="false">IF($A35="","",IF(AND(D$2&gt;=09_ガント元データ!$G34,D$2&lt;=09_ガント元データ!$H34),"■",""))</f>
        <v/>
      </c>
      <c r="E35" s="24" t="str">
        <f aca="false">IF($A35="","",IF(AND(E$2&gt;=09_ガント元データ!$G34,E$2&lt;=09_ガント元データ!$H34),"■",""))</f>
        <v/>
      </c>
      <c r="F35" s="24" t="str">
        <f aca="false">IF($A35="","",IF(AND(F$2&gt;=09_ガント元データ!$G34,F$2&lt;=09_ガント元データ!$H34),"■",""))</f>
        <v/>
      </c>
      <c r="G35" s="24" t="str">
        <f aca="false">IF($A35="","",IF(AND(G$2&gt;=09_ガント元データ!$G34,G$2&lt;=09_ガント元データ!$H34),"■",""))</f>
        <v/>
      </c>
      <c r="H35" s="24" t="str">
        <f aca="false">IF($A35="","",IF(AND(H$2&gt;=09_ガント元データ!$G34,H$2&lt;=09_ガント元データ!$H34),"■",""))</f>
        <v/>
      </c>
      <c r="I35" s="24" t="str">
        <f aca="false">IF($A35="","",IF(AND(I$2&gt;=09_ガント元データ!$G34,I$2&lt;=09_ガント元データ!$H34),"■",""))</f>
        <v/>
      </c>
      <c r="J35" s="24" t="str">
        <f aca="false">IF($A35="","",IF(AND(J$2&gt;=09_ガント元データ!$G34,J$2&lt;=09_ガント元データ!$H34),"■",""))</f>
        <v/>
      </c>
      <c r="K35" s="24" t="str">
        <f aca="false">IF($A35="","",IF(AND(K$2&gt;=09_ガント元データ!$G34,K$2&lt;=09_ガント元データ!$H34),"■",""))</f>
        <v/>
      </c>
      <c r="L35" s="24" t="str">
        <f aca="false">IF($A35="","",IF(AND(L$2&gt;=09_ガント元データ!$G34,L$2&lt;=09_ガント元データ!$H34),"■",""))</f>
        <v/>
      </c>
      <c r="M35" s="24" t="str">
        <f aca="false">IF($A35="","",IF(AND(M$2&gt;=09_ガント元データ!$G34,M$2&lt;=09_ガント元データ!$H34),"■",""))</f>
        <v/>
      </c>
      <c r="N35" s="24" t="str">
        <f aca="false">IF($A35="","",IF(AND(N$2&gt;=09_ガント元データ!$G34,N$2&lt;=09_ガント元データ!$H34),"■",""))</f>
        <v/>
      </c>
      <c r="O35" s="24" t="str">
        <f aca="false">IF($A35="","",IF(AND(O$2&gt;=09_ガント元データ!$G34,O$2&lt;=09_ガント元データ!$H34),"■",""))</f>
        <v/>
      </c>
      <c r="P35" s="24" t="str">
        <f aca="false">IF($A35="","",IF(AND(P$2&gt;=09_ガント元データ!$G34,P$2&lt;=09_ガント元データ!$H34),"■",""))</f>
        <v/>
      </c>
      <c r="Q35" s="24" t="str">
        <f aca="false">IF($A35="","",IF(AND(Q$2&gt;=09_ガント元データ!$G34,Q$2&lt;=09_ガント元データ!$H34),"■",""))</f>
        <v/>
      </c>
      <c r="R35" s="24" t="str">
        <f aca="false">IF($A35="","",IF(AND(R$2&gt;=09_ガント元データ!$G34,R$2&lt;=09_ガント元データ!$H34),"■",""))</f>
        <v/>
      </c>
      <c r="S35" s="24" t="str">
        <f aca="false">IF($A35="","",IF(AND(S$2&gt;=09_ガント元データ!$G34,S$2&lt;=09_ガント元データ!$H34),"■",""))</f>
        <v/>
      </c>
      <c r="T35" s="24" t="str">
        <f aca="false">IF($A35="","",IF(AND(T$2&gt;=09_ガント元データ!$G34,T$2&lt;=09_ガント元データ!$H34),"■",""))</f>
        <v/>
      </c>
      <c r="U35" s="24" t="str">
        <f aca="false">IF($A35="","",IF(AND(U$2&gt;=09_ガント元データ!$G34,U$2&lt;=09_ガント元データ!$H34),"■",""))</f>
        <v/>
      </c>
      <c r="V35" s="24" t="str">
        <f aca="false">IF($A35="","",IF(AND(V$2&gt;=09_ガント元データ!$G34,V$2&lt;=09_ガント元データ!$H34),"■",""))</f>
        <v/>
      </c>
      <c r="W35" s="24" t="str">
        <f aca="false">IF($A35="","",IF(AND(W$2&gt;=09_ガント元データ!$G34,W$2&lt;=09_ガント元データ!$H34),"■",""))</f>
        <v/>
      </c>
      <c r="X35" s="24" t="str">
        <f aca="false">IF($A35="","",IF(AND(X$2&gt;=09_ガント元データ!$G34,X$2&lt;=09_ガント元データ!$H34),"■",""))</f>
        <v/>
      </c>
      <c r="Y35" s="24" t="str">
        <f aca="false">IF($A35="","",IF(AND(Y$2&gt;=09_ガント元データ!$G34,Y$2&lt;=09_ガント元データ!$H34),"■",""))</f>
        <v/>
      </c>
      <c r="Z35" s="24" t="str">
        <f aca="false">IF($A35="","",IF(AND(Z$2&gt;=09_ガント元データ!$G34,Z$2&lt;=09_ガント元データ!$H34),"■",""))</f>
        <v/>
      </c>
      <c r="AA35" s="24" t="str">
        <f aca="false">IF($A35="","",IF(AND(AA$2&gt;=09_ガント元データ!$G34,AA$2&lt;=09_ガント元データ!$H34),"■",""))</f>
        <v/>
      </c>
      <c r="AB35" s="24" t="str">
        <f aca="false">IF($A35="","",IF(AND(AB$2&gt;=09_ガント元データ!$G34,AB$2&lt;=09_ガント元データ!$H34),"■",""))</f>
        <v/>
      </c>
      <c r="AC35" s="24" t="str">
        <f aca="false">IF($A35="","",IF(AND(AC$2&gt;=09_ガント元データ!$G34,AC$2&lt;=09_ガント元データ!$H34),"■",""))</f>
        <v/>
      </c>
      <c r="AD35" s="24" t="str">
        <f aca="false">IF($A35="","",IF(AND(AD$2&gt;=09_ガント元データ!$G34,AD$2&lt;=09_ガント元データ!$H34),"■",""))</f>
        <v/>
      </c>
      <c r="AE35" s="24" t="str">
        <f aca="false">IF($A35="","",IF(AND(AE$2&gt;=09_ガント元データ!$G34,AE$2&lt;=09_ガント元データ!$H34),"■",""))</f>
        <v/>
      </c>
      <c r="AF35" s="24" t="str">
        <f aca="false">IF($A35="","",IF(AND(AF$2&gt;=09_ガント元データ!$G34,AF$2&lt;=09_ガント元データ!$H34),"■",""))</f>
        <v/>
      </c>
      <c r="AG35" s="24" t="str">
        <f aca="false">IF($A35="","",IF(AND(AG$2&gt;=09_ガント元データ!$G34,AG$2&lt;=09_ガント元データ!$H34),"■",""))</f>
        <v/>
      </c>
      <c r="AH35" s="24" t="str">
        <f aca="false">IF($A35="","",IF(AND(AH$2&gt;=09_ガント元データ!$G34,AH$2&lt;=09_ガント元データ!$H34),"■",""))</f>
        <v/>
      </c>
      <c r="AI35" s="24" t="str">
        <f aca="false">IF($A35="","",IF(AND(AI$2&gt;=09_ガント元データ!$G34,AI$2&lt;=09_ガント元データ!$H34),"■",""))</f>
        <v/>
      </c>
      <c r="AJ35" s="24" t="str">
        <f aca="false">IF($A35="","",IF(AND(AJ$2&gt;=09_ガント元データ!$G34,AJ$2&lt;=09_ガント元データ!$H34),"■",""))</f>
        <v/>
      </c>
      <c r="AK35" s="24" t="str">
        <f aca="false">IF($A35="","",IF(AND(AK$2&gt;=09_ガント元データ!$G34,AK$2&lt;=09_ガント元データ!$H34),"■",""))</f>
        <v/>
      </c>
      <c r="AL35" s="24" t="str">
        <f aca="false">IF($A35="","",IF(AND(AL$2&gt;=09_ガント元データ!$G34,AL$2&lt;=09_ガント元データ!$H34),"■",""))</f>
        <v/>
      </c>
      <c r="AM35" s="24" t="str">
        <f aca="false">IF($A35="","",IF(AND(AM$2&gt;=09_ガント元データ!$G34,AM$2&lt;=09_ガント元データ!$H34),"■",""))</f>
        <v/>
      </c>
    </row>
    <row r="36" customFormat="false" ht="15" hidden="false" customHeight="false" outlineLevel="0" collapsed="false">
      <c r="A36" s="22" t="str">
        <f aca="false">09_ガント元データ!A35</f>
        <v/>
      </c>
      <c r="B36" s="22" t="str">
        <f aca="false">09_ガント元データ!B35</f>
        <v/>
      </c>
      <c r="C36" s="23" t="str">
        <f aca="false">09_ガント元データ!C35</f>
        <v/>
      </c>
      <c r="D36" s="24" t="str">
        <f aca="false">IF($A36="","",IF(AND(D$2&gt;=09_ガント元データ!$G35,D$2&lt;=09_ガント元データ!$H35),"■",""))</f>
        <v/>
      </c>
      <c r="E36" s="24" t="str">
        <f aca="false">IF($A36="","",IF(AND(E$2&gt;=09_ガント元データ!$G35,E$2&lt;=09_ガント元データ!$H35),"■",""))</f>
        <v/>
      </c>
      <c r="F36" s="24" t="str">
        <f aca="false">IF($A36="","",IF(AND(F$2&gt;=09_ガント元データ!$G35,F$2&lt;=09_ガント元データ!$H35),"■",""))</f>
        <v/>
      </c>
      <c r="G36" s="24" t="str">
        <f aca="false">IF($A36="","",IF(AND(G$2&gt;=09_ガント元データ!$G35,G$2&lt;=09_ガント元データ!$H35),"■",""))</f>
        <v/>
      </c>
      <c r="H36" s="24" t="str">
        <f aca="false">IF($A36="","",IF(AND(H$2&gt;=09_ガント元データ!$G35,H$2&lt;=09_ガント元データ!$H35),"■",""))</f>
        <v/>
      </c>
      <c r="I36" s="24" t="str">
        <f aca="false">IF($A36="","",IF(AND(I$2&gt;=09_ガント元データ!$G35,I$2&lt;=09_ガント元データ!$H35),"■",""))</f>
        <v/>
      </c>
      <c r="J36" s="24" t="str">
        <f aca="false">IF($A36="","",IF(AND(J$2&gt;=09_ガント元データ!$G35,J$2&lt;=09_ガント元データ!$H35),"■",""))</f>
        <v/>
      </c>
      <c r="K36" s="24" t="str">
        <f aca="false">IF($A36="","",IF(AND(K$2&gt;=09_ガント元データ!$G35,K$2&lt;=09_ガント元データ!$H35),"■",""))</f>
        <v/>
      </c>
      <c r="L36" s="24" t="str">
        <f aca="false">IF($A36="","",IF(AND(L$2&gt;=09_ガント元データ!$G35,L$2&lt;=09_ガント元データ!$H35),"■",""))</f>
        <v/>
      </c>
      <c r="M36" s="24" t="str">
        <f aca="false">IF($A36="","",IF(AND(M$2&gt;=09_ガント元データ!$G35,M$2&lt;=09_ガント元データ!$H35),"■",""))</f>
        <v/>
      </c>
      <c r="N36" s="24" t="str">
        <f aca="false">IF($A36="","",IF(AND(N$2&gt;=09_ガント元データ!$G35,N$2&lt;=09_ガント元データ!$H35),"■",""))</f>
        <v/>
      </c>
      <c r="O36" s="24" t="str">
        <f aca="false">IF($A36="","",IF(AND(O$2&gt;=09_ガント元データ!$G35,O$2&lt;=09_ガント元データ!$H35),"■",""))</f>
        <v/>
      </c>
      <c r="P36" s="24" t="str">
        <f aca="false">IF($A36="","",IF(AND(P$2&gt;=09_ガント元データ!$G35,P$2&lt;=09_ガント元データ!$H35),"■",""))</f>
        <v/>
      </c>
      <c r="Q36" s="24" t="str">
        <f aca="false">IF($A36="","",IF(AND(Q$2&gt;=09_ガント元データ!$G35,Q$2&lt;=09_ガント元データ!$H35),"■",""))</f>
        <v/>
      </c>
      <c r="R36" s="24" t="str">
        <f aca="false">IF($A36="","",IF(AND(R$2&gt;=09_ガント元データ!$G35,R$2&lt;=09_ガント元データ!$H35),"■",""))</f>
        <v/>
      </c>
      <c r="S36" s="24" t="str">
        <f aca="false">IF($A36="","",IF(AND(S$2&gt;=09_ガント元データ!$G35,S$2&lt;=09_ガント元データ!$H35),"■",""))</f>
        <v/>
      </c>
      <c r="T36" s="24" t="str">
        <f aca="false">IF($A36="","",IF(AND(T$2&gt;=09_ガント元データ!$G35,T$2&lt;=09_ガント元データ!$H35),"■",""))</f>
        <v/>
      </c>
      <c r="U36" s="24" t="str">
        <f aca="false">IF($A36="","",IF(AND(U$2&gt;=09_ガント元データ!$G35,U$2&lt;=09_ガント元データ!$H35),"■",""))</f>
        <v/>
      </c>
      <c r="V36" s="24" t="str">
        <f aca="false">IF($A36="","",IF(AND(V$2&gt;=09_ガント元データ!$G35,V$2&lt;=09_ガント元データ!$H35),"■",""))</f>
        <v/>
      </c>
      <c r="W36" s="24" t="str">
        <f aca="false">IF($A36="","",IF(AND(W$2&gt;=09_ガント元データ!$G35,W$2&lt;=09_ガント元データ!$H35),"■",""))</f>
        <v/>
      </c>
      <c r="X36" s="24" t="str">
        <f aca="false">IF($A36="","",IF(AND(X$2&gt;=09_ガント元データ!$G35,X$2&lt;=09_ガント元データ!$H35),"■",""))</f>
        <v/>
      </c>
      <c r="Y36" s="24" t="str">
        <f aca="false">IF($A36="","",IF(AND(Y$2&gt;=09_ガント元データ!$G35,Y$2&lt;=09_ガント元データ!$H35),"■",""))</f>
        <v/>
      </c>
      <c r="Z36" s="24" t="str">
        <f aca="false">IF($A36="","",IF(AND(Z$2&gt;=09_ガント元データ!$G35,Z$2&lt;=09_ガント元データ!$H35),"■",""))</f>
        <v/>
      </c>
      <c r="AA36" s="24" t="str">
        <f aca="false">IF($A36="","",IF(AND(AA$2&gt;=09_ガント元データ!$G35,AA$2&lt;=09_ガント元データ!$H35),"■",""))</f>
        <v/>
      </c>
      <c r="AB36" s="24" t="str">
        <f aca="false">IF($A36="","",IF(AND(AB$2&gt;=09_ガント元データ!$G35,AB$2&lt;=09_ガント元データ!$H35),"■",""))</f>
        <v/>
      </c>
      <c r="AC36" s="24" t="str">
        <f aca="false">IF($A36="","",IF(AND(AC$2&gt;=09_ガント元データ!$G35,AC$2&lt;=09_ガント元データ!$H35),"■",""))</f>
        <v/>
      </c>
      <c r="AD36" s="24" t="str">
        <f aca="false">IF($A36="","",IF(AND(AD$2&gt;=09_ガント元データ!$G35,AD$2&lt;=09_ガント元データ!$H35),"■",""))</f>
        <v/>
      </c>
      <c r="AE36" s="24" t="str">
        <f aca="false">IF($A36="","",IF(AND(AE$2&gt;=09_ガント元データ!$G35,AE$2&lt;=09_ガント元データ!$H35),"■",""))</f>
        <v/>
      </c>
      <c r="AF36" s="24" t="str">
        <f aca="false">IF($A36="","",IF(AND(AF$2&gt;=09_ガント元データ!$G35,AF$2&lt;=09_ガント元データ!$H35),"■",""))</f>
        <v/>
      </c>
      <c r="AG36" s="24" t="str">
        <f aca="false">IF($A36="","",IF(AND(AG$2&gt;=09_ガント元データ!$G35,AG$2&lt;=09_ガント元データ!$H35),"■",""))</f>
        <v/>
      </c>
      <c r="AH36" s="24" t="str">
        <f aca="false">IF($A36="","",IF(AND(AH$2&gt;=09_ガント元データ!$G35,AH$2&lt;=09_ガント元データ!$H35),"■",""))</f>
        <v/>
      </c>
      <c r="AI36" s="24" t="str">
        <f aca="false">IF($A36="","",IF(AND(AI$2&gt;=09_ガント元データ!$G35,AI$2&lt;=09_ガント元データ!$H35),"■",""))</f>
        <v/>
      </c>
      <c r="AJ36" s="24" t="str">
        <f aca="false">IF($A36="","",IF(AND(AJ$2&gt;=09_ガント元データ!$G35,AJ$2&lt;=09_ガント元データ!$H35),"■",""))</f>
        <v/>
      </c>
      <c r="AK36" s="24" t="str">
        <f aca="false">IF($A36="","",IF(AND(AK$2&gt;=09_ガント元データ!$G35,AK$2&lt;=09_ガント元データ!$H35),"■",""))</f>
        <v/>
      </c>
      <c r="AL36" s="24" t="str">
        <f aca="false">IF($A36="","",IF(AND(AL$2&gt;=09_ガント元データ!$G35,AL$2&lt;=09_ガント元データ!$H35),"■",""))</f>
        <v/>
      </c>
      <c r="AM36" s="24" t="str">
        <f aca="false">IF($A36="","",IF(AND(AM$2&gt;=09_ガント元データ!$G35,AM$2&lt;=09_ガント元データ!$H35),"■",""))</f>
        <v/>
      </c>
    </row>
    <row r="37" customFormat="false" ht="15" hidden="false" customHeight="false" outlineLevel="0" collapsed="false">
      <c r="A37" s="22" t="str">
        <f aca="false">09_ガント元データ!A36</f>
        <v/>
      </c>
      <c r="B37" s="22" t="str">
        <f aca="false">09_ガント元データ!B36</f>
        <v/>
      </c>
      <c r="C37" s="23" t="str">
        <f aca="false">09_ガント元データ!C36</f>
        <v/>
      </c>
      <c r="D37" s="24" t="str">
        <f aca="false">IF($A37="","",IF(AND(D$2&gt;=09_ガント元データ!$G36,D$2&lt;=09_ガント元データ!$H36),"■",""))</f>
        <v/>
      </c>
      <c r="E37" s="24" t="str">
        <f aca="false">IF($A37="","",IF(AND(E$2&gt;=09_ガント元データ!$G36,E$2&lt;=09_ガント元データ!$H36),"■",""))</f>
        <v/>
      </c>
      <c r="F37" s="24" t="str">
        <f aca="false">IF($A37="","",IF(AND(F$2&gt;=09_ガント元データ!$G36,F$2&lt;=09_ガント元データ!$H36),"■",""))</f>
        <v/>
      </c>
      <c r="G37" s="24" t="str">
        <f aca="false">IF($A37="","",IF(AND(G$2&gt;=09_ガント元データ!$G36,G$2&lt;=09_ガント元データ!$H36),"■",""))</f>
        <v/>
      </c>
      <c r="H37" s="24" t="str">
        <f aca="false">IF($A37="","",IF(AND(H$2&gt;=09_ガント元データ!$G36,H$2&lt;=09_ガント元データ!$H36),"■",""))</f>
        <v/>
      </c>
      <c r="I37" s="24" t="str">
        <f aca="false">IF($A37="","",IF(AND(I$2&gt;=09_ガント元データ!$G36,I$2&lt;=09_ガント元データ!$H36),"■",""))</f>
        <v/>
      </c>
      <c r="J37" s="24" t="str">
        <f aca="false">IF($A37="","",IF(AND(J$2&gt;=09_ガント元データ!$G36,J$2&lt;=09_ガント元データ!$H36),"■",""))</f>
        <v/>
      </c>
      <c r="K37" s="24" t="str">
        <f aca="false">IF($A37="","",IF(AND(K$2&gt;=09_ガント元データ!$G36,K$2&lt;=09_ガント元データ!$H36),"■",""))</f>
        <v/>
      </c>
      <c r="L37" s="24" t="str">
        <f aca="false">IF($A37="","",IF(AND(L$2&gt;=09_ガント元データ!$G36,L$2&lt;=09_ガント元データ!$H36),"■",""))</f>
        <v/>
      </c>
      <c r="M37" s="24" t="str">
        <f aca="false">IF($A37="","",IF(AND(M$2&gt;=09_ガント元データ!$G36,M$2&lt;=09_ガント元データ!$H36),"■",""))</f>
        <v/>
      </c>
      <c r="N37" s="24" t="str">
        <f aca="false">IF($A37="","",IF(AND(N$2&gt;=09_ガント元データ!$G36,N$2&lt;=09_ガント元データ!$H36),"■",""))</f>
        <v/>
      </c>
      <c r="O37" s="24" t="str">
        <f aca="false">IF($A37="","",IF(AND(O$2&gt;=09_ガント元データ!$G36,O$2&lt;=09_ガント元データ!$H36),"■",""))</f>
        <v/>
      </c>
      <c r="P37" s="24" t="str">
        <f aca="false">IF($A37="","",IF(AND(P$2&gt;=09_ガント元データ!$G36,P$2&lt;=09_ガント元データ!$H36),"■",""))</f>
        <v/>
      </c>
      <c r="Q37" s="24" t="str">
        <f aca="false">IF($A37="","",IF(AND(Q$2&gt;=09_ガント元データ!$G36,Q$2&lt;=09_ガント元データ!$H36),"■",""))</f>
        <v/>
      </c>
      <c r="R37" s="24" t="str">
        <f aca="false">IF($A37="","",IF(AND(R$2&gt;=09_ガント元データ!$G36,R$2&lt;=09_ガント元データ!$H36),"■",""))</f>
        <v/>
      </c>
      <c r="S37" s="24" t="str">
        <f aca="false">IF($A37="","",IF(AND(S$2&gt;=09_ガント元データ!$G36,S$2&lt;=09_ガント元データ!$H36),"■",""))</f>
        <v/>
      </c>
      <c r="T37" s="24" t="str">
        <f aca="false">IF($A37="","",IF(AND(T$2&gt;=09_ガント元データ!$G36,T$2&lt;=09_ガント元データ!$H36),"■",""))</f>
        <v/>
      </c>
      <c r="U37" s="24" t="str">
        <f aca="false">IF($A37="","",IF(AND(U$2&gt;=09_ガント元データ!$G36,U$2&lt;=09_ガント元データ!$H36),"■",""))</f>
        <v/>
      </c>
      <c r="V37" s="24" t="str">
        <f aca="false">IF($A37="","",IF(AND(V$2&gt;=09_ガント元データ!$G36,V$2&lt;=09_ガント元データ!$H36),"■",""))</f>
        <v/>
      </c>
      <c r="W37" s="24" t="str">
        <f aca="false">IF($A37="","",IF(AND(W$2&gt;=09_ガント元データ!$G36,W$2&lt;=09_ガント元データ!$H36),"■",""))</f>
        <v/>
      </c>
      <c r="X37" s="24" t="str">
        <f aca="false">IF($A37="","",IF(AND(X$2&gt;=09_ガント元データ!$G36,X$2&lt;=09_ガント元データ!$H36),"■",""))</f>
        <v/>
      </c>
      <c r="Y37" s="24" t="str">
        <f aca="false">IF($A37="","",IF(AND(Y$2&gt;=09_ガント元データ!$G36,Y$2&lt;=09_ガント元データ!$H36),"■",""))</f>
        <v/>
      </c>
      <c r="Z37" s="24" t="str">
        <f aca="false">IF($A37="","",IF(AND(Z$2&gt;=09_ガント元データ!$G36,Z$2&lt;=09_ガント元データ!$H36),"■",""))</f>
        <v/>
      </c>
      <c r="AA37" s="24" t="str">
        <f aca="false">IF($A37="","",IF(AND(AA$2&gt;=09_ガント元データ!$G36,AA$2&lt;=09_ガント元データ!$H36),"■",""))</f>
        <v/>
      </c>
      <c r="AB37" s="24" t="str">
        <f aca="false">IF($A37="","",IF(AND(AB$2&gt;=09_ガント元データ!$G36,AB$2&lt;=09_ガント元データ!$H36),"■",""))</f>
        <v/>
      </c>
      <c r="AC37" s="24" t="str">
        <f aca="false">IF($A37="","",IF(AND(AC$2&gt;=09_ガント元データ!$G36,AC$2&lt;=09_ガント元データ!$H36),"■",""))</f>
        <v/>
      </c>
      <c r="AD37" s="24" t="str">
        <f aca="false">IF($A37="","",IF(AND(AD$2&gt;=09_ガント元データ!$G36,AD$2&lt;=09_ガント元データ!$H36),"■",""))</f>
        <v/>
      </c>
      <c r="AE37" s="24" t="str">
        <f aca="false">IF($A37="","",IF(AND(AE$2&gt;=09_ガント元データ!$G36,AE$2&lt;=09_ガント元データ!$H36),"■",""))</f>
        <v/>
      </c>
      <c r="AF37" s="24" t="str">
        <f aca="false">IF($A37="","",IF(AND(AF$2&gt;=09_ガント元データ!$G36,AF$2&lt;=09_ガント元データ!$H36),"■",""))</f>
        <v/>
      </c>
      <c r="AG37" s="24" t="str">
        <f aca="false">IF($A37="","",IF(AND(AG$2&gt;=09_ガント元データ!$G36,AG$2&lt;=09_ガント元データ!$H36),"■",""))</f>
        <v/>
      </c>
      <c r="AH37" s="24" t="str">
        <f aca="false">IF($A37="","",IF(AND(AH$2&gt;=09_ガント元データ!$G36,AH$2&lt;=09_ガント元データ!$H36),"■",""))</f>
        <v/>
      </c>
      <c r="AI37" s="24" t="str">
        <f aca="false">IF($A37="","",IF(AND(AI$2&gt;=09_ガント元データ!$G36,AI$2&lt;=09_ガント元データ!$H36),"■",""))</f>
        <v/>
      </c>
      <c r="AJ37" s="24" t="str">
        <f aca="false">IF($A37="","",IF(AND(AJ$2&gt;=09_ガント元データ!$G36,AJ$2&lt;=09_ガント元データ!$H36),"■",""))</f>
        <v/>
      </c>
      <c r="AK37" s="24" t="str">
        <f aca="false">IF($A37="","",IF(AND(AK$2&gt;=09_ガント元データ!$G36,AK$2&lt;=09_ガント元データ!$H36),"■",""))</f>
        <v/>
      </c>
      <c r="AL37" s="24" t="str">
        <f aca="false">IF($A37="","",IF(AND(AL$2&gt;=09_ガント元データ!$G36,AL$2&lt;=09_ガント元データ!$H36),"■",""))</f>
        <v/>
      </c>
      <c r="AM37" s="24" t="str">
        <f aca="false">IF($A37="","",IF(AND(AM$2&gt;=09_ガント元データ!$G36,AM$2&lt;=09_ガント元データ!$H36),"■",""))</f>
        <v/>
      </c>
    </row>
    <row r="38" customFormat="false" ht="15" hidden="false" customHeight="false" outlineLevel="0" collapsed="false">
      <c r="A38" s="22" t="str">
        <f aca="false">09_ガント元データ!A37</f>
        <v/>
      </c>
      <c r="B38" s="22" t="str">
        <f aca="false">09_ガント元データ!B37</f>
        <v/>
      </c>
      <c r="C38" s="23" t="str">
        <f aca="false">09_ガント元データ!C37</f>
        <v/>
      </c>
      <c r="D38" s="24" t="str">
        <f aca="false">IF($A38="","",IF(AND(D$2&gt;=09_ガント元データ!$G37,D$2&lt;=09_ガント元データ!$H37),"■",""))</f>
        <v/>
      </c>
      <c r="E38" s="24" t="str">
        <f aca="false">IF($A38="","",IF(AND(E$2&gt;=09_ガント元データ!$G37,E$2&lt;=09_ガント元データ!$H37),"■",""))</f>
        <v/>
      </c>
      <c r="F38" s="24" t="str">
        <f aca="false">IF($A38="","",IF(AND(F$2&gt;=09_ガント元データ!$G37,F$2&lt;=09_ガント元データ!$H37),"■",""))</f>
        <v/>
      </c>
      <c r="G38" s="24" t="str">
        <f aca="false">IF($A38="","",IF(AND(G$2&gt;=09_ガント元データ!$G37,G$2&lt;=09_ガント元データ!$H37),"■",""))</f>
        <v/>
      </c>
      <c r="H38" s="24" t="str">
        <f aca="false">IF($A38="","",IF(AND(H$2&gt;=09_ガント元データ!$G37,H$2&lt;=09_ガント元データ!$H37),"■",""))</f>
        <v/>
      </c>
      <c r="I38" s="24" t="str">
        <f aca="false">IF($A38="","",IF(AND(I$2&gt;=09_ガント元データ!$G37,I$2&lt;=09_ガント元データ!$H37),"■",""))</f>
        <v/>
      </c>
      <c r="J38" s="24" t="str">
        <f aca="false">IF($A38="","",IF(AND(J$2&gt;=09_ガント元データ!$G37,J$2&lt;=09_ガント元データ!$H37),"■",""))</f>
        <v/>
      </c>
      <c r="K38" s="24" t="str">
        <f aca="false">IF($A38="","",IF(AND(K$2&gt;=09_ガント元データ!$G37,K$2&lt;=09_ガント元データ!$H37),"■",""))</f>
        <v/>
      </c>
      <c r="L38" s="24" t="str">
        <f aca="false">IF($A38="","",IF(AND(L$2&gt;=09_ガント元データ!$G37,L$2&lt;=09_ガント元データ!$H37),"■",""))</f>
        <v/>
      </c>
      <c r="M38" s="24" t="str">
        <f aca="false">IF($A38="","",IF(AND(M$2&gt;=09_ガント元データ!$G37,M$2&lt;=09_ガント元データ!$H37),"■",""))</f>
        <v/>
      </c>
      <c r="N38" s="24" t="str">
        <f aca="false">IF($A38="","",IF(AND(N$2&gt;=09_ガント元データ!$G37,N$2&lt;=09_ガント元データ!$H37),"■",""))</f>
        <v/>
      </c>
      <c r="O38" s="24" t="str">
        <f aca="false">IF($A38="","",IF(AND(O$2&gt;=09_ガント元データ!$G37,O$2&lt;=09_ガント元データ!$H37),"■",""))</f>
        <v/>
      </c>
      <c r="P38" s="24" t="str">
        <f aca="false">IF($A38="","",IF(AND(P$2&gt;=09_ガント元データ!$G37,P$2&lt;=09_ガント元データ!$H37),"■",""))</f>
        <v/>
      </c>
      <c r="Q38" s="24" t="str">
        <f aca="false">IF($A38="","",IF(AND(Q$2&gt;=09_ガント元データ!$G37,Q$2&lt;=09_ガント元データ!$H37),"■",""))</f>
        <v/>
      </c>
      <c r="R38" s="24" t="str">
        <f aca="false">IF($A38="","",IF(AND(R$2&gt;=09_ガント元データ!$G37,R$2&lt;=09_ガント元データ!$H37),"■",""))</f>
        <v/>
      </c>
      <c r="S38" s="24" t="str">
        <f aca="false">IF($A38="","",IF(AND(S$2&gt;=09_ガント元データ!$G37,S$2&lt;=09_ガント元データ!$H37),"■",""))</f>
        <v/>
      </c>
      <c r="T38" s="24" t="str">
        <f aca="false">IF($A38="","",IF(AND(T$2&gt;=09_ガント元データ!$G37,T$2&lt;=09_ガント元データ!$H37),"■",""))</f>
        <v/>
      </c>
      <c r="U38" s="24" t="str">
        <f aca="false">IF($A38="","",IF(AND(U$2&gt;=09_ガント元データ!$G37,U$2&lt;=09_ガント元データ!$H37),"■",""))</f>
        <v/>
      </c>
      <c r="V38" s="24" t="str">
        <f aca="false">IF($A38="","",IF(AND(V$2&gt;=09_ガント元データ!$G37,V$2&lt;=09_ガント元データ!$H37),"■",""))</f>
        <v/>
      </c>
      <c r="W38" s="24" t="str">
        <f aca="false">IF($A38="","",IF(AND(W$2&gt;=09_ガント元データ!$G37,W$2&lt;=09_ガント元データ!$H37),"■",""))</f>
        <v/>
      </c>
      <c r="X38" s="24" t="str">
        <f aca="false">IF($A38="","",IF(AND(X$2&gt;=09_ガント元データ!$G37,X$2&lt;=09_ガント元データ!$H37),"■",""))</f>
        <v/>
      </c>
      <c r="Y38" s="24" t="str">
        <f aca="false">IF($A38="","",IF(AND(Y$2&gt;=09_ガント元データ!$G37,Y$2&lt;=09_ガント元データ!$H37),"■",""))</f>
        <v/>
      </c>
      <c r="Z38" s="24" t="str">
        <f aca="false">IF($A38="","",IF(AND(Z$2&gt;=09_ガント元データ!$G37,Z$2&lt;=09_ガント元データ!$H37),"■",""))</f>
        <v/>
      </c>
      <c r="AA38" s="24" t="str">
        <f aca="false">IF($A38="","",IF(AND(AA$2&gt;=09_ガント元データ!$G37,AA$2&lt;=09_ガント元データ!$H37),"■",""))</f>
        <v/>
      </c>
      <c r="AB38" s="24" t="str">
        <f aca="false">IF($A38="","",IF(AND(AB$2&gt;=09_ガント元データ!$G37,AB$2&lt;=09_ガント元データ!$H37),"■",""))</f>
        <v/>
      </c>
      <c r="AC38" s="24" t="str">
        <f aca="false">IF($A38="","",IF(AND(AC$2&gt;=09_ガント元データ!$G37,AC$2&lt;=09_ガント元データ!$H37),"■",""))</f>
        <v/>
      </c>
      <c r="AD38" s="24" t="str">
        <f aca="false">IF($A38="","",IF(AND(AD$2&gt;=09_ガント元データ!$G37,AD$2&lt;=09_ガント元データ!$H37),"■",""))</f>
        <v/>
      </c>
      <c r="AE38" s="24" t="str">
        <f aca="false">IF($A38="","",IF(AND(AE$2&gt;=09_ガント元データ!$G37,AE$2&lt;=09_ガント元データ!$H37),"■",""))</f>
        <v/>
      </c>
      <c r="AF38" s="24" t="str">
        <f aca="false">IF($A38="","",IF(AND(AF$2&gt;=09_ガント元データ!$G37,AF$2&lt;=09_ガント元データ!$H37),"■",""))</f>
        <v/>
      </c>
      <c r="AG38" s="24" t="str">
        <f aca="false">IF($A38="","",IF(AND(AG$2&gt;=09_ガント元データ!$G37,AG$2&lt;=09_ガント元データ!$H37),"■",""))</f>
        <v/>
      </c>
      <c r="AH38" s="24" t="str">
        <f aca="false">IF($A38="","",IF(AND(AH$2&gt;=09_ガント元データ!$G37,AH$2&lt;=09_ガント元データ!$H37),"■",""))</f>
        <v/>
      </c>
      <c r="AI38" s="24" t="str">
        <f aca="false">IF($A38="","",IF(AND(AI$2&gt;=09_ガント元データ!$G37,AI$2&lt;=09_ガント元データ!$H37),"■",""))</f>
        <v/>
      </c>
      <c r="AJ38" s="24" t="str">
        <f aca="false">IF($A38="","",IF(AND(AJ$2&gt;=09_ガント元データ!$G37,AJ$2&lt;=09_ガント元データ!$H37),"■",""))</f>
        <v/>
      </c>
      <c r="AK38" s="24" t="str">
        <f aca="false">IF($A38="","",IF(AND(AK$2&gt;=09_ガント元データ!$G37,AK$2&lt;=09_ガント元データ!$H37),"■",""))</f>
        <v/>
      </c>
      <c r="AL38" s="24" t="str">
        <f aca="false">IF($A38="","",IF(AND(AL$2&gt;=09_ガント元データ!$G37,AL$2&lt;=09_ガント元データ!$H37),"■",""))</f>
        <v/>
      </c>
      <c r="AM38" s="24" t="str">
        <f aca="false">IF($A38="","",IF(AND(AM$2&gt;=09_ガント元データ!$G37,AM$2&lt;=09_ガント元データ!$H37),"■",""))</f>
        <v/>
      </c>
    </row>
    <row r="39" customFormat="false" ht="15" hidden="false" customHeight="false" outlineLevel="0" collapsed="false">
      <c r="A39" s="22" t="str">
        <f aca="false">09_ガント元データ!A38</f>
        <v/>
      </c>
      <c r="B39" s="22" t="str">
        <f aca="false">09_ガント元データ!B38</f>
        <v/>
      </c>
      <c r="C39" s="23" t="str">
        <f aca="false">09_ガント元データ!C38</f>
        <v/>
      </c>
      <c r="D39" s="24" t="str">
        <f aca="false">IF($A39="","",IF(AND(D$2&gt;=09_ガント元データ!$G38,D$2&lt;=09_ガント元データ!$H38),"■",""))</f>
        <v/>
      </c>
      <c r="E39" s="24" t="str">
        <f aca="false">IF($A39="","",IF(AND(E$2&gt;=09_ガント元データ!$G38,E$2&lt;=09_ガント元データ!$H38),"■",""))</f>
        <v/>
      </c>
      <c r="F39" s="24" t="str">
        <f aca="false">IF($A39="","",IF(AND(F$2&gt;=09_ガント元データ!$G38,F$2&lt;=09_ガント元データ!$H38),"■",""))</f>
        <v/>
      </c>
      <c r="G39" s="24" t="str">
        <f aca="false">IF($A39="","",IF(AND(G$2&gt;=09_ガント元データ!$G38,G$2&lt;=09_ガント元データ!$H38),"■",""))</f>
        <v/>
      </c>
      <c r="H39" s="24" t="str">
        <f aca="false">IF($A39="","",IF(AND(H$2&gt;=09_ガント元データ!$G38,H$2&lt;=09_ガント元データ!$H38),"■",""))</f>
        <v/>
      </c>
      <c r="I39" s="24" t="str">
        <f aca="false">IF($A39="","",IF(AND(I$2&gt;=09_ガント元データ!$G38,I$2&lt;=09_ガント元データ!$H38),"■",""))</f>
        <v/>
      </c>
      <c r="J39" s="24" t="str">
        <f aca="false">IF($A39="","",IF(AND(J$2&gt;=09_ガント元データ!$G38,J$2&lt;=09_ガント元データ!$H38),"■",""))</f>
        <v/>
      </c>
      <c r="K39" s="24" t="str">
        <f aca="false">IF($A39="","",IF(AND(K$2&gt;=09_ガント元データ!$G38,K$2&lt;=09_ガント元データ!$H38),"■",""))</f>
        <v/>
      </c>
      <c r="L39" s="24" t="str">
        <f aca="false">IF($A39="","",IF(AND(L$2&gt;=09_ガント元データ!$G38,L$2&lt;=09_ガント元データ!$H38),"■",""))</f>
        <v/>
      </c>
      <c r="M39" s="24" t="str">
        <f aca="false">IF($A39="","",IF(AND(M$2&gt;=09_ガント元データ!$G38,M$2&lt;=09_ガント元データ!$H38),"■",""))</f>
        <v/>
      </c>
      <c r="N39" s="24" t="str">
        <f aca="false">IF($A39="","",IF(AND(N$2&gt;=09_ガント元データ!$G38,N$2&lt;=09_ガント元データ!$H38),"■",""))</f>
        <v/>
      </c>
      <c r="O39" s="24" t="str">
        <f aca="false">IF($A39="","",IF(AND(O$2&gt;=09_ガント元データ!$G38,O$2&lt;=09_ガント元データ!$H38),"■",""))</f>
        <v/>
      </c>
      <c r="P39" s="24" t="str">
        <f aca="false">IF($A39="","",IF(AND(P$2&gt;=09_ガント元データ!$G38,P$2&lt;=09_ガント元データ!$H38),"■",""))</f>
        <v/>
      </c>
      <c r="Q39" s="24" t="str">
        <f aca="false">IF($A39="","",IF(AND(Q$2&gt;=09_ガント元データ!$G38,Q$2&lt;=09_ガント元データ!$H38),"■",""))</f>
        <v/>
      </c>
      <c r="R39" s="24" t="str">
        <f aca="false">IF($A39="","",IF(AND(R$2&gt;=09_ガント元データ!$G38,R$2&lt;=09_ガント元データ!$H38),"■",""))</f>
        <v/>
      </c>
      <c r="S39" s="24" t="str">
        <f aca="false">IF($A39="","",IF(AND(S$2&gt;=09_ガント元データ!$G38,S$2&lt;=09_ガント元データ!$H38),"■",""))</f>
        <v/>
      </c>
      <c r="T39" s="24" t="str">
        <f aca="false">IF($A39="","",IF(AND(T$2&gt;=09_ガント元データ!$G38,T$2&lt;=09_ガント元データ!$H38),"■",""))</f>
        <v/>
      </c>
      <c r="U39" s="24" t="str">
        <f aca="false">IF($A39="","",IF(AND(U$2&gt;=09_ガント元データ!$G38,U$2&lt;=09_ガント元データ!$H38),"■",""))</f>
        <v/>
      </c>
      <c r="V39" s="24" t="str">
        <f aca="false">IF($A39="","",IF(AND(V$2&gt;=09_ガント元データ!$G38,V$2&lt;=09_ガント元データ!$H38),"■",""))</f>
        <v/>
      </c>
      <c r="W39" s="24" t="str">
        <f aca="false">IF($A39="","",IF(AND(W$2&gt;=09_ガント元データ!$G38,W$2&lt;=09_ガント元データ!$H38),"■",""))</f>
        <v/>
      </c>
      <c r="X39" s="24" t="str">
        <f aca="false">IF($A39="","",IF(AND(X$2&gt;=09_ガント元データ!$G38,X$2&lt;=09_ガント元データ!$H38),"■",""))</f>
        <v/>
      </c>
      <c r="Y39" s="24" t="str">
        <f aca="false">IF($A39="","",IF(AND(Y$2&gt;=09_ガント元データ!$G38,Y$2&lt;=09_ガント元データ!$H38),"■",""))</f>
        <v/>
      </c>
      <c r="Z39" s="24" t="str">
        <f aca="false">IF($A39="","",IF(AND(Z$2&gt;=09_ガント元データ!$G38,Z$2&lt;=09_ガント元データ!$H38),"■",""))</f>
        <v/>
      </c>
      <c r="AA39" s="24" t="str">
        <f aca="false">IF($A39="","",IF(AND(AA$2&gt;=09_ガント元データ!$G38,AA$2&lt;=09_ガント元データ!$H38),"■",""))</f>
        <v/>
      </c>
      <c r="AB39" s="24" t="str">
        <f aca="false">IF($A39="","",IF(AND(AB$2&gt;=09_ガント元データ!$G38,AB$2&lt;=09_ガント元データ!$H38),"■",""))</f>
        <v/>
      </c>
      <c r="AC39" s="24" t="str">
        <f aca="false">IF($A39="","",IF(AND(AC$2&gt;=09_ガント元データ!$G38,AC$2&lt;=09_ガント元データ!$H38),"■",""))</f>
        <v/>
      </c>
      <c r="AD39" s="24" t="str">
        <f aca="false">IF($A39="","",IF(AND(AD$2&gt;=09_ガント元データ!$G38,AD$2&lt;=09_ガント元データ!$H38),"■",""))</f>
        <v/>
      </c>
      <c r="AE39" s="24" t="str">
        <f aca="false">IF($A39="","",IF(AND(AE$2&gt;=09_ガント元データ!$G38,AE$2&lt;=09_ガント元データ!$H38),"■",""))</f>
        <v/>
      </c>
      <c r="AF39" s="24" t="str">
        <f aca="false">IF($A39="","",IF(AND(AF$2&gt;=09_ガント元データ!$G38,AF$2&lt;=09_ガント元データ!$H38),"■",""))</f>
        <v/>
      </c>
      <c r="AG39" s="24" t="str">
        <f aca="false">IF($A39="","",IF(AND(AG$2&gt;=09_ガント元データ!$G38,AG$2&lt;=09_ガント元データ!$H38),"■",""))</f>
        <v/>
      </c>
      <c r="AH39" s="24" t="str">
        <f aca="false">IF($A39="","",IF(AND(AH$2&gt;=09_ガント元データ!$G38,AH$2&lt;=09_ガント元データ!$H38),"■",""))</f>
        <v/>
      </c>
      <c r="AI39" s="24" t="str">
        <f aca="false">IF($A39="","",IF(AND(AI$2&gt;=09_ガント元データ!$G38,AI$2&lt;=09_ガント元データ!$H38),"■",""))</f>
        <v/>
      </c>
      <c r="AJ39" s="24" t="str">
        <f aca="false">IF($A39="","",IF(AND(AJ$2&gt;=09_ガント元データ!$G38,AJ$2&lt;=09_ガント元データ!$H38),"■",""))</f>
        <v/>
      </c>
      <c r="AK39" s="24" t="str">
        <f aca="false">IF($A39="","",IF(AND(AK$2&gt;=09_ガント元データ!$G38,AK$2&lt;=09_ガント元データ!$H38),"■",""))</f>
        <v/>
      </c>
      <c r="AL39" s="24" t="str">
        <f aca="false">IF($A39="","",IF(AND(AL$2&gt;=09_ガント元データ!$G38,AL$2&lt;=09_ガント元データ!$H38),"■",""))</f>
        <v/>
      </c>
      <c r="AM39" s="24" t="str">
        <f aca="false">IF($A39="","",IF(AND(AM$2&gt;=09_ガント元データ!$G38,AM$2&lt;=09_ガント元データ!$H38),"■",""))</f>
        <v/>
      </c>
    </row>
    <row r="40" customFormat="false" ht="15" hidden="false" customHeight="false" outlineLevel="0" collapsed="false">
      <c r="A40" s="22" t="str">
        <f aca="false">09_ガント元データ!A39</f>
        <v/>
      </c>
      <c r="B40" s="22" t="str">
        <f aca="false">09_ガント元データ!B39</f>
        <v/>
      </c>
      <c r="C40" s="23" t="str">
        <f aca="false">09_ガント元データ!C39</f>
        <v/>
      </c>
      <c r="D40" s="24" t="str">
        <f aca="false">IF($A40="","",IF(AND(D$2&gt;=09_ガント元データ!$G39,D$2&lt;=09_ガント元データ!$H39),"■",""))</f>
        <v/>
      </c>
      <c r="E40" s="24" t="str">
        <f aca="false">IF($A40="","",IF(AND(E$2&gt;=09_ガント元データ!$G39,E$2&lt;=09_ガント元データ!$H39),"■",""))</f>
        <v/>
      </c>
      <c r="F40" s="24" t="str">
        <f aca="false">IF($A40="","",IF(AND(F$2&gt;=09_ガント元データ!$G39,F$2&lt;=09_ガント元データ!$H39),"■",""))</f>
        <v/>
      </c>
      <c r="G40" s="24" t="str">
        <f aca="false">IF($A40="","",IF(AND(G$2&gt;=09_ガント元データ!$G39,G$2&lt;=09_ガント元データ!$H39),"■",""))</f>
        <v/>
      </c>
      <c r="H40" s="24" t="str">
        <f aca="false">IF($A40="","",IF(AND(H$2&gt;=09_ガント元データ!$G39,H$2&lt;=09_ガント元データ!$H39),"■",""))</f>
        <v/>
      </c>
      <c r="I40" s="24" t="str">
        <f aca="false">IF($A40="","",IF(AND(I$2&gt;=09_ガント元データ!$G39,I$2&lt;=09_ガント元データ!$H39),"■",""))</f>
        <v/>
      </c>
      <c r="J40" s="24" t="str">
        <f aca="false">IF($A40="","",IF(AND(J$2&gt;=09_ガント元データ!$G39,J$2&lt;=09_ガント元データ!$H39),"■",""))</f>
        <v/>
      </c>
      <c r="K40" s="24" t="str">
        <f aca="false">IF($A40="","",IF(AND(K$2&gt;=09_ガント元データ!$G39,K$2&lt;=09_ガント元データ!$H39),"■",""))</f>
        <v/>
      </c>
      <c r="L40" s="24" t="str">
        <f aca="false">IF($A40="","",IF(AND(L$2&gt;=09_ガント元データ!$G39,L$2&lt;=09_ガント元データ!$H39),"■",""))</f>
        <v/>
      </c>
      <c r="M40" s="24" t="str">
        <f aca="false">IF($A40="","",IF(AND(M$2&gt;=09_ガント元データ!$G39,M$2&lt;=09_ガント元データ!$H39),"■",""))</f>
        <v/>
      </c>
      <c r="N40" s="24" t="str">
        <f aca="false">IF($A40="","",IF(AND(N$2&gt;=09_ガント元データ!$G39,N$2&lt;=09_ガント元データ!$H39),"■",""))</f>
        <v/>
      </c>
      <c r="O40" s="24" t="str">
        <f aca="false">IF($A40="","",IF(AND(O$2&gt;=09_ガント元データ!$G39,O$2&lt;=09_ガント元データ!$H39),"■",""))</f>
        <v/>
      </c>
      <c r="P40" s="24" t="str">
        <f aca="false">IF($A40="","",IF(AND(P$2&gt;=09_ガント元データ!$G39,P$2&lt;=09_ガント元データ!$H39),"■",""))</f>
        <v/>
      </c>
      <c r="Q40" s="24" t="str">
        <f aca="false">IF($A40="","",IF(AND(Q$2&gt;=09_ガント元データ!$G39,Q$2&lt;=09_ガント元データ!$H39),"■",""))</f>
        <v/>
      </c>
      <c r="R40" s="24" t="str">
        <f aca="false">IF($A40="","",IF(AND(R$2&gt;=09_ガント元データ!$G39,R$2&lt;=09_ガント元データ!$H39),"■",""))</f>
        <v/>
      </c>
      <c r="S40" s="24" t="str">
        <f aca="false">IF($A40="","",IF(AND(S$2&gt;=09_ガント元データ!$G39,S$2&lt;=09_ガント元データ!$H39),"■",""))</f>
        <v/>
      </c>
      <c r="T40" s="24" t="str">
        <f aca="false">IF($A40="","",IF(AND(T$2&gt;=09_ガント元データ!$G39,T$2&lt;=09_ガント元データ!$H39),"■",""))</f>
        <v/>
      </c>
      <c r="U40" s="24" t="str">
        <f aca="false">IF($A40="","",IF(AND(U$2&gt;=09_ガント元データ!$G39,U$2&lt;=09_ガント元データ!$H39),"■",""))</f>
        <v/>
      </c>
      <c r="V40" s="24" t="str">
        <f aca="false">IF($A40="","",IF(AND(V$2&gt;=09_ガント元データ!$G39,V$2&lt;=09_ガント元データ!$H39),"■",""))</f>
        <v/>
      </c>
      <c r="W40" s="24" t="str">
        <f aca="false">IF($A40="","",IF(AND(W$2&gt;=09_ガント元データ!$G39,W$2&lt;=09_ガント元データ!$H39),"■",""))</f>
        <v/>
      </c>
      <c r="X40" s="24" t="str">
        <f aca="false">IF($A40="","",IF(AND(X$2&gt;=09_ガント元データ!$G39,X$2&lt;=09_ガント元データ!$H39),"■",""))</f>
        <v/>
      </c>
      <c r="Y40" s="24" t="str">
        <f aca="false">IF($A40="","",IF(AND(Y$2&gt;=09_ガント元データ!$G39,Y$2&lt;=09_ガント元データ!$H39),"■",""))</f>
        <v/>
      </c>
      <c r="Z40" s="24" t="str">
        <f aca="false">IF($A40="","",IF(AND(Z$2&gt;=09_ガント元データ!$G39,Z$2&lt;=09_ガント元データ!$H39),"■",""))</f>
        <v/>
      </c>
      <c r="AA40" s="24" t="str">
        <f aca="false">IF($A40="","",IF(AND(AA$2&gt;=09_ガント元データ!$G39,AA$2&lt;=09_ガント元データ!$H39),"■",""))</f>
        <v/>
      </c>
      <c r="AB40" s="24" t="str">
        <f aca="false">IF($A40="","",IF(AND(AB$2&gt;=09_ガント元データ!$G39,AB$2&lt;=09_ガント元データ!$H39),"■",""))</f>
        <v/>
      </c>
      <c r="AC40" s="24" t="str">
        <f aca="false">IF($A40="","",IF(AND(AC$2&gt;=09_ガント元データ!$G39,AC$2&lt;=09_ガント元データ!$H39),"■",""))</f>
        <v/>
      </c>
      <c r="AD40" s="24" t="str">
        <f aca="false">IF($A40="","",IF(AND(AD$2&gt;=09_ガント元データ!$G39,AD$2&lt;=09_ガント元データ!$H39),"■",""))</f>
        <v/>
      </c>
      <c r="AE40" s="24" t="str">
        <f aca="false">IF($A40="","",IF(AND(AE$2&gt;=09_ガント元データ!$G39,AE$2&lt;=09_ガント元データ!$H39),"■",""))</f>
        <v/>
      </c>
      <c r="AF40" s="24" t="str">
        <f aca="false">IF($A40="","",IF(AND(AF$2&gt;=09_ガント元データ!$G39,AF$2&lt;=09_ガント元データ!$H39),"■",""))</f>
        <v/>
      </c>
      <c r="AG40" s="24" t="str">
        <f aca="false">IF($A40="","",IF(AND(AG$2&gt;=09_ガント元データ!$G39,AG$2&lt;=09_ガント元データ!$H39),"■",""))</f>
        <v/>
      </c>
      <c r="AH40" s="24" t="str">
        <f aca="false">IF($A40="","",IF(AND(AH$2&gt;=09_ガント元データ!$G39,AH$2&lt;=09_ガント元データ!$H39),"■",""))</f>
        <v/>
      </c>
      <c r="AI40" s="24" t="str">
        <f aca="false">IF($A40="","",IF(AND(AI$2&gt;=09_ガント元データ!$G39,AI$2&lt;=09_ガント元データ!$H39),"■",""))</f>
        <v/>
      </c>
      <c r="AJ40" s="24" t="str">
        <f aca="false">IF($A40="","",IF(AND(AJ$2&gt;=09_ガント元データ!$G39,AJ$2&lt;=09_ガント元データ!$H39),"■",""))</f>
        <v/>
      </c>
      <c r="AK40" s="24" t="str">
        <f aca="false">IF($A40="","",IF(AND(AK$2&gt;=09_ガント元データ!$G39,AK$2&lt;=09_ガント元データ!$H39),"■",""))</f>
        <v/>
      </c>
      <c r="AL40" s="24" t="str">
        <f aca="false">IF($A40="","",IF(AND(AL$2&gt;=09_ガント元データ!$G39,AL$2&lt;=09_ガント元データ!$H39),"■",""))</f>
        <v/>
      </c>
      <c r="AM40" s="24" t="str">
        <f aca="false">IF($A40="","",IF(AND(AM$2&gt;=09_ガント元データ!$G39,AM$2&lt;=09_ガント元データ!$H39),"■",""))</f>
        <v/>
      </c>
    </row>
    <row r="41" customFormat="false" ht="15" hidden="false" customHeight="false" outlineLevel="0" collapsed="false">
      <c r="A41" s="22" t="str">
        <f aca="false">09_ガント元データ!A40</f>
        <v/>
      </c>
      <c r="B41" s="22" t="str">
        <f aca="false">09_ガント元データ!B40</f>
        <v/>
      </c>
      <c r="C41" s="23" t="str">
        <f aca="false">09_ガント元データ!C40</f>
        <v/>
      </c>
      <c r="D41" s="24" t="str">
        <f aca="false">IF($A41="","",IF(AND(D$2&gt;=09_ガント元データ!$G40,D$2&lt;=09_ガント元データ!$H40),"■",""))</f>
        <v/>
      </c>
      <c r="E41" s="24" t="str">
        <f aca="false">IF($A41="","",IF(AND(E$2&gt;=09_ガント元データ!$G40,E$2&lt;=09_ガント元データ!$H40),"■",""))</f>
        <v/>
      </c>
      <c r="F41" s="24" t="str">
        <f aca="false">IF($A41="","",IF(AND(F$2&gt;=09_ガント元データ!$G40,F$2&lt;=09_ガント元データ!$H40),"■",""))</f>
        <v/>
      </c>
      <c r="G41" s="24" t="str">
        <f aca="false">IF($A41="","",IF(AND(G$2&gt;=09_ガント元データ!$G40,G$2&lt;=09_ガント元データ!$H40),"■",""))</f>
        <v/>
      </c>
      <c r="H41" s="24" t="str">
        <f aca="false">IF($A41="","",IF(AND(H$2&gt;=09_ガント元データ!$G40,H$2&lt;=09_ガント元データ!$H40),"■",""))</f>
        <v/>
      </c>
      <c r="I41" s="24" t="str">
        <f aca="false">IF($A41="","",IF(AND(I$2&gt;=09_ガント元データ!$G40,I$2&lt;=09_ガント元データ!$H40),"■",""))</f>
        <v/>
      </c>
      <c r="J41" s="24" t="str">
        <f aca="false">IF($A41="","",IF(AND(J$2&gt;=09_ガント元データ!$G40,J$2&lt;=09_ガント元データ!$H40),"■",""))</f>
        <v/>
      </c>
      <c r="K41" s="24" t="str">
        <f aca="false">IF($A41="","",IF(AND(K$2&gt;=09_ガント元データ!$G40,K$2&lt;=09_ガント元データ!$H40),"■",""))</f>
        <v/>
      </c>
      <c r="L41" s="24" t="str">
        <f aca="false">IF($A41="","",IF(AND(L$2&gt;=09_ガント元データ!$G40,L$2&lt;=09_ガント元データ!$H40),"■",""))</f>
        <v/>
      </c>
      <c r="M41" s="24" t="str">
        <f aca="false">IF($A41="","",IF(AND(M$2&gt;=09_ガント元データ!$G40,M$2&lt;=09_ガント元データ!$H40),"■",""))</f>
        <v/>
      </c>
      <c r="N41" s="24" t="str">
        <f aca="false">IF($A41="","",IF(AND(N$2&gt;=09_ガント元データ!$G40,N$2&lt;=09_ガント元データ!$H40),"■",""))</f>
        <v/>
      </c>
      <c r="O41" s="24" t="str">
        <f aca="false">IF($A41="","",IF(AND(O$2&gt;=09_ガント元データ!$G40,O$2&lt;=09_ガント元データ!$H40),"■",""))</f>
        <v/>
      </c>
      <c r="P41" s="24" t="str">
        <f aca="false">IF($A41="","",IF(AND(P$2&gt;=09_ガント元データ!$G40,P$2&lt;=09_ガント元データ!$H40),"■",""))</f>
        <v/>
      </c>
      <c r="Q41" s="24" t="str">
        <f aca="false">IF($A41="","",IF(AND(Q$2&gt;=09_ガント元データ!$G40,Q$2&lt;=09_ガント元データ!$H40),"■",""))</f>
        <v/>
      </c>
      <c r="R41" s="24" t="str">
        <f aca="false">IF($A41="","",IF(AND(R$2&gt;=09_ガント元データ!$G40,R$2&lt;=09_ガント元データ!$H40),"■",""))</f>
        <v/>
      </c>
      <c r="S41" s="24" t="str">
        <f aca="false">IF($A41="","",IF(AND(S$2&gt;=09_ガント元データ!$G40,S$2&lt;=09_ガント元データ!$H40),"■",""))</f>
        <v/>
      </c>
      <c r="T41" s="24" t="str">
        <f aca="false">IF($A41="","",IF(AND(T$2&gt;=09_ガント元データ!$G40,T$2&lt;=09_ガント元データ!$H40),"■",""))</f>
        <v/>
      </c>
      <c r="U41" s="24" t="str">
        <f aca="false">IF($A41="","",IF(AND(U$2&gt;=09_ガント元データ!$G40,U$2&lt;=09_ガント元データ!$H40),"■",""))</f>
        <v/>
      </c>
      <c r="V41" s="24" t="str">
        <f aca="false">IF($A41="","",IF(AND(V$2&gt;=09_ガント元データ!$G40,V$2&lt;=09_ガント元データ!$H40),"■",""))</f>
        <v/>
      </c>
      <c r="W41" s="24" t="str">
        <f aca="false">IF($A41="","",IF(AND(W$2&gt;=09_ガント元データ!$G40,W$2&lt;=09_ガント元データ!$H40),"■",""))</f>
        <v/>
      </c>
      <c r="X41" s="24" t="str">
        <f aca="false">IF($A41="","",IF(AND(X$2&gt;=09_ガント元データ!$G40,X$2&lt;=09_ガント元データ!$H40),"■",""))</f>
        <v/>
      </c>
      <c r="Y41" s="24" t="str">
        <f aca="false">IF($A41="","",IF(AND(Y$2&gt;=09_ガント元データ!$G40,Y$2&lt;=09_ガント元データ!$H40),"■",""))</f>
        <v/>
      </c>
      <c r="Z41" s="24" t="str">
        <f aca="false">IF($A41="","",IF(AND(Z$2&gt;=09_ガント元データ!$G40,Z$2&lt;=09_ガント元データ!$H40),"■",""))</f>
        <v/>
      </c>
      <c r="AA41" s="24" t="str">
        <f aca="false">IF($A41="","",IF(AND(AA$2&gt;=09_ガント元データ!$G40,AA$2&lt;=09_ガント元データ!$H40),"■",""))</f>
        <v/>
      </c>
      <c r="AB41" s="24" t="str">
        <f aca="false">IF($A41="","",IF(AND(AB$2&gt;=09_ガント元データ!$G40,AB$2&lt;=09_ガント元データ!$H40),"■",""))</f>
        <v/>
      </c>
      <c r="AC41" s="24" t="str">
        <f aca="false">IF($A41="","",IF(AND(AC$2&gt;=09_ガント元データ!$G40,AC$2&lt;=09_ガント元データ!$H40),"■",""))</f>
        <v/>
      </c>
      <c r="AD41" s="24" t="str">
        <f aca="false">IF($A41="","",IF(AND(AD$2&gt;=09_ガント元データ!$G40,AD$2&lt;=09_ガント元データ!$H40),"■",""))</f>
        <v/>
      </c>
      <c r="AE41" s="24" t="str">
        <f aca="false">IF($A41="","",IF(AND(AE$2&gt;=09_ガント元データ!$G40,AE$2&lt;=09_ガント元データ!$H40),"■",""))</f>
        <v/>
      </c>
      <c r="AF41" s="24" t="str">
        <f aca="false">IF($A41="","",IF(AND(AF$2&gt;=09_ガント元データ!$G40,AF$2&lt;=09_ガント元データ!$H40),"■",""))</f>
        <v/>
      </c>
      <c r="AG41" s="24" t="str">
        <f aca="false">IF($A41="","",IF(AND(AG$2&gt;=09_ガント元データ!$G40,AG$2&lt;=09_ガント元データ!$H40),"■",""))</f>
        <v/>
      </c>
      <c r="AH41" s="24" t="str">
        <f aca="false">IF($A41="","",IF(AND(AH$2&gt;=09_ガント元データ!$G40,AH$2&lt;=09_ガント元データ!$H40),"■",""))</f>
        <v/>
      </c>
      <c r="AI41" s="24" t="str">
        <f aca="false">IF($A41="","",IF(AND(AI$2&gt;=09_ガント元データ!$G40,AI$2&lt;=09_ガント元データ!$H40),"■",""))</f>
        <v/>
      </c>
      <c r="AJ41" s="24" t="str">
        <f aca="false">IF($A41="","",IF(AND(AJ$2&gt;=09_ガント元データ!$G40,AJ$2&lt;=09_ガント元データ!$H40),"■",""))</f>
        <v/>
      </c>
      <c r="AK41" s="24" t="str">
        <f aca="false">IF($A41="","",IF(AND(AK$2&gt;=09_ガント元データ!$G40,AK$2&lt;=09_ガント元データ!$H40),"■",""))</f>
        <v/>
      </c>
      <c r="AL41" s="24" t="str">
        <f aca="false">IF($A41="","",IF(AND(AL$2&gt;=09_ガント元データ!$G40,AL$2&lt;=09_ガント元データ!$H40),"■",""))</f>
        <v/>
      </c>
      <c r="AM41" s="24" t="str">
        <f aca="false">IF($A41="","",IF(AND(AM$2&gt;=09_ガント元データ!$G40,AM$2&lt;=09_ガント元データ!$H40),"■",""))</f>
        <v/>
      </c>
    </row>
    <row r="42" customFormat="false" ht="15" hidden="false" customHeight="false" outlineLevel="0" collapsed="false">
      <c r="A42" s="22" t="str">
        <f aca="false">09_ガント元データ!A41</f>
        <v/>
      </c>
      <c r="B42" s="22" t="str">
        <f aca="false">09_ガント元データ!B41</f>
        <v/>
      </c>
      <c r="C42" s="23" t="str">
        <f aca="false">09_ガント元データ!C41</f>
        <v/>
      </c>
      <c r="D42" s="24" t="str">
        <f aca="false">IF($A42="","",IF(AND(D$2&gt;=09_ガント元データ!$G41,D$2&lt;=09_ガント元データ!$H41),"■",""))</f>
        <v/>
      </c>
      <c r="E42" s="24" t="str">
        <f aca="false">IF($A42="","",IF(AND(E$2&gt;=09_ガント元データ!$G41,E$2&lt;=09_ガント元データ!$H41),"■",""))</f>
        <v/>
      </c>
      <c r="F42" s="24" t="str">
        <f aca="false">IF($A42="","",IF(AND(F$2&gt;=09_ガント元データ!$G41,F$2&lt;=09_ガント元データ!$H41),"■",""))</f>
        <v/>
      </c>
      <c r="G42" s="24" t="str">
        <f aca="false">IF($A42="","",IF(AND(G$2&gt;=09_ガント元データ!$G41,G$2&lt;=09_ガント元データ!$H41),"■",""))</f>
        <v/>
      </c>
      <c r="H42" s="24" t="str">
        <f aca="false">IF($A42="","",IF(AND(H$2&gt;=09_ガント元データ!$G41,H$2&lt;=09_ガント元データ!$H41),"■",""))</f>
        <v/>
      </c>
      <c r="I42" s="24" t="str">
        <f aca="false">IF($A42="","",IF(AND(I$2&gt;=09_ガント元データ!$G41,I$2&lt;=09_ガント元データ!$H41),"■",""))</f>
        <v/>
      </c>
      <c r="J42" s="24" t="str">
        <f aca="false">IF($A42="","",IF(AND(J$2&gt;=09_ガント元データ!$G41,J$2&lt;=09_ガント元データ!$H41),"■",""))</f>
        <v/>
      </c>
      <c r="K42" s="24" t="str">
        <f aca="false">IF($A42="","",IF(AND(K$2&gt;=09_ガント元データ!$G41,K$2&lt;=09_ガント元データ!$H41),"■",""))</f>
        <v/>
      </c>
      <c r="L42" s="24" t="str">
        <f aca="false">IF($A42="","",IF(AND(L$2&gt;=09_ガント元データ!$G41,L$2&lt;=09_ガント元データ!$H41),"■",""))</f>
        <v/>
      </c>
      <c r="M42" s="24" t="str">
        <f aca="false">IF($A42="","",IF(AND(M$2&gt;=09_ガント元データ!$G41,M$2&lt;=09_ガント元データ!$H41),"■",""))</f>
        <v/>
      </c>
      <c r="N42" s="24" t="str">
        <f aca="false">IF($A42="","",IF(AND(N$2&gt;=09_ガント元データ!$G41,N$2&lt;=09_ガント元データ!$H41),"■",""))</f>
        <v/>
      </c>
      <c r="O42" s="24" t="str">
        <f aca="false">IF($A42="","",IF(AND(O$2&gt;=09_ガント元データ!$G41,O$2&lt;=09_ガント元データ!$H41),"■",""))</f>
        <v/>
      </c>
      <c r="P42" s="24" t="str">
        <f aca="false">IF($A42="","",IF(AND(P$2&gt;=09_ガント元データ!$G41,P$2&lt;=09_ガント元データ!$H41),"■",""))</f>
        <v/>
      </c>
      <c r="Q42" s="24" t="str">
        <f aca="false">IF($A42="","",IF(AND(Q$2&gt;=09_ガント元データ!$G41,Q$2&lt;=09_ガント元データ!$H41),"■",""))</f>
        <v/>
      </c>
      <c r="R42" s="24" t="str">
        <f aca="false">IF($A42="","",IF(AND(R$2&gt;=09_ガント元データ!$G41,R$2&lt;=09_ガント元データ!$H41),"■",""))</f>
        <v/>
      </c>
      <c r="S42" s="24" t="str">
        <f aca="false">IF($A42="","",IF(AND(S$2&gt;=09_ガント元データ!$G41,S$2&lt;=09_ガント元データ!$H41),"■",""))</f>
        <v/>
      </c>
      <c r="T42" s="24" t="str">
        <f aca="false">IF($A42="","",IF(AND(T$2&gt;=09_ガント元データ!$G41,T$2&lt;=09_ガント元データ!$H41),"■",""))</f>
        <v/>
      </c>
      <c r="U42" s="24" t="str">
        <f aca="false">IF($A42="","",IF(AND(U$2&gt;=09_ガント元データ!$G41,U$2&lt;=09_ガント元データ!$H41),"■",""))</f>
        <v/>
      </c>
      <c r="V42" s="24" t="str">
        <f aca="false">IF($A42="","",IF(AND(V$2&gt;=09_ガント元データ!$G41,V$2&lt;=09_ガント元データ!$H41),"■",""))</f>
        <v/>
      </c>
      <c r="W42" s="24" t="str">
        <f aca="false">IF($A42="","",IF(AND(W$2&gt;=09_ガント元データ!$G41,W$2&lt;=09_ガント元データ!$H41),"■",""))</f>
        <v/>
      </c>
      <c r="X42" s="24" t="str">
        <f aca="false">IF($A42="","",IF(AND(X$2&gt;=09_ガント元データ!$G41,X$2&lt;=09_ガント元データ!$H41),"■",""))</f>
        <v/>
      </c>
      <c r="Y42" s="24" t="str">
        <f aca="false">IF($A42="","",IF(AND(Y$2&gt;=09_ガント元データ!$G41,Y$2&lt;=09_ガント元データ!$H41),"■",""))</f>
        <v/>
      </c>
      <c r="Z42" s="24" t="str">
        <f aca="false">IF($A42="","",IF(AND(Z$2&gt;=09_ガント元データ!$G41,Z$2&lt;=09_ガント元データ!$H41),"■",""))</f>
        <v/>
      </c>
      <c r="AA42" s="24" t="str">
        <f aca="false">IF($A42="","",IF(AND(AA$2&gt;=09_ガント元データ!$G41,AA$2&lt;=09_ガント元データ!$H41),"■",""))</f>
        <v/>
      </c>
      <c r="AB42" s="24" t="str">
        <f aca="false">IF($A42="","",IF(AND(AB$2&gt;=09_ガント元データ!$G41,AB$2&lt;=09_ガント元データ!$H41),"■",""))</f>
        <v/>
      </c>
      <c r="AC42" s="24" t="str">
        <f aca="false">IF($A42="","",IF(AND(AC$2&gt;=09_ガント元データ!$G41,AC$2&lt;=09_ガント元データ!$H41),"■",""))</f>
        <v/>
      </c>
      <c r="AD42" s="24" t="str">
        <f aca="false">IF($A42="","",IF(AND(AD$2&gt;=09_ガント元データ!$G41,AD$2&lt;=09_ガント元データ!$H41),"■",""))</f>
        <v/>
      </c>
      <c r="AE42" s="24" t="str">
        <f aca="false">IF($A42="","",IF(AND(AE$2&gt;=09_ガント元データ!$G41,AE$2&lt;=09_ガント元データ!$H41),"■",""))</f>
        <v/>
      </c>
      <c r="AF42" s="24" t="str">
        <f aca="false">IF($A42="","",IF(AND(AF$2&gt;=09_ガント元データ!$G41,AF$2&lt;=09_ガント元データ!$H41),"■",""))</f>
        <v/>
      </c>
      <c r="AG42" s="24" t="str">
        <f aca="false">IF($A42="","",IF(AND(AG$2&gt;=09_ガント元データ!$G41,AG$2&lt;=09_ガント元データ!$H41),"■",""))</f>
        <v/>
      </c>
      <c r="AH42" s="24" t="str">
        <f aca="false">IF($A42="","",IF(AND(AH$2&gt;=09_ガント元データ!$G41,AH$2&lt;=09_ガント元データ!$H41),"■",""))</f>
        <v/>
      </c>
      <c r="AI42" s="24" t="str">
        <f aca="false">IF($A42="","",IF(AND(AI$2&gt;=09_ガント元データ!$G41,AI$2&lt;=09_ガント元データ!$H41),"■",""))</f>
        <v/>
      </c>
      <c r="AJ42" s="24" t="str">
        <f aca="false">IF($A42="","",IF(AND(AJ$2&gt;=09_ガント元データ!$G41,AJ$2&lt;=09_ガント元データ!$H41),"■",""))</f>
        <v/>
      </c>
      <c r="AK42" s="24" t="str">
        <f aca="false">IF($A42="","",IF(AND(AK$2&gt;=09_ガント元データ!$G41,AK$2&lt;=09_ガント元データ!$H41),"■",""))</f>
        <v/>
      </c>
      <c r="AL42" s="24" t="str">
        <f aca="false">IF($A42="","",IF(AND(AL$2&gt;=09_ガント元データ!$G41,AL$2&lt;=09_ガント元データ!$H41),"■",""))</f>
        <v/>
      </c>
      <c r="AM42" s="24" t="str">
        <f aca="false">IF($A42="","",IF(AND(AM$2&gt;=09_ガント元データ!$G41,AM$2&lt;=09_ガント元データ!$H41),"■",""))</f>
        <v/>
      </c>
    </row>
    <row r="43" customFormat="false" ht="15" hidden="false" customHeight="false" outlineLevel="0" collapsed="false">
      <c r="A43" s="22" t="str">
        <f aca="false">09_ガント元データ!A42</f>
        <v/>
      </c>
      <c r="B43" s="22" t="str">
        <f aca="false">09_ガント元データ!B42</f>
        <v/>
      </c>
      <c r="C43" s="23" t="str">
        <f aca="false">09_ガント元データ!C42</f>
        <v/>
      </c>
      <c r="D43" s="24" t="str">
        <f aca="false">IF($A43="","",IF(AND(D$2&gt;=09_ガント元データ!$G42,D$2&lt;=09_ガント元データ!$H42),"■",""))</f>
        <v/>
      </c>
      <c r="E43" s="24" t="str">
        <f aca="false">IF($A43="","",IF(AND(E$2&gt;=09_ガント元データ!$G42,E$2&lt;=09_ガント元データ!$H42),"■",""))</f>
        <v/>
      </c>
      <c r="F43" s="24" t="str">
        <f aca="false">IF($A43="","",IF(AND(F$2&gt;=09_ガント元データ!$G42,F$2&lt;=09_ガント元データ!$H42),"■",""))</f>
        <v/>
      </c>
      <c r="G43" s="24" t="str">
        <f aca="false">IF($A43="","",IF(AND(G$2&gt;=09_ガント元データ!$G42,G$2&lt;=09_ガント元データ!$H42),"■",""))</f>
        <v/>
      </c>
      <c r="H43" s="24" t="str">
        <f aca="false">IF($A43="","",IF(AND(H$2&gt;=09_ガント元データ!$G42,H$2&lt;=09_ガント元データ!$H42),"■",""))</f>
        <v/>
      </c>
      <c r="I43" s="24" t="str">
        <f aca="false">IF($A43="","",IF(AND(I$2&gt;=09_ガント元データ!$G42,I$2&lt;=09_ガント元データ!$H42),"■",""))</f>
        <v/>
      </c>
      <c r="J43" s="24" t="str">
        <f aca="false">IF($A43="","",IF(AND(J$2&gt;=09_ガント元データ!$G42,J$2&lt;=09_ガント元データ!$H42),"■",""))</f>
        <v/>
      </c>
      <c r="K43" s="24" t="str">
        <f aca="false">IF($A43="","",IF(AND(K$2&gt;=09_ガント元データ!$G42,K$2&lt;=09_ガント元データ!$H42),"■",""))</f>
        <v/>
      </c>
      <c r="L43" s="24" t="str">
        <f aca="false">IF($A43="","",IF(AND(L$2&gt;=09_ガント元データ!$G42,L$2&lt;=09_ガント元データ!$H42),"■",""))</f>
        <v/>
      </c>
      <c r="M43" s="24" t="str">
        <f aca="false">IF($A43="","",IF(AND(M$2&gt;=09_ガント元データ!$G42,M$2&lt;=09_ガント元データ!$H42),"■",""))</f>
        <v/>
      </c>
      <c r="N43" s="24" t="str">
        <f aca="false">IF($A43="","",IF(AND(N$2&gt;=09_ガント元データ!$G42,N$2&lt;=09_ガント元データ!$H42),"■",""))</f>
        <v/>
      </c>
      <c r="O43" s="24" t="str">
        <f aca="false">IF($A43="","",IF(AND(O$2&gt;=09_ガント元データ!$G42,O$2&lt;=09_ガント元データ!$H42),"■",""))</f>
        <v/>
      </c>
      <c r="P43" s="24" t="str">
        <f aca="false">IF($A43="","",IF(AND(P$2&gt;=09_ガント元データ!$G42,P$2&lt;=09_ガント元データ!$H42),"■",""))</f>
        <v/>
      </c>
      <c r="Q43" s="24" t="str">
        <f aca="false">IF($A43="","",IF(AND(Q$2&gt;=09_ガント元データ!$G42,Q$2&lt;=09_ガント元データ!$H42),"■",""))</f>
        <v/>
      </c>
      <c r="R43" s="24" t="str">
        <f aca="false">IF($A43="","",IF(AND(R$2&gt;=09_ガント元データ!$G42,R$2&lt;=09_ガント元データ!$H42),"■",""))</f>
        <v/>
      </c>
      <c r="S43" s="24" t="str">
        <f aca="false">IF($A43="","",IF(AND(S$2&gt;=09_ガント元データ!$G42,S$2&lt;=09_ガント元データ!$H42),"■",""))</f>
        <v/>
      </c>
      <c r="T43" s="24" t="str">
        <f aca="false">IF($A43="","",IF(AND(T$2&gt;=09_ガント元データ!$G42,T$2&lt;=09_ガント元データ!$H42),"■",""))</f>
        <v/>
      </c>
      <c r="U43" s="24" t="str">
        <f aca="false">IF($A43="","",IF(AND(U$2&gt;=09_ガント元データ!$G42,U$2&lt;=09_ガント元データ!$H42),"■",""))</f>
        <v/>
      </c>
      <c r="V43" s="24" t="str">
        <f aca="false">IF($A43="","",IF(AND(V$2&gt;=09_ガント元データ!$G42,V$2&lt;=09_ガント元データ!$H42),"■",""))</f>
        <v/>
      </c>
      <c r="W43" s="24" t="str">
        <f aca="false">IF($A43="","",IF(AND(W$2&gt;=09_ガント元データ!$G42,W$2&lt;=09_ガント元データ!$H42),"■",""))</f>
        <v/>
      </c>
      <c r="X43" s="24" t="str">
        <f aca="false">IF($A43="","",IF(AND(X$2&gt;=09_ガント元データ!$G42,X$2&lt;=09_ガント元データ!$H42),"■",""))</f>
        <v/>
      </c>
      <c r="Y43" s="24" t="str">
        <f aca="false">IF($A43="","",IF(AND(Y$2&gt;=09_ガント元データ!$G42,Y$2&lt;=09_ガント元データ!$H42),"■",""))</f>
        <v/>
      </c>
      <c r="Z43" s="24" t="str">
        <f aca="false">IF($A43="","",IF(AND(Z$2&gt;=09_ガント元データ!$G42,Z$2&lt;=09_ガント元データ!$H42),"■",""))</f>
        <v/>
      </c>
      <c r="AA43" s="24" t="str">
        <f aca="false">IF($A43="","",IF(AND(AA$2&gt;=09_ガント元データ!$G42,AA$2&lt;=09_ガント元データ!$H42),"■",""))</f>
        <v/>
      </c>
      <c r="AB43" s="24" t="str">
        <f aca="false">IF($A43="","",IF(AND(AB$2&gt;=09_ガント元データ!$G42,AB$2&lt;=09_ガント元データ!$H42),"■",""))</f>
        <v/>
      </c>
      <c r="AC43" s="24" t="str">
        <f aca="false">IF($A43="","",IF(AND(AC$2&gt;=09_ガント元データ!$G42,AC$2&lt;=09_ガント元データ!$H42),"■",""))</f>
        <v/>
      </c>
      <c r="AD43" s="24" t="str">
        <f aca="false">IF($A43="","",IF(AND(AD$2&gt;=09_ガント元データ!$G42,AD$2&lt;=09_ガント元データ!$H42),"■",""))</f>
        <v/>
      </c>
      <c r="AE43" s="24" t="str">
        <f aca="false">IF($A43="","",IF(AND(AE$2&gt;=09_ガント元データ!$G42,AE$2&lt;=09_ガント元データ!$H42),"■",""))</f>
        <v/>
      </c>
      <c r="AF43" s="24" t="str">
        <f aca="false">IF($A43="","",IF(AND(AF$2&gt;=09_ガント元データ!$G42,AF$2&lt;=09_ガント元データ!$H42),"■",""))</f>
        <v/>
      </c>
      <c r="AG43" s="24" t="str">
        <f aca="false">IF($A43="","",IF(AND(AG$2&gt;=09_ガント元データ!$G42,AG$2&lt;=09_ガント元データ!$H42),"■",""))</f>
        <v/>
      </c>
      <c r="AH43" s="24" t="str">
        <f aca="false">IF($A43="","",IF(AND(AH$2&gt;=09_ガント元データ!$G42,AH$2&lt;=09_ガント元データ!$H42),"■",""))</f>
        <v/>
      </c>
      <c r="AI43" s="24" t="str">
        <f aca="false">IF($A43="","",IF(AND(AI$2&gt;=09_ガント元データ!$G42,AI$2&lt;=09_ガント元データ!$H42),"■",""))</f>
        <v/>
      </c>
      <c r="AJ43" s="24" t="str">
        <f aca="false">IF($A43="","",IF(AND(AJ$2&gt;=09_ガント元データ!$G42,AJ$2&lt;=09_ガント元データ!$H42),"■",""))</f>
        <v/>
      </c>
      <c r="AK43" s="24" t="str">
        <f aca="false">IF($A43="","",IF(AND(AK$2&gt;=09_ガント元データ!$G42,AK$2&lt;=09_ガント元データ!$H42),"■",""))</f>
        <v/>
      </c>
      <c r="AL43" s="24" t="str">
        <f aca="false">IF($A43="","",IF(AND(AL$2&gt;=09_ガント元データ!$G42,AL$2&lt;=09_ガント元データ!$H42),"■",""))</f>
        <v/>
      </c>
      <c r="AM43" s="24" t="str">
        <f aca="false">IF($A43="","",IF(AND(AM$2&gt;=09_ガント元データ!$G42,AM$2&lt;=09_ガント元データ!$H42),"■",""))</f>
        <v/>
      </c>
    </row>
    <row r="44" customFormat="false" ht="15" hidden="false" customHeight="false" outlineLevel="0" collapsed="false">
      <c r="A44" s="22" t="str">
        <f aca="false">09_ガント元データ!A43</f>
        <v/>
      </c>
      <c r="B44" s="22" t="str">
        <f aca="false">09_ガント元データ!B43</f>
        <v/>
      </c>
      <c r="C44" s="23" t="str">
        <f aca="false">09_ガント元データ!C43</f>
        <v/>
      </c>
      <c r="D44" s="24" t="str">
        <f aca="false">IF($A44="","",IF(AND(D$2&gt;=09_ガント元データ!$G43,D$2&lt;=09_ガント元データ!$H43),"■",""))</f>
        <v/>
      </c>
      <c r="E44" s="24" t="str">
        <f aca="false">IF($A44="","",IF(AND(E$2&gt;=09_ガント元データ!$G43,E$2&lt;=09_ガント元データ!$H43),"■",""))</f>
        <v/>
      </c>
      <c r="F44" s="24" t="str">
        <f aca="false">IF($A44="","",IF(AND(F$2&gt;=09_ガント元データ!$G43,F$2&lt;=09_ガント元データ!$H43),"■",""))</f>
        <v/>
      </c>
      <c r="G44" s="24" t="str">
        <f aca="false">IF($A44="","",IF(AND(G$2&gt;=09_ガント元データ!$G43,G$2&lt;=09_ガント元データ!$H43),"■",""))</f>
        <v/>
      </c>
      <c r="H44" s="24" t="str">
        <f aca="false">IF($A44="","",IF(AND(H$2&gt;=09_ガント元データ!$G43,H$2&lt;=09_ガント元データ!$H43),"■",""))</f>
        <v/>
      </c>
      <c r="I44" s="24" t="str">
        <f aca="false">IF($A44="","",IF(AND(I$2&gt;=09_ガント元データ!$G43,I$2&lt;=09_ガント元データ!$H43),"■",""))</f>
        <v/>
      </c>
      <c r="J44" s="24" t="str">
        <f aca="false">IF($A44="","",IF(AND(J$2&gt;=09_ガント元データ!$G43,J$2&lt;=09_ガント元データ!$H43),"■",""))</f>
        <v/>
      </c>
      <c r="K44" s="24" t="str">
        <f aca="false">IF($A44="","",IF(AND(K$2&gt;=09_ガント元データ!$G43,K$2&lt;=09_ガント元データ!$H43),"■",""))</f>
        <v/>
      </c>
      <c r="L44" s="24" t="str">
        <f aca="false">IF($A44="","",IF(AND(L$2&gt;=09_ガント元データ!$G43,L$2&lt;=09_ガント元データ!$H43),"■",""))</f>
        <v/>
      </c>
      <c r="M44" s="24" t="str">
        <f aca="false">IF($A44="","",IF(AND(M$2&gt;=09_ガント元データ!$G43,M$2&lt;=09_ガント元データ!$H43),"■",""))</f>
        <v/>
      </c>
      <c r="N44" s="24" t="str">
        <f aca="false">IF($A44="","",IF(AND(N$2&gt;=09_ガント元データ!$G43,N$2&lt;=09_ガント元データ!$H43),"■",""))</f>
        <v/>
      </c>
      <c r="O44" s="24" t="str">
        <f aca="false">IF($A44="","",IF(AND(O$2&gt;=09_ガント元データ!$G43,O$2&lt;=09_ガント元データ!$H43),"■",""))</f>
        <v/>
      </c>
      <c r="P44" s="24" t="str">
        <f aca="false">IF($A44="","",IF(AND(P$2&gt;=09_ガント元データ!$G43,P$2&lt;=09_ガント元データ!$H43),"■",""))</f>
        <v/>
      </c>
      <c r="Q44" s="24" t="str">
        <f aca="false">IF($A44="","",IF(AND(Q$2&gt;=09_ガント元データ!$G43,Q$2&lt;=09_ガント元データ!$H43),"■",""))</f>
        <v/>
      </c>
      <c r="R44" s="24" t="str">
        <f aca="false">IF($A44="","",IF(AND(R$2&gt;=09_ガント元データ!$G43,R$2&lt;=09_ガント元データ!$H43),"■",""))</f>
        <v/>
      </c>
      <c r="S44" s="24" t="str">
        <f aca="false">IF($A44="","",IF(AND(S$2&gt;=09_ガント元データ!$G43,S$2&lt;=09_ガント元データ!$H43),"■",""))</f>
        <v/>
      </c>
      <c r="T44" s="24" t="str">
        <f aca="false">IF($A44="","",IF(AND(T$2&gt;=09_ガント元データ!$G43,T$2&lt;=09_ガント元データ!$H43),"■",""))</f>
        <v/>
      </c>
      <c r="U44" s="24" t="str">
        <f aca="false">IF($A44="","",IF(AND(U$2&gt;=09_ガント元データ!$G43,U$2&lt;=09_ガント元データ!$H43),"■",""))</f>
        <v/>
      </c>
      <c r="V44" s="24" t="str">
        <f aca="false">IF($A44="","",IF(AND(V$2&gt;=09_ガント元データ!$G43,V$2&lt;=09_ガント元データ!$H43),"■",""))</f>
        <v/>
      </c>
      <c r="W44" s="24" t="str">
        <f aca="false">IF($A44="","",IF(AND(W$2&gt;=09_ガント元データ!$G43,W$2&lt;=09_ガント元データ!$H43),"■",""))</f>
        <v/>
      </c>
      <c r="X44" s="24" t="str">
        <f aca="false">IF($A44="","",IF(AND(X$2&gt;=09_ガント元データ!$G43,X$2&lt;=09_ガント元データ!$H43),"■",""))</f>
        <v/>
      </c>
      <c r="Y44" s="24" t="str">
        <f aca="false">IF($A44="","",IF(AND(Y$2&gt;=09_ガント元データ!$G43,Y$2&lt;=09_ガント元データ!$H43),"■",""))</f>
        <v/>
      </c>
      <c r="Z44" s="24" t="str">
        <f aca="false">IF($A44="","",IF(AND(Z$2&gt;=09_ガント元データ!$G43,Z$2&lt;=09_ガント元データ!$H43),"■",""))</f>
        <v/>
      </c>
      <c r="AA44" s="24" t="str">
        <f aca="false">IF($A44="","",IF(AND(AA$2&gt;=09_ガント元データ!$G43,AA$2&lt;=09_ガント元データ!$H43),"■",""))</f>
        <v/>
      </c>
      <c r="AB44" s="24" t="str">
        <f aca="false">IF($A44="","",IF(AND(AB$2&gt;=09_ガント元データ!$G43,AB$2&lt;=09_ガント元データ!$H43),"■",""))</f>
        <v/>
      </c>
      <c r="AC44" s="24" t="str">
        <f aca="false">IF($A44="","",IF(AND(AC$2&gt;=09_ガント元データ!$G43,AC$2&lt;=09_ガント元データ!$H43),"■",""))</f>
        <v/>
      </c>
      <c r="AD44" s="24" t="str">
        <f aca="false">IF($A44="","",IF(AND(AD$2&gt;=09_ガント元データ!$G43,AD$2&lt;=09_ガント元データ!$H43),"■",""))</f>
        <v/>
      </c>
      <c r="AE44" s="24" t="str">
        <f aca="false">IF($A44="","",IF(AND(AE$2&gt;=09_ガント元データ!$G43,AE$2&lt;=09_ガント元データ!$H43),"■",""))</f>
        <v/>
      </c>
      <c r="AF44" s="24" t="str">
        <f aca="false">IF($A44="","",IF(AND(AF$2&gt;=09_ガント元データ!$G43,AF$2&lt;=09_ガント元データ!$H43),"■",""))</f>
        <v/>
      </c>
      <c r="AG44" s="24" t="str">
        <f aca="false">IF($A44="","",IF(AND(AG$2&gt;=09_ガント元データ!$G43,AG$2&lt;=09_ガント元データ!$H43),"■",""))</f>
        <v/>
      </c>
      <c r="AH44" s="24" t="str">
        <f aca="false">IF($A44="","",IF(AND(AH$2&gt;=09_ガント元データ!$G43,AH$2&lt;=09_ガント元データ!$H43),"■",""))</f>
        <v/>
      </c>
      <c r="AI44" s="24" t="str">
        <f aca="false">IF($A44="","",IF(AND(AI$2&gt;=09_ガント元データ!$G43,AI$2&lt;=09_ガント元データ!$H43),"■",""))</f>
        <v/>
      </c>
      <c r="AJ44" s="24" t="str">
        <f aca="false">IF($A44="","",IF(AND(AJ$2&gt;=09_ガント元データ!$G43,AJ$2&lt;=09_ガント元データ!$H43),"■",""))</f>
        <v/>
      </c>
      <c r="AK44" s="24" t="str">
        <f aca="false">IF($A44="","",IF(AND(AK$2&gt;=09_ガント元データ!$G43,AK$2&lt;=09_ガント元データ!$H43),"■",""))</f>
        <v/>
      </c>
      <c r="AL44" s="24" t="str">
        <f aca="false">IF($A44="","",IF(AND(AL$2&gt;=09_ガント元データ!$G43,AL$2&lt;=09_ガント元データ!$H43),"■",""))</f>
        <v/>
      </c>
      <c r="AM44" s="24" t="str">
        <f aca="false">IF($A44="","",IF(AND(AM$2&gt;=09_ガント元データ!$G43,AM$2&lt;=09_ガント元データ!$H43),"■",""))</f>
        <v/>
      </c>
    </row>
    <row r="45" customFormat="false" ht="15" hidden="false" customHeight="false" outlineLevel="0" collapsed="false">
      <c r="A45" s="22" t="str">
        <f aca="false">09_ガント元データ!A44</f>
        <v/>
      </c>
      <c r="B45" s="22" t="str">
        <f aca="false">09_ガント元データ!B44</f>
        <v/>
      </c>
      <c r="C45" s="23" t="str">
        <f aca="false">09_ガント元データ!C44</f>
        <v/>
      </c>
      <c r="D45" s="24" t="str">
        <f aca="false">IF($A45="","",IF(AND(D$2&gt;=09_ガント元データ!$G44,D$2&lt;=09_ガント元データ!$H44),"■",""))</f>
        <v/>
      </c>
      <c r="E45" s="24" t="str">
        <f aca="false">IF($A45="","",IF(AND(E$2&gt;=09_ガント元データ!$G44,E$2&lt;=09_ガント元データ!$H44),"■",""))</f>
        <v/>
      </c>
      <c r="F45" s="24" t="str">
        <f aca="false">IF($A45="","",IF(AND(F$2&gt;=09_ガント元データ!$G44,F$2&lt;=09_ガント元データ!$H44),"■",""))</f>
        <v/>
      </c>
      <c r="G45" s="24" t="str">
        <f aca="false">IF($A45="","",IF(AND(G$2&gt;=09_ガント元データ!$G44,G$2&lt;=09_ガント元データ!$H44),"■",""))</f>
        <v/>
      </c>
      <c r="H45" s="24" t="str">
        <f aca="false">IF($A45="","",IF(AND(H$2&gt;=09_ガント元データ!$G44,H$2&lt;=09_ガント元データ!$H44),"■",""))</f>
        <v/>
      </c>
      <c r="I45" s="24" t="str">
        <f aca="false">IF($A45="","",IF(AND(I$2&gt;=09_ガント元データ!$G44,I$2&lt;=09_ガント元データ!$H44),"■",""))</f>
        <v/>
      </c>
      <c r="J45" s="24" t="str">
        <f aca="false">IF($A45="","",IF(AND(J$2&gt;=09_ガント元データ!$G44,J$2&lt;=09_ガント元データ!$H44),"■",""))</f>
        <v/>
      </c>
      <c r="K45" s="24" t="str">
        <f aca="false">IF($A45="","",IF(AND(K$2&gt;=09_ガント元データ!$G44,K$2&lt;=09_ガント元データ!$H44),"■",""))</f>
        <v/>
      </c>
      <c r="L45" s="24" t="str">
        <f aca="false">IF($A45="","",IF(AND(L$2&gt;=09_ガント元データ!$G44,L$2&lt;=09_ガント元データ!$H44),"■",""))</f>
        <v/>
      </c>
      <c r="M45" s="24" t="str">
        <f aca="false">IF($A45="","",IF(AND(M$2&gt;=09_ガント元データ!$G44,M$2&lt;=09_ガント元データ!$H44),"■",""))</f>
        <v/>
      </c>
      <c r="N45" s="24" t="str">
        <f aca="false">IF($A45="","",IF(AND(N$2&gt;=09_ガント元データ!$G44,N$2&lt;=09_ガント元データ!$H44),"■",""))</f>
        <v/>
      </c>
      <c r="O45" s="24" t="str">
        <f aca="false">IF($A45="","",IF(AND(O$2&gt;=09_ガント元データ!$G44,O$2&lt;=09_ガント元データ!$H44),"■",""))</f>
        <v/>
      </c>
      <c r="P45" s="24" t="str">
        <f aca="false">IF($A45="","",IF(AND(P$2&gt;=09_ガント元データ!$G44,P$2&lt;=09_ガント元データ!$H44),"■",""))</f>
        <v/>
      </c>
      <c r="Q45" s="24" t="str">
        <f aca="false">IF($A45="","",IF(AND(Q$2&gt;=09_ガント元データ!$G44,Q$2&lt;=09_ガント元データ!$H44),"■",""))</f>
        <v/>
      </c>
      <c r="R45" s="24" t="str">
        <f aca="false">IF($A45="","",IF(AND(R$2&gt;=09_ガント元データ!$G44,R$2&lt;=09_ガント元データ!$H44),"■",""))</f>
        <v/>
      </c>
      <c r="S45" s="24" t="str">
        <f aca="false">IF($A45="","",IF(AND(S$2&gt;=09_ガント元データ!$G44,S$2&lt;=09_ガント元データ!$H44),"■",""))</f>
        <v/>
      </c>
      <c r="T45" s="24" t="str">
        <f aca="false">IF($A45="","",IF(AND(T$2&gt;=09_ガント元データ!$G44,T$2&lt;=09_ガント元データ!$H44),"■",""))</f>
        <v/>
      </c>
      <c r="U45" s="24" t="str">
        <f aca="false">IF($A45="","",IF(AND(U$2&gt;=09_ガント元データ!$G44,U$2&lt;=09_ガント元データ!$H44),"■",""))</f>
        <v/>
      </c>
      <c r="V45" s="24" t="str">
        <f aca="false">IF($A45="","",IF(AND(V$2&gt;=09_ガント元データ!$G44,V$2&lt;=09_ガント元データ!$H44),"■",""))</f>
        <v/>
      </c>
      <c r="W45" s="24" t="str">
        <f aca="false">IF($A45="","",IF(AND(W$2&gt;=09_ガント元データ!$G44,W$2&lt;=09_ガント元データ!$H44),"■",""))</f>
        <v/>
      </c>
      <c r="X45" s="24" t="str">
        <f aca="false">IF($A45="","",IF(AND(X$2&gt;=09_ガント元データ!$G44,X$2&lt;=09_ガント元データ!$H44),"■",""))</f>
        <v/>
      </c>
      <c r="Y45" s="24" t="str">
        <f aca="false">IF($A45="","",IF(AND(Y$2&gt;=09_ガント元データ!$G44,Y$2&lt;=09_ガント元データ!$H44),"■",""))</f>
        <v/>
      </c>
      <c r="Z45" s="24" t="str">
        <f aca="false">IF($A45="","",IF(AND(Z$2&gt;=09_ガント元データ!$G44,Z$2&lt;=09_ガント元データ!$H44),"■",""))</f>
        <v/>
      </c>
      <c r="AA45" s="24" t="str">
        <f aca="false">IF($A45="","",IF(AND(AA$2&gt;=09_ガント元データ!$G44,AA$2&lt;=09_ガント元データ!$H44),"■",""))</f>
        <v/>
      </c>
      <c r="AB45" s="24" t="str">
        <f aca="false">IF($A45="","",IF(AND(AB$2&gt;=09_ガント元データ!$G44,AB$2&lt;=09_ガント元データ!$H44),"■",""))</f>
        <v/>
      </c>
      <c r="AC45" s="24" t="str">
        <f aca="false">IF($A45="","",IF(AND(AC$2&gt;=09_ガント元データ!$G44,AC$2&lt;=09_ガント元データ!$H44),"■",""))</f>
        <v/>
      </c>
      <c r="AD45" s="24" t="str">
        <f aca="false">IF($A45="","",IF(AND(AD$2&gt;=09_ガント元データ!$G44,AD$2&lt;=09_ガント元データ!$H44),"■",""))</f>
        <v/>
      </c>
      <c r="AE45" s="24" t="str">
        <f aca="false">IF($A45="","",IF(AND(AE$2&gt;=09_ガント元データ!$G44,AE$2&lt;=09_ガント元データ!$H44),"■",""))</f>
        <v/>
      </c>
      <c r="AF45" s="24" t="str">
        <f aca="false">IF($A45="","",IF(AND(AF$2&gt;=09_ガント元データ!$G44,AF$2&lt;=09_ガント元データ!$H44),"■",""))</f>
        <v/>
      </c>
      <c r="AG45" s="24" t="str">
        <f aca="false">IF($A45="","",IF(AND(AG$2&gt;=09_ガント元データ!$G44,AG$2&lt;=09_ガント元データ!$H44),"■",""))</f>
        <v/>
      </c>
      <c r="AH45" s="24" t="str">
        <f aca="false">IF($A45="","",IF(AND(AH$2&gt;=09_ガント元データ!$G44,AH$2&lt;=09_ガント元データ!$H44),"■",""))</f>
        <v/>
      </c>
      <c r="AI45" s="24" t="str">
        <f aca="false">IF($A45="","",IF(AND(AI$2&gt;=09_ガント元データ!$G44,AI$2&lt;=09_ガント元データ!$H44),"■",""))</f>
        <v/>
      </c>
      <c r="AJ45" s="24" t="str">
        <f aca="false">IF($A45="","",IF(AND(AJ$2&gt;=09_ガント元データ!$G44,AJ$2&lt;=09_ガント元データ!$H44),"■",""))</f>
        <v/>
      </c>
      <c r="AK45" s="24" t="str">
        <f aca="false">IF($A45="","",IF(AND(AK$2&gt;=09_ガント元データ!$G44,AK$2&lt;=09_ガント元データ!$H44),"■",""))</f>
        <v/>
      </c>
      <c r="AL45" s="24" t="str">
        <f aca="false">IF($A45="","",IF(AND(AL$2&gt;=09_ガント元データ!$G44,AL$2&lt;=09_ガント元データ!$H44),"■",""))</f>
        <v/>
      </c>
      <c r="AM45" s="24" t="str">
        <f aca="false">IF($A45="","",IF(AND(AM$2&gt;=09_ガント元データ!$G44,AM$2&lt;=09_ガント元データ!$H44),"■",""))</f>
        <v/>
      </c>
    </row>
    <row r="46" customFormat="false" ht="15" hidden="false" customHeight="false" outlineLevel="0" collapsed="false">
      <c r="A46" s="22" t="str">
        <f aca="false">09_ガント元データ!A45</f>
        <v/>
      </c>
      <c r="B46" s="22" t="str">
        <f aca="false">09_ガント元データ!B45</f>
        <v/>
      </c>
      <c r="C46" s="23" t="str">
        <f aca="false">09_ガント元データ!C45</f>
        <v/>
      </c>
      <c r="D46" s="24" t="str">
        <f aca="false">IF($A46="","",IF(AND(D$2&gt;=09_ガント元データ!$G45,D$2&lt;=09_ガント元データ!$H45),"■",""))</f>
        <v/>
      </c>
      <c r="E46" s="24" t="str">
        <f aca="false">IF($A46="","",IF(AND(E$2&gt;=09_ガント元データ!$G45,E$2&lt;=09_ガント元データ!$H45),"■",""))</f>
        <v/>
      </c>
      <c r="F46" s="24" t="str">
        <f aca="false">IF($A46="","",IF(AND(F$2&gt;=09_ガント元データ!$G45,F$2&lt;=09_ガント元データ!$H45),"■",""))</f>
        <v/>
      </c>
      <c r="G46" s="24" t="str">
        <f aca="false">IF($A46="","",IF(AND(G$2&gt;=09_ガント元データ!$G45,G$2&lt;=09_ガント元データ!$H45),"■",""))</f>
        <v/>
      </c>
      <c r="H46" s="24" t="str">
        <f aca="false">IF($A46="","",IF(AND(H$2&gt;=09_ガント元データ!$G45,H$2&lt;=09_ガント元データ!$H45),"■",""))</f>
        <v/>
      </c>
      <c r="I46" s="24" t="str">
        <f aca="false">IF($A46="","",IF(AND(I$2&gt;=09_ガント元データ!$G45,I$2&lt;=09_ガント元データ!$H45),"■",""))</f>
        <v/>
      </c>
      <c r="J46" s="24" t="str">
        <f aca="false">IF($A46="","",IF(AND(J$2&gt;=09_ガント元データ!$G45,J$2&lt;=09_ガント元データ!$H45),"■",""))</f>
        <v/>
      </c>
      <c r="K46" s="24" t="str">
        <f aca="false">IF($A46="","",IF(AND(K$2&gt;=09_ガント元データ!$G45,K$2&lt;=09_ガント元データ!$H45),"■",""))</f>
        <v/>
      </c>
      <c r="L46" s="24" t="str">
        <f aca="false">IF($A46="","",IF(AND(L$2&gt;=09_ガント元データ!$G45,L$2&lt;=09_ガント元データ!$H45),"■",""))</f>
        <v/>
      </c>
      <c r="M46" s="24" t="str">
        <f aca="false">IF($A46="","",IF(AND(M$2&gt;=09_ガント元データ!$G45,M$2&lt;=09_ガント元データ!$H45),"■",""))</f>
        <v/>
      </c>
      <c r="N46" s="24" t="str">
        <f aca="false">IF($A46="","",IF(AND(N$2&gt;=09_ガント元データ!$G45,N$2&lt;=09_ガント元データ!$H45),"■",""))</f>
        <v/>
      </c>
      <c r="O46" s="24" t="str">
        <f aca="false">IF($A46="","",IF(AND(O$2&gt;=09_ガント元データ!$G45,O$2&lt;=09_ガント元データ!$H45),"■",""))</f>
        <v/>
      </c>
      <c r="P46" s="24" t="str">
        <f aca="false">IF($A46="","",IF(AND(P$2&gt;=09_ガント元データ!$G45,P$2&lt;=09_ガント元データ!$H45),"■",""))</f>
        <v/>
      </c>
      <c r="Q46" s="24" t="str">
        <f aca="false">IF($A46="","",IF(AND(Q$2&gt;=09_ガント元データ!$G45,Q$2&lt;=09_ガント元データ!$H45),"■",""))</f>
        <v/>
      </c>
      <c r="R46" s="24" t="str">
        <f aca="false">IF($A46="","",IF(AND(R$2&gt;=09_ガント元データ!$G45,R$2&lt;=09_ガント元データ!$H45),"■",""))</f>
        <v/>
      </c>
      <c r="S46" s="24" t="str">
        <f aca="false">IF($A46="","",IF(AND(S$2&gt;=09_ガント元データ!$G45,S$2&lt;=09_ガント元データ!$H45),"■",""))</f>
        <v/>
      </c>
      <c r="T46" s="24" t="str">
        <f aca="false">IF($A46="","",IF(AND(T$2&gt;=09_ガント元データ!$G45,T$2&lt;=09_ガント元データ!$H45),"■",""))</f>
        <v/>
      </c>
      <c r="U46" s="24" t="str">
        <f aca="false">IF($A46="","",IF(AND(U$2&gt;=09_ガント元データ!$G45,U$2&lt;=09_ガント元データ!$H45),"■",""))</f>
        <v/>
      </c>
      <c r="V46" s="24" t="str">
        <f aca="false">IF($A46="","",IF(AND(V$2&gt;=09_ガント元データ!$G45,V$2&lt;=09_ガント元データ!$H45),"■",""))</f>
        <v/>
      </c>
      <c r="W46" s="24" t="str">
        <f aca="false">IF($A46="","",IF(AND(W$2&gt;=09_ガント元データ!$G45,W$2&lt;=09_ガント元データ!$H45),"■",""))</f>
        <v/>
      </c>
      <c r="X46" s="24" t="str">
        <f aca="false">IF($A46="","",IF(AND(X$2&gt;=09_ガント元データ!$G45,X$2&lt;=09_ガント元データ!$H45),"■",""))</f>
        <v/>
      </c>
      <c r="Y46" s="24" t="str">
        <f aca="false">IF($A46="","",IF(AND(Y$2&gt;=09_ガント元データ!$G45,Y$2&lt;=09_ガント元データ!$H45),"■",""))</f>
        <v/>
      </c>
      <c r="Z46" s="24" t="str">
        <f aca="false">IF($A46="","",IF(AND(Z$2&gt;=09_ガント元データ!$G45,Z$2&lt;=09_ガント元データ!$H45),"■",""))</f>
        <v/>
      </c>
      <c r="AA46" s="24" t="str">
        <f aca="false">IF($A46="","",IF(AND(AA$2&gt;=09_ガント元データ!$G45,AA$2&lt;=09_ガント元データ!$H45),"■",""))</f>
        <v/>
      </c>
      <c r="AB46" s="24" t="str">
        <f aca="false">IF($A46="","",IF(AND(AB$2&gt;=09_ガント元データ!$G45,AB$2&lt;=09_ガント元データ!$H45),"■",""))</f>
        <v/>
      </c>
      <c r="AC46" s="24" t="str">
        <f aca="false">IF($A46="","",IF(AND(AC$2&gt;=09_ガント元データ!$G45,AC$2&lt;=09_ガント元データ!$H45),"■",""))</f>
        <v/>
      </c>
      <c r="AD46" s="24" t="str">
        <f aca="false">IF($A46="","",IF(AND(AD$2&gt;=09_ガント元データ!$G45,AD$2&lt;=09_ガント元データ!$H45),"■",""))</f>
        <v/>
      </c>
      <c r="AE46" s="24" t="str">
        <f aca="false">IF($A46="","",IF(AND(AE$2&gt;=09_ガント元データ!$G45,AE$2&lt;=09_ガント元データ!$H45),"■",""))</f>
        <v/>
      </c>
      <c r="AF46" s="24" t="str">
        <f aca="false">IF($A46="","",IF(AND(AF$2&gt;=09_ガント元データ!$G45,AF$2&lt;=09_ガント元データ!$H45),"■",""))</f>
        <v/>
      </c>
      <c r="AG46" s="24" t="str">
        <f aca="false">IF($A46="","",IF(AND(AG$2&gt;=09_ガント元データ!$G45,AG$2&lt;=09_ガント元データ!$H45),"■",""))</f>
        <v/>
      </c>
      <c r="AH46" s="24" t="str">
        <f aca="false">IF($A46="","",IF(AND(AH$2&gt;=09_ガント元データ!$G45,AH$2&lt;=09_ガント元データ!$H45),"■",""))</f>
        <v/>
      </c>
      <c r="AI46" s="24" t="str">
        <f aca="false">IF($A46="","",IF(AND(AI$2&gt;=09_ガント元データ!$G45,AI$2&lt;=09_ガント元データ!$H45),"■",""))</f>
        <v/>
      </c>
      <c r="AJ46" s="24" t="str">
        <f aca="false">IF($A46="","",IF(AND(AJ$2&gt;=09_ガント元データ!$G45,AJ$2&lt;=09_ガント元データ!$H45),"■",""))</f>
        <v/>
      </c>
      <c r="AK46" s="24" t="str">
        <f aca="false">IF($A46="","",IF(AND(AK$2&gt;=09_ガント元データ!$G45,AK$2&lt;=09_ガント元データ!$H45),"■",""))</f>
        <v/>
      </c>
      <c r="AL46" s="24" t="str">
        <f aca="false">IF($A46="","",IF(AND(AL$2&gt;=09_ガント元データ!$G45,AL$2&lt;=09_ガント元データ!$H45),"■",""))</f>
        <v/>
      </c>
      <c r="AM46" s="24" t="str">
        <f aca="false">IF($A46="","",IF(AND(AM$2&gt;=09_ガント元データ!$G45,AM$2&lt;=09_ガント元データ!$H45),"■",""))</f>
        <v/>
      </c>
    </row>
    <row r="47" customFormat="false" ht="15" hidden="false" customHeight="false" outlineLevel="0" collapsed="false">
      <c r="A47" s="22" t="str">
        <f aca="false">09_ガント元データ!A46</f>
        <v/>
      </c>
      <c r="B47" s="22" t="str">
        <f aca="false">09_ガント元データ!B46</f>
        <v/>
      </c>
      <c r="C47" s="23" t="str">
        <f aca="false">09_ガント元データ!C46</f>
        <v/>
      </c>
      <c r="D47" s="24" t="str">
        <f aca="false">IF($A47="","",IF(AND(D$2&gt;=09_ガント元データ!$G46,D$2&lt;=09_ガント元データ!$H46),"■",""))</f>
        <v/>
      </c>
      <c r="E47" s="24" t="str">
        <f aca="false">IF($A47="","",IF(AND(E$2&gt;=09_ガント元データ!$G46,E$2&lt;=09_ガント元データ!$H46),"■",""))</f>
        <v/>
      </c>
      <c r="F47" s="24" t="str">
        <f aca="false">IF($A47="","",IF(AND(F$2&gt;=09_ガント元データ!$G46,F$2&lt;=09_ガント元データ!$H46),"■",""))</f>
        <v/>
      </c>
      <c r="G47" s="24" t="str">
        <f aca="false">IF($A47="","",IF(AND(G$2&gt;=09_ガント元データ!$G46,G$2&lt;=09_ガント元データ!$H46),"■",""))</f>
        <v/>
      </c>
      <c r="H47" s="24" t="str">
        <f aca="false">IF($A47="","",IF(AND(H$2&gt;=09_ガント元データ!$G46,H$2&lt;=09_ガント元データ!$H46),"■",""))</f>
        <v/>
      </c>
      <c r="I47" s="24" t="str">
        <f aca="false">IF($A47="","",IF(AND(I$2&gt;=09_ガント元データ!$G46,I$2&lt;=09_ガント元データ!$H46),"■",""))</f>
        <v/>
      </c>
      <c r="J47" s="24" t="str">
        <f aca="false">IF($A47="","",IF(AND(J$2&gt;=09_ガント元データ!$G46,J$2&lt;=09_ガント元データ!$H46),"■",""))</f>
        <v/>
      </c>
      <c r="K47" s="24" t="str">
        <f aca="false">IF($A47="","",IF(AND(K$2&gt;=09_ガント元データ!$G46,K$2&lt;=09_ガント元データ!$H46),"■",""))</f>
        <v/>
      </c>
      <c r="L47" s="24" t="str">
        <f aca="false">IF($A47="","",IF(AND(L$2&gt;=09_ガント元データ!$G46,L$2&lt;=09_ガント元データ!$H46),"■",""))</f>
        <v/>
      </c>
      <c r="M47" s="24" t="str">
        <f aca="false">IF($A47="","",IF(AND(M$2&gt;=09_ガント元データ!$G46,M$2&lt;=09_ガント元データ!$H46),"■",""))</f>
        <v/>
      </c>
      <c r="N47" s="24" t="str">
        <f aca="false">IF($A47="","",IF(AND(N$2&gt;=09_ガント元データ!$G46,N$2&lt;=09_ガント元データ!$H46),"■",""))</f>
        <v/>
      </c>
      <c r="O47" s="24" t="str">
        <f aca="false">IF($A47="","",IF(AND(O$2&gt;=09_ガント元データ!$G46,O$2&lt;=09_ガント元データ!$H46),"■",""))</f>
        <v/>
      </c>
      <c r="P47" s="24" t="str">
        <f aca="false">IF($A47="","",IF(AND(P$2&gt;=09_ガント元データ!$G46,P$2&lt;=09_ガント元データ!$H46),"■",""))</f>
        <v/>
      </c>
      <c r="Q47" s="24" t="str">
        <f aca="false">IF($A47="","",IF(AND(Q$2&gt;=09_ガント元データ!$G46,Q$2&lt;=09_ガント元データ!$H46),"■",""))</f>
        <v/>
      </c>
      <c r="R47" s="24" t="str">
        <f aca="false">IF($A47="","",IF(AND(R$2&gt;=09_ガント元データ!$G46,R$2&lt;=09_ガント元データ!$H46),"■",""))</f>
        <v/>
      </c>
      <c r="S47" s="24" t="str">
        <f aca="false">IF($A47="","",IF(AND(S$2&gt;=09_ガント元データ!$G46,S$2&lt;=09_ガント元データ!$H46),"■",""))</f>
        <v/>
      </c>
      <c r="T47" s="24" t="str">
        <f aca="false">IF($A47="","",IF(AND(T$2&gt;=09_ガント元データ!$G46,T$2&lt;=09_ガント元データ!$H46),"■",""))</f>
        <v/>
      </c>
      <c r="U47" s="24" t="str">
        <f aca="false">IF($A47="","",IF(AND(U$2&gt;=09_ガント元データ!$G46,U$2&lt;=09_ガント元データ!$H46),"■",""))</f>
        <v/>
      </c>
      <c r="V47" s="24" t="str">
        <f aca="false">IF($A47="","",IF(AND(V$2&gt;=09_ガント元データ!$G46,V$2&lt;=09_ガント元データ!$H46),"■",""))</f>
        <v/>
      </c>
      <c r="W47" s="24" t="str">
        <f aca="false">IF($A47="","",IF(AND(W$2&gt;=09_ガント元データ!$G46,W$2&lt;=09_ガント元データ!$H46),"■",""))</f>
        <v/>
      </c>
      <c r="X47" s="24" t="str">
        <f aca="false">IF($A47="","",IF(AND(X$2&gt;=09_ガント元データ!$G46,X$2&lt;=09_ガント元データ!$H46),"■",""))</f>
        <v/>
      </c>
      <c r="Y47" s="24" t="str">
        <f aca="false">IF($A47="","",IF(AND(Y$2&gt;=09_ガント元データ!$G46,Y$2&lt;=09_ガント元データ!$H46),"■",""))</f>
        <v/>
      </c>
      <c r="Z47" s="24" t="str">
        <f aca="false">IF($A47="","",IF(AND(Z$2&gt;=09_ガント元データ!$G46,Z$2&lt;=09_ガント元データ!$H46),"■",""))</f>
        <v/>
      </c>
      <c r="AA47" s="24" t="str">
        <f aca="false">IF($A47="","",IF(AND(AA$2&gt;=09_ガント元データ!$G46,AA$2&lt;=09_ガント元データ!$H46),"■",""))</f>
        <v/>
      </c>
      <c r="AB47" s="24" t="str">
        <f aca="false">IF($A47="","",IF(AND(AB$2&gt;=09_ガント元データ!$G46,AB$2&lt;=09_ガント元データ!$H46),"■",""))</f>
        <v/>
      </c>
      <c r="AC47" s="24" t="str">
        <f aca="false">IF($A47="","",IF(AND(AC$2&gt;=09_ガント元データ!$G46,AC$2&lt;=09_ガント元データ!$H46),"■",""))</f>
        <v/>
      </c>
      <c r="AD47" s="24" t="str">
        <f aca="false">IF($A47="","",IF(AND(AD$2&gt;=09_ガント元データ!$G46,AD$2&lt;=09_ガント元データ!$H46),"■",""))</f>
        <v/>
      </c>
      <c r="AE47" s="24" t="str">
        <f aca="false">IF($A47="","",IF(AND(AE$2&gt;=09_ガント元データ!$G46,AE$2&lt;=09_ガント元データ!$H46),"■",""))</f>
        <v/>
      </c>
      <c r="AF47" s="24" t="str">
        <f aca="false">IF($A47="","",IF(AND(AF$2&gt;=09_ガント元データ!$G46,AF$2&lt;=09_ガント元データ!$H46),"■",""))</f>
        <v/>
      </c>
      <c r="AG47" s="24" t="str">
        <f aca="false">IF($A47="","",IF(AND(AG$2&gt;=09_ガント元データ!$G46,AG$2&lt;=09_ガント元データ!$H46),"■",""))</f>
        <v/>
      </c>
      <c r="AH47" s="24" t="str">
        <f aca="false">IF($A47="","",IF(AND(AH$2&gt;=09_ガント元データ!$G46,AH$2&lt;=09_ガント元データ!$H46),"■",""))</f>
        <v/>
      </c>
      <c r="AI47" s="24" t="str">
        <f aca="false">IF($A47="","",IF(AND(AI$2&gt;=09_ガント元データ!$G46,AI$2&lt;=09_ガント元データ!$H46),"■",""))</f>
        <v/>
      </c>
      <c r="AJ47" s="24" t="str">
        <f aca="false">IF($A47="","",IF(AND(AJ$2&gt;=09_ガント元データ!$G46,AJ$2&lt;=09_ガント元データ!$H46),"■",""))</f>
        <v/>
      </c>
      <c r="AK47" s="24" t="str">
        <f aca="false">IF($A47="","",IF(AND(AK$2&gt;=09_ガント元データ!$G46,AK$2&lt;=09_ガント元データ!$H46),"■",""))</f>
        <v/>
      </c>
      <c r="AL47" s="24" t="str">
        <f aca="false">IF($A47="","",IF(AND(AL$2&gt;=09_ガント元データ!$G46,AL$2&lt;=09_ガント元データ!$H46),"■",""))</f>
        <v/>
      </c>
      <c r="AM47" s="24" t="str">
        <f aca="false">IF($A47="","",IF(AND(AM$2&gt;=09_ガント元データ!$G46,AM$2&lt;=09_ガント元データ!$H46),"■",""))</f>
        <v/>
      </c>
    </row>
    <row r="48" customFormat="false" ht="15" hidden="false" customHeight="false" outlineLevel="0" collapsed="false">
      <c r="A48" s="22" t="str">
        <f aca="false">09_ガント元データ!A47</f>
        <v/>
      </c>
      <c r="B48" s="22" t="str">
        <f aca="false">09_ガント元データ!B47</f>
        <v/>
      </c>
      <c r="C48" s="23" t="str">
        <f aca="false">09_ガント元データ!C47</f>
        <v/>
      </c>
      <c r="D48" s="24" t="str">
        <f aca="false">IF($A48="","",IF(AND(D$2&gt;=09_ガント元データ!$G47,D$2&lt;=09_ガント元データ!$H47),"■",""))</f>
        <v/>
      </c>
      <c r="E48" s="24" t="str">
        <f aca="false">IF($A48="","",IF(AND(E$2&gt;=09_ガント元データ!$G47,E$2&lt;=09_ガント元データ!$H47),"■",""))</f>
        <v/>
      </c>
      <c r="F48" s="24" t="str">
        <f aca="false">IF($A48="","",IF(AND(F$2&gt;=09_ガント元データ!$G47,F$2&lt;=09_ガント元データ!$H47),"■",""))</f>
        <v/>
      </c>
      <c r="G48" s="24" t="str">
        <f aca="false">IF($A48="","",IF(AND(G$2&gt;=09_ガント元データ!$G47,G$2&lt;=09_ガント元データ!$H47),"■",""))</f>
        <v/>
      </c>
      <c r="H48" s="24" t="str">
        <f aca="false">IF($A48="","",IF(AND(H$2&gt;=09_ガント元データ!$G47,H$2&lt;=09_ガント元データ!$H47),"■",""))</f>
        <v/>
      </c>
      <c r="I48" s="24" t="str">
        <f aca="false">IF($A48="","",IF(AND(I$2&gt;=09_ガント元データ!$G47,I$2&lt;=09_ガント元データ!$H47),"■",""))</f>
        <v/>
      </c>
      <c r="J48" s="24" t="str">
        <f aca="false">IF($A48="","",IF(AND(J$2&gt;=09_ガント元データ!$G47,J$2&lt;=09_ガント元データ!$H47),"■",""))</f>
        <v/>
      </c>
      <c r="K48" s="24" t="str">
        <f aca="false">IF($A48="","",IF(AND(K$2&gt;=09_ガント元データ!$G47,K$2&lt;=09_ガント元データ!$H47),"■",""))</f>
        <v/>
      </c>
      <c r="L48" s="24" t="str">
        <f aca="false">IF($A48="","",IF(AND(L$2&gt;=09_ガント元データ!$G47,L$2&lt;=09_ガント元データ!$H47),"■",""))</f>
        <v/>
      </c>
      <c r="M48" s="24" t="str">
        <f aca="false">IF($A48="","",IF(AND(M$2&gt;=09_ガント元データ!$G47,M$2&lt;=09_ガント元データ!$H47),"■",""))</f>
        <v/>
      </c>
      <c r="N48" s="24" t="str">
        <f aca="false">IF($A48="","",IF(AND(N$2&gt;=09_ガント元データ!$G47,N$2&lt;=09_ガント元データ!$H47),"■",""))</f>
        <v/>
      </c>
      <c r="O48" s="24" t="str">
        <f aca="false">IF($A48="","",IF(AND(O$2&gt;=09_ガント元データ!$G47,O$2&lt;=09_ガント元データ!$H47),"■",""))</f>
        <v/>
      </c>
      <c r="P48" s="24" t="str">
        <f aca="false">IF($A48="","",IF(AND(P$2&gt;=09_ガント元データ!$G47,P$2&lt;=09_ガント元データ!$H47),"■",""))</f>
        <v/>
      </c>
      <c r="Q48" s="24" t="str">
        <f aca="false">IF($A48="","",IF(AND(Q$2&gt;=09_ガント元データ!$G47,Q$2&lt;=09_ガント元データ!$H47),"■",""))</f>
        <v/>
      </c>
      <c r="R48" s="24" t="str">
        <f aca="false">IF($A48="","",IF(AND(R$2&gt;=09_ガント元データ!$G47,R$2&lt;=09_ガント元データ!$H47),"■",""))</f>
        <v/>
      </c>
      <c r="S48" s="24" t="str">
        <f aca="false">IF($A48="","",IF(AND(S$2&gt;=09_ガント元データ!$G47,S$2&lt;=09_ガント元データ!$H47),"■",""))</f>
        <v/>
      </c>
      <c r="T48" s="24" t="str">
        <f aca="false">IF($A48="","",IF(AND(T$2&gt;=09_ガント元データ!$G47,T$2&lt;=09_ガント元データ!$H47),"■",""))</f>
        <v/>
      </c>
      <c r="U48" s="24" t="str">
        <f aca="false">IF($A48="","",IF(AND(U$2&gt;=09_ガント元データ!$G47,U$2&lt;=09_ガント元データ!$H47),"■",""))</f>
        <v/>
      </c>
      <c r="V48" s="24" t="str">
        <f aca="false">IF($A48="","",IF(AND(V$2&gt;=09_ガント元データ!$G47,V$2&lt;=09_ガント元データ!$H47),"■",""))</f>
        <v/>
      </c>
      <c r="W48" s="24" t="str">
        <f aca="false">IF($A48="","",IF(AND(W$2&gt;=09_ガント元データ!$G47,W$2&lt;=09_ガント元データ!$H47),"■",""))</f>
        <v/>
      </c>
      <c r="X48" s="24" t="str">
        <f aca="false">IF($A48="","",IF(AND(X$2&gt;=09_ガント元データ!$G47,X$2&lt;=09_ガント元データ!$H47),"■",""))</f>
        <v/>
      </c>
      <c r="Y48" s="24" t="str">
        <f aca="false">IF($A48="","",IF(AND(Y$2&gt;=09_ガント元データ!$G47,Y$2&lt;=09_ガント元データ!$H47),"■",""))</f>
        <v/>
      </c>
      <c r="Z48" s="24" t="str">
        <f aca="false">IF($A48="","",IF(AND(Z$2&gt;=09_ガント元データ!$G47,Z$2&lt;=09_ガント元データ!$H47),"■",""))</f>
        <v/>
      </c>
      <c r="AA48" s="24" t="str">
        <f aca="false">IF($A48="","",IF(AND(AA$2&gt;=09_ガント元データ!$G47,AA$2&lt;=09_ガント元データ!$H47),"■",""))</f>
        <v/>
      </c>
      <c r="AB48" s="24" t="str">
        <f aca="false">IF($A48="","",IF(AND(AB$2&gt;=09_ガント元データ!$G47,AB$2&lt;=09_ガント元データ!$H47),"■",""))</f>
        <v/>
      </c>
      <c r="AC48" s="24" t="str">
        <f aca="false">IF($A48="","",IF(AND(AC$2&gt;=09_ガント元データ!$G47,AC$2&lt;=09_ガント元データ!$H47),"■",""))</f>
        <v/>
      </c>
      <c r="AD48" s="24" t="str">
        <f aca="false">IF($A48="","",IF(AND(AD$2&gt;=09_ガント元データ!$G47,AD$2&lt;=09_ガント元データ!$H47),"■",""))</f>
        <v/>
      </c>
      <c r="AE48" s="24" t="str">
        <f aca="false">IF($A48="","",IF(AND(AE$2&gt;=09_ガント元データ!$G47,AE$2&lt;=09_ガント元データ!$H47),"■",""))</f>
        <v/>
      </c>
      <c r="AF48" s="24" t="str">
        <f aca="false">IF($A48="","",IF(AND(AF$2&gt;=09_ガント元データ!$G47,AF$2&lt;=09_ガント元データ!$H47),"■",""))</f>
        <v/>
      </c>
      <c r="AG48" s="24" t="str">
        <f aca="false">IF($A48="","",IF(AND(AG$2&gt;=09_ガント元データ!$G47,AG$2&lt;=09_ガント元データ!$H47),"■",""))</f>
        <v/>
      </c>
      <c r="AH48" s="24" t="str">
        <f aca="false">IF($A48="","",IF(AND(AH$2&gt;=09_ガント元データ!$G47,AH$2&lt;=09_ガント元データ!$H47),"■",""))</f>
        <v/>
      </c>
      <c r="AI48" s="24" t="str">
        <f aca="false">IF($A48="","",IF(AND(AI$2&gt;=09_ガント元データ!$G47,AI$2&lt;=09_ガント元データ!$H47),"■",""))</f>
        <v/>
      </c>
      <c r="AJ48" s="24" t="str">
        <f aca="false">IF($A48="","",IF(AND(AJ$2&gt;=09_ガント元データ!$G47,AJ$2&lt;=09_ガント元データ!$H47),"■",""))</f>
        <v/>
      </c>
      <c r="AK48" s="24" t="str">
        <f aca="false">IF($A48="","",IF(AND(AK$2&gt;=09_ガント元データ!$G47,AK$2&lt;=09_ガント元データ!$H47),"■",""))</f>
        <v/>
      </c>
      <c r="AL48" s="24" t="str">
        <f aca="false">IF($A48="","",IF(AND(AL$2&gt;=09_ガント元データ!$G47,AL$2&lt;=09_ガント元データ!$H47),"■",""))</f>
        <v/>
      </c>
      <c r="AM48" s="24" t="str">
        <f aca="false">IF($A48="","",IF(AND(AM$2&gt;=09_ガント元データ!$G47,AM$2&lt;=09_ガント元データ!$H47),"■",""))</f>
        <v/>
      </c>
    </row>
    <row r="49" customFormat="false" ht="15" hidden="false" customHeight="false" outlineLevel="0" collapsed="false">
      <c r="A49" s="22" t="str">
        <f aca="false">09_ガント元データ!A48</f>
        <v/>
      </c>
      <c r="B49" s="22" t="str">
        <f aca="false">09_ガント元データ!B48</f>
        <v/>
      </c>
      <c r="C49" s="23" t="str">
        <f aca="false">09_ガント元データ!C48</f>
        <v/>
      </c>
      <c r="D49" s="24" t="str">
        <f aca="false">IF($A49="","",IF(AND(D$2&gt;=09_ガント元データ!$G48,D$2&lt;=09_ガント元データ!$H48),"■",""))</f>
        <v/>
      </c>
      <c r="E49" s="24" t="str">
        <f aca="false">IF($A49="","",IF(AND(E$2&gt;=09_ガント元データ!$G48,E$2&lt;=09_ガント元データ!$H48),"■",""))</f>
        <v/>
      </c>
      <c r="F49" s="24" t="str">
        <f aca="false">IF($A49="","",IF(AND(F$2&gt;=09_ガント元データ!$G48,F$2&lt;=09_ガント元データ!$H48),"■",""))</f>
        <v/>
      </c>
      <c r="G49" s="24" t="str">
        <f aca="false">IF($A49="","",IF(AND(G$2&gt;=09_ガント元データ!$G48,G$2&lt;=09_ガント元データ!$H48),"■",""))</f>
        <v/>
      </c>
      <c r="H49" s="24" t="str">
        <f aca="false">IF($A49="","",IF(AND(H$2&gt;=09_ガント元データ!$G48,H$2&lt;=09_ガント元データ!$H48),"■",""))</f>
        <v/>
      </c>
      <c r="I49" s="24" t="str">
        <f aca="false">IF($A49="","",IF(AND(I$2&gt;=09_ガント元データ!$G48,I$2&lt;=09_ガント元データ!$H48),"■",""))</f>
        <v/>
      </c>
      <c r="J49" s="24" t="str">
        <f aca="false">IF($A49="","",IF(AND(J$2&gt;=09_ガント元データ!$G48,J$2&lt;=09_ガント元データ!$H48),"■",""))</f>
        <v/>
      </c>
      <c r="K49" s="24" t="str">
        <f aca="false">IF($A49="","",IF(AND(K$2&gt;=09_ガント元データ!$G48,K$2&lt;=09_ガント元データ!$H48),"■",""))</f>
        <v/>
      </c>
      <c r="L49" s="24" t="str">
        <f aca="false">IF($A49="","",IF(AND(L$2&gt;=09_ガント元データ!$G48,L$2&lt;=09_ガント元データ!$H48),"■",""))</f>
        <v/>
      </c>
      <c r="M49" s="24" t="str">
        <f aca="false">IF($A49="","",IF(AND(M$2&gt;=09_ガント元データ!$G48,M$2&lt;=09_ガント元データ!$H48),"■",""))</f>
        <v/>
      </c>
      <c r="N49" s="24" t="str">
        <f aca="false">IF($A49="","",IF(AND(N$2&gt;=09_ガント元データ!$G48,N$2&lt;=09_ガント元データ!$H48),"■",""))</f>
        <v/>
      </c>
      <c r="O49" s="24" t="str">
        <f aca="false">IF($A49="","",IF(AND(O$2&gt;=09_ガント元データ!$G48,O$2&lt;=09_ガント元データ!$H48),"■",""))</f>
        <v/>
      </c>
      <c r="P49" s="24" t="str">
        <f aca="false">IF($A49="","",IF(AND(P$2&gt;=09_ガント元データ!$G48,P$2&lt;=09_ガント元データ!$H48),"■",""))</f>
        <v/>
      </c>
      <c r="Q49" s="24" t="str">
        <f aca="false">IF($A49="","",IF(AND(Q$2&gt;=09_ガント元データ!$G48,Q$2&lt;=09_ガント元データ!$H48),"■",""))</f>
        <v/>
      </c>
      <c r="R49" s="24" t="str">
        <f aca="false">IF($A49="","",IF(AND(R$2&gt;=09_ガント元データ!$G48,R$2&lt;=09_ガント元データ!$H48),"■",""))</f>
        <v/>
      </c>
      <c r="S49" s="24" t="str">
        <f aca="false">IF($A49="","",IF(AND(S$2&gt;=09_ガント元データ!$G48,S$2&lt;=09_ガント元データ!$H48),"■",""))</f>
        <v/>
      </c>
      <c r="T49" s="24" t="str">
        <f aca="false">IF($A49="","",IF(AND(T$2&gt;=09_ガント元データ!$G48,T$2&lt;=09_ガント元データ!$H48),"■",""))</f>
        <v/>
      </c>
      <c r="U49" s="24" t="str">
        <f aca="false">IF($A49="","",IF(AND(U$2&gt;=09_ガント元データ!$G48,U$2&lt;=09_ガント元データ!$H48),"■",""))</f>
        <v/>
      </c>
      <c r="V49" s="24" t="str">
        <f aca="false">IF($A49="","",IF(AND(V$2&gt;=09_ガント元データ!$G48,V$2&lt;=09_ガント元データ!$H48),"■",""))</f>
        <v/>
      </c>
      <c r="W49" s="24" t="str">
        <f aca="false">IF($A49="","",IF(AND(W$2&gt;=09_ガント元データ!$G48,W$2&lt;=09_ガント元データ!$H48),"■",""))</f>
        <v/>
      </c>
      <c r="X49" s="24" t="str">
        <f aca="false">IF($A49="","",IF(AND(X$2&gt;=09_ガント元データ!$G48,X$2&lt;=09_ガント元データ!$H48),"■",""))</f>
        <v/>
      </c>
      <c r="Y49" s="24" t="str">
        <f aca="false">IF($A49="","",IF(AND(Y$2&gt;=09_ガント元データ!$G48,Y$2&lt;=09_ガント元データ!$H48),"■",""))</f>
        <v/>
      </c>
      <c r="Z49" s="24" t="str">
        <f aca="false">IF($A49="","",IF(AND(Z$2&gt;=09_ガント元データ!$G48,Z$2&lt;=09_ガント元データ!$H48),"■",""))</f>
        <v/>
      </c>
      <c r="AA49" s="24" t="str">
        <f aca="false">IF($A49="","",IF(AND(AA$2&gt;=09_ガント元データ!$G48,AA$2&lt;=09_ガント元データ!$H48),"■",""))</f>
        <v/>
      </c>
      <c r="AB49" s="24" t="str">
        <f aca="false">IF($A49="","",IF(AND(AB$2&gt;=09_ガント元データ!$G48,AB$2&lt;=09_ガント元データ!$H48),"■",""))</f>
        <v/>
      </c>
      <c r="AC49" s="24" t="str">
        <f aca="false">IF($A49="","",IF(AND(AC$2&gt;=09_ガント元データ!$G48,AC$2&lt;=09_ガント元データ!$H48),"■",""))</f>
        <v/>
      </c>
      <c r="AD49" s="24" t="str">
        <f aca="false">IF($A49="","",IF(AND(AD$2&gt;=09_ガント元データ!$G48,AD$2&lt;=09_ガント元データ!$H48),"■",""))</f>
        <v/>
      </c>
      <c r="AE49" s="24" t="str">
        <f aca="false">IF($A49="","",IF(AND(AE$2&gt;=09_ガント元データ!$G48,AE$2&lt;=09_ガント元データ!$H48),"■",""))</f>
        <v/>
      </c>
      <c r="AF49" s="24" t="str">
        <f aca="false">IF($A49="","",IF(AND(AF$2&gt;=09_ガント元データ!$G48,AF$2&lt;=09_ガント元データ!$H48),"■",""))</f>
        <v/>
      </c>
      <c r="AG49" s="24" t="str">
        <f aca="false">IF($A49="","",IF(AND(AG$2&gt;=09_ガント元データ!$G48,AG$2&lt;=09_ガント元データ!$H48),"■",""))</f>
        <v/>
      </c>
      <c r="AH49" s="24" t="str">
        <f aca="false">IF($A49="","",IF(AND(AH$2&gt;=09_ガント元データ!$G48,AH$2&lt;=09_ガント元データ!$H48),"■",""))</f>
        <v/>
      </c>
      <c r="AI49" s="24" t="str">
        <f aca="false">IF($A49="","",IF(AND(AI$2&gt;=09_ガント元データ!$G48,AI$2&lt;=09_ガント元データ!$H48),"■",""))</f>
        <v/>
      </c>
      <c r="AJ49" s="24" t="str">
        <f aca="false">IF($A49="","",IF(AND(AJ$2&gt;=09_ガント元データ!$G48,AJ$2&lt;=09_ガント元データ!$H48),"■",""))</f>
        <v/>
      </c>
      <c r="AK49" s="24" t="str">
        <f aca="false">IF($A49="","",IF(AND(AK$2&gt;=09_ガント元データ!$G48,AK$2&lt;=09_ガント元データ!$H48),"■",""))</f>
        <v/>
      </c>
      <c r="AL49" s="24" t="str">
        <f aca="false">IF($A49="","",IF(AND(AL$2&gt;=09_ガント元データ!$G48,AL$2&lt;=09_ガント元データ!$H48),"■",""))</f>
        <v/>
      </c>
      <c r="AM49" s="24" t="str">
        <f aca="false">IF($A49="","",IF(AND(AM$2&gt;=09_ガント元データ!$G48,AM$2&lt;=09_ガント元データ!$H48),"■",""))</f>
        <v/>
      </c>
    </row>
    <row r="50" customFormat="false" ht="15" hidden="false" customHeight="false" outlineLevel="0" collapsed="false">
      <c r="A50" s="22" t="str">
        <f aca="false">09_ガント元データ!A49</f>
        <v/>
      </c>
      <c r="B50" s="22" t="str">
        <f aca="false">09_ガント元データ!B49</f>
        <v/>
      </c>
      <c r="C50" s="23" t="str">
        <f aca="false">09_ガント元データ!C49</f>
        <v/>
      </c>
      <c r="D50" s="24" t="str">
        <f aca="false">IF($A50="","",IF(AND(D$2&gt;=09_ガント元データ!$G49,D$2&lt;=09_ガント元データ!$H49),"■",""))</f>
        <v/>
      </c>
      <c r="E50" s="24" t="str">
        <f aca="false">IF($A50="","",IF(AND(E$2&gt;=09_ガント元データ!$G49,E$2&lt;=09_ガント元データ!$H49),"■",""))</f>
        <v/>
      </c>
      <c r="F50" s="24" t="str">
        <f aca="false">IF($A50="","",IF(AND(F$2&gt;=09_ガント元データ!$G49,F$2&lt;=09_ガント元データ!$H49),"■",""))</f>
        <v/>
      </c>
      <c r="G50" s="24" t="str">
        <f aca="false">IF($A50="","",IF(AND(G$2&gt;=09_ガント元データ!$G49,G$2&lt;=09_ガント元データ!$H49),"■",""))</f>
        <v/>
      </c>
      <c r="H50" s="24" t="str">
        <f aca="false">IF($A50="","",IF(AND(H$2&gt;=09_ガント元データ!$G49,H$2&lt;=09_ガント元データ!$H49),"■",""))</f>
        <v/>
      </c>
      <c r="I50" s="24" t="str">
        <f aca="false">IF($A50="","",IF(AND(I$2&gt;=09_ガント元データ!$G49,I$2&lt;=09_ガント元データ!$H49),"■",""))</f>
        <v/>
      </c>
      <c r="J50" s="24" t="str">
        <f aca="false">IF($A50="","",IF(AND(J$2&gt;=09_ガント元データ!$G49,J$2&lt;=09_ガント元データ!$H49),"■",""))</f>
        <v/>
      </c>
      <c r="K50" s="24" t="str">
        <f aca="false">IF($A50="","",IF(AND(K$2&gt;=09_ガント元データ!$G49,K$2&lt;=09_ガント元データ!$H49),"■",""))</f>
        <v/>
      </c>
      <c r="L50" s="24" t="str">
        <f aca="false">IF($A50="","",IF(AND(L$2&gt;=09_ガント元データ!$G49,L$2&lt;=09_ガント元データ!$H49),"■",""))</f>
        <v/>
      </c>
      <c r="M50" s="24" t="str">
        <f aca="false">IF($A50="","",IF(AND(M$2&gt;=09_ガント元データ!$G49,M$2&lt;=09_ガント元データ!$H49),"■",""))</f>
        <v/>
      </c>
      <c r="N50" s="24" t="str">
        <f aca="false">IF($A50="","",IF(AND(N$2&gt;=09_ガント元データ!$G49,N$2&lt;=09_ガント元データ!$H49),"■",""))</f>
        <v/>
      </c>
      <c r="O50" s="24" t="str">
        <f aca="false">IF($A50="","",IF(AND(O$2&gt;=09_ガント元データ!$G49,O$2&lt;=09_ガント元データ!$H49),"■",""))</f>
        <v/>
      </c>
      <c r="P50" s="24" t="str">
        <f aca="false">IF($A50="","",IF(AND(P$2&gt;=09_ガント元データ!$G49,P$2&lt;=09_ガント元データ!$H49),"■",""))</f>
        <v/>
      </c>
      <c r="Q50" s="24" t="str">
        <f aca="false">IF($A50="","",IF(AND(Q$2&gt;=09_ガント元データ!$G49,Q$2&lt;=09_ガント元データ!$H49),"■",""))</f>
        <v/>
      </c>
      <c r="R50" s="24" t="str">
        <f aca="false">IF($A50="","",IF(AND(R$2&gt;=09_ガント元データ!$G49,R$2&lt;=09_ガント元データ!$H49),"■",""))</f>
        <v/>
      </c>
      <c r="S50" s="24" t="str">
        <f aca="false">IF($A50="","",IF(AND(S$2&gt;=09_ガント元データ!$G49,S$2&lt;=09_ガント元データ!$H49),"■",""))</f>
        <v/>
      </c>
      <c r="T50" s="24" t="str">
        <f aca="false">IF($A50="","",IF(AND(T$2&gt;=09_ガント元データ!$G49,T$2&lt;=09_ガント元データ!$H49),"■",""))</f>
        <v/>
      </c>
      <c r="U50" s="24" t="str">
        <f aca="false">IF($A50="","",IF(AND(U$2&gt;=09_ガント元データ!$G49,U$2&lt;=09_ガント元データ!$H49),"■",""))</f>
        <v/>
      </c>
      <c r="V50" s="24" t="str">
        <f aca="false">IF($A50="","",IF(AND(V$2&gt;=09_ガント元データ!$G49,V$2&lt;=09_ガント元データ!$H49),"■",""))</f>
        <v/>
      </c>
      <c r="W50" s="24" t="str">
        <f aca="false">IF($A50="","",IF(AND(W$2&gt;=09_ガント元データ!$G49,W$2&lt;=09_ガント元データ!$H49),"■",""))</f>
        <v/>
      </c>
      <c r="X50" s="24" t="str">
        <f aca="false">IF($A50="","",IF(AND(X$2&gt;=09_ガント元データ!$G49,X$2&lt;=09_ガント元データ!$H49),"■",""))</f>
        <v/>
      </c>
      <c r="Y50" s="24" t="str">
        <f aca="false">IF($A50="","",IF(AND(Y$2&gt;=09_ガント元データ!$G49,Y$2&lt;=09_ガント元データ!$H49),"■",""))</f>
        <v/>
      </c>
      <c r="Z50" s="24" t="str">
        <f aca="false">IF($A50="","",IF(AND(Z$2&gt;=09_ガント元データ!$G49,Z$2&lt;=09_ガント元データ!$H49),"■",""))</f>
        <v/>
      </c>
      <c r="AA50" s="24" t="str">
        <f aca="false">IF($A50="","",IF(AND(AA$2&gt;=09_ガント元データ!$G49,AA$2&lt;=09_ガント元データ!$H49),"■",""))</f>
        <v/>
      </c>
      <c r="AB50" s="24" t="str">
        <f aca="false">IF($A50="","",IF(AND(AB$2&gt;=09_ガント元データ!$G49,AB$2&lt;=09_ガント元データ!$H49),"■",""))</f>
        <v/>
      </c>
      <c r="AC50" s="24" t="str">
        <f aca="false">IF($A50="","",IF(AND(AC$2&gt;=09_ガント元データ!$G49,AC$2&lt;=09_ガント元データ!$H49),"■",""))</f>
        <v/>
      </c>
      <c r="AD50" s="24" t="str">
        <f aca="false">IF($A50="","",IF(AND(AD$2&gt;=09_ガント元データ!$G49,AD$2&lt;=09_ガント元データ!$H49),"■",""))</f>
        <v/>
      </c>
      <c r="AE50" s="24" t="str">
        <f aca="false">IF($A50="","",IF(AND(AE$2&gt;=09_ガント元データ!$G49,AE$2&lt;=09_ガント元データ!$H49),"■",""))</f>
        <v/>
      </c>
      <c r="AF50" s="24" t="str">
        <f aca="false">IF($A50="","",IF(AND(AF$2&gt;=09_ガント元データ!$G49,AF$2&lt;=09_ガント元データ!$H49),"■",""))</f>
        <v/>
      </c>
      <c r="AG50" s="24" t="str">
        <f aca="false">IF($A50="","",IF(AND(AG$2&gt;=09_ガント元データ!$G49,AG$2&lt;=09_ガント元データ!$H49),"■",""))</f>
        <v/>
      </c>
      <c r="AH50" s="24" t="str">
        <f aca="false">IF($A50="","",IF(AND(AH$2&gt;=09_ガント元データ!$G49,AH$2&lt;=09_ガント元データ!$H49),"■",""))</f>
        <v/>
      </c>
      <c r="AI50" s="24" t="str">
        <f aca="false">IF($A50="","",IF(AND(AI$2&gt;=09_ガント元データ!$G49,AI$2&lt;=09_ガント元データ!$H49),"■",""))</f>
        <v/>
      </c>
      <c r="AJ50" s="24" t="str">
        <f aca="false">IF($A50="","",IF(AND(AJ$2&gt;=09_ガント元データ!$G49,AJ$2&lt;=09_ガント元データ!$H49),"■",""))</f>
        <v/>
      </c>
      <c r="AK50" s="24" t="str">
        <f aca="false">IF($A50="","",IF(AND(AK$2&gt;=09_ガント元データ!$G49,AK$2&lt;=09_ガント元データ!$H49),"■",""))</f>
        <v/>
      </c>
      <c r="AL50" s="24" t="str">
        <f aca="false">IF($A50="","",IF(AND(AL$2&gt;=09_ガント元データ!$G49,AL$2&lt;=09_ガント元データ!$H49),"■",""))</f>
        <v/>
      </c>
      <c r="AM50" s="24" t="str">
        <f aca="false">IF($A50="","",IF(AND(AM$2&gt;=09_ガント元データ!$G49,AM$2&lt;=09_ガント元データ!$H49),"■",""))</f>
        <v/>
      </c>
    </row>
    <row r="51" customFormat="false" ht="15" hidden="false" customHeight="false" outlineLevel="0" collapsed="false">
      <c r="A51" s="22" t="str">
        <f aca="false">09_ガント元データ!A50</f>
        <v/>
      </c>
      <c r="B51" s="22" t="str">
        <f aca="false">09_ガント元データ!B50</f>
        <v/>
      </c>
      <c r="C51" s="23" t="str">
        <f aca="false">09_ガント元データ!C50</f>
        <v/>
      </c>
      <c r="D51" s="24" t="str">
        <f aca="false">IF($A51="","",IF(AND(D$2&gt;=09_ガント元データ!$G50,D$2&lt;=09_ガント元データ!$H50),"■",""))</f>
        <v/>
      </c>
      <c r="E51" s="24" t="str">
        <f aca="false">IF($A51="","",IF(AND(E$2&gt;=09_ガント元データ!$G50,E$2&lt;=09_ガント元データ!$H50),"■",""))</f>
        <v/>
      </c>
      <c r="F51" s="24" t="str">
        <f aca="false">IF($A51="","",IF(AND(F$2&gt;=09_ガント元データ!$G50,F$2&lt;=09_ガント元データ!$H50),"■",""))</f>
        <v/>
      </c>
      <c r="G51" s="24" t="str">
        <f aca="false">IF($A51="","",IF(AND(G$2&gt;=09_ガント元データ!$G50,G$2&lt;=09_ガント元データ!$H50),"■",""))</f>
        <v/>
      </c>
      <c r="H51" s="24" t="str">
        <f aca="false">IF($A51="","",IF(AND(H$2&gt;=09_ガント元データ!$G50,H$2&lt;=09_ガント元データ!$H50),"■",""))</f>
        <v/>
      </c>
      <c r="I51" s="24" t="str">
        <f aca="false">IF($A51="","",IF(AND(I$2&gt;=09_ガント元データ!$G50,I$2&lt;=09_ガント元データ!$H50),"■",""))</f>
        <v/>
      </c>
      <c r="J51" s="24" t="str">
        <f aca="false">IF($A51="","",IF(AND(J$2&gt;=09_ガント元データ!$G50,J$2&lt;=09_ガント元データ!$H50),"■",""))</f>
        <v/>
      </c>
      <c r="K51" s="24" t="str">
        <f aca="false">IF($A51="","",IF(AND(K$2&gt;=09_ガント元データ!$G50,K$2&lt;=09_ガント元データ!$H50),"■",""))</f>
        <v/>
      </c>
      <c r="L51" s="24" t="str">
        <f aca="false">IF($A51="","",IF(AND(L$2&gt;=09_ガント元データ!$G50,L$2&lt;=09_ガント元データ!$H50),"■",""))</f>
        <v/>
      </c>
      <c r="M51" s="24" t="str">
        <f aca="false">IF($A51="","",IF(AND(M$2&gt;=09_ガント元データ!$G50,M$2&lt;=09_ガント元データ!$H50),"■",""))</f>
        <v/>
      </c>
      <c r="N51" s="24" t="str">
        <f aca="false">IF($A51="","",IF(AND(N$2&gt;=09_ガント元データ!$G50,N$2&lt;=09_ガント元データ!$H50),"■",""))</f>
        <v/>
      </c>
      <c r="O51" s="24" t="str">
        <f aca="false">IF($A51="","",IF(AND(O$2&gt;=09_ガント元データ!$G50,O$2&lt;=09_ガント元データ!$H50),"■",""))</f>
        <v/>
      </c>
      <c r="P51" s="24" t="str">
        <f aca="false">IF($A51="","",IF(AND(P$2&gt;=09_ガント元データ!$G50,P$2&lt;=09_ガント元データ!$H50),"■",""))</f>
        <v/>
      </c>
      <c r="Q51" s="24" t="str">
        <f aca="false">IF($A51="","",IF(AND(Q$2&gt;=09_ガント元データ!$G50,Q$2&lt;=09_ガント元データ!$H50),"■",""))</f>
        <v/>
      </c>
      <c r="R51" s="24" t="str">
        <f aca="false">IF($A51="","",IF(AND(R$2&gt;=09_ガント元データ!$G50,R$2&lt;=09_ガント元データ!$H50),"■",""))</f>
        <v/>
      </c>
      <c r="S51" s="24" t="str">
        <f aca="false">IF($A51="","",IF(AND(S$2&gt;=09_ガント元データ!$G50,S$2&lt;=09_ガント元データ!$H50),"■",""))</f>
        <v/>
      </c>
      <c r="T51" s="24" t="str">
        <f aca="false">IF($A51="","",IF(AND(T$2&gt;=09_ガント元データ!$G50,T$2&lt;=09_ガント元データ!$H50),"■",""))</f>
        <v/>
      </c>
      <c r="U51" s="24" t="str">
        <f aca="false">IF($A51="","",IF(AND(U$2&gt;=09_ガント元データ!$G50,U$2&lt;=09_ガント元データ!$H50),"■",""))</f>
        <v/>
      </c>
      <c r="V51" s="24" t="str">
        <f aca="false">IF($A51="","",IF(AND(V$2&gt;=09_ガント元データ!$G50,V$2&lt;=09_ガント元データ!$H50),"■",""))</f>
        <v/>
      </c>
      <c r="W51" s="24" t="str">
        <f aca="false">IF($A51="","",IF(AND(W$2&gt;=09_ガント元データ!$G50,W$2&lt;=09_ガント元データ!$H50),"■",""))</f>
        <v/>
      </c>
      <c r="X51" s="24" t="str">
        <f aca="false">IF($A51="","",IF(AND(X$2&gt;=09_ガント元データ!$G50,X$2&lt;=09_ガント元データ!$H50),"■",""))</f>
        <v/>
      </c>
      <c r="Y51" s="24" t="str">
        <f aca="false">IF($A51="","",IF(AND(Y$2&gt;=09_ガント元データ!$G50,Y$2&lt;=09_ガント元データ!$H50),"■",""))</f>
        <v/>
      </c>
      <c r="Z51" s="24" t="str">
        <f aca="false">IF($A51="","",IF(AND(Z$2&gt;=09_ガント元データ!$G50,Z$2&lt;=09_ガント元データ!$H50),"■",""))</f>
        <v/>
      </c>
      <c r="AA51" s="24" t="str">
        <f aca="false">IF($A51="","",IF(AND(AA$2&gt;=09_ガント元データ!$G50,AA$2&lt;=09_ガント元データ!$H50),"■",""))</f>
        <v/>
      </c>
      <c r="AB51" s="24" t="str">
        <f aca="false">IF($A51="","",IF(AND(AB$2&gt;=09_ガント元データ!$G50,AB$2&lt;=09_ガント元データ!$H50),"■",""))</f>
        <v/>
      </c>
      <c r="AC51" s="24" t="str">
        <f aca="false">IF($A51="","",IF(AND(AC$2&gt;=09_ガント元データ!$G50,AC$2&lt;=09_ガント元データ!$H50),"■",""))</f>
        <v/>
      </c>
      <c r="AD51" s="24" t="str">
        <f aca="false">IF($A51="","",IF(AND(AD$2&gt;=09_ガント元データ!$G50,AD$2&lt;=09_ガント元データ!$H50),"■",""))</f>
        <v/>
      </c>
      <c r="AE51" s="24" t="str">
        <f aca="false">IF($A51="","",IF(AND(AE$2&gt;=09_ガント元データ!$G50,AE$2&lt;=09_ガント元データ!$H50),"■",""))</f>
        <v/>
      </c>
      <c r="AF51" s="24" t="str">
        <f aca="false">IF($A51="","",IF(AND(AF$2&gt;=09_ガント元データ!$G50,AF$2&lt;=09_ガント元データ!$H50),"■",""))</f>
        <v/>
      </c>
      <c r="AG51" s="24" t="str">
        <f aca="false">IF($A51="","",IF(AND(AG$2&gt;=09_ガント元データ!$G50,AG$2&lt;=09_ガント元データ!$H50),"■",""))</f>
        <v/>
      </c>
      <c r="AH51" s="24" t="str">
        <f aca="false">IF($A51="","",IF(AND(AH$2&gt;=09_ガント元データ!$G50,AH$2&lt;=09_ガント元データ!$H50),"■",""))</f>
        <v/>
      </c>
      <c r="AI51" s="24" t="str">
        <f aca="false">IF($A51="","",IF(AND(AI$2&gt;=09_ガント元データ!$G50,AI$2&lt;=09_ガント元データ!$H50),"■",""))</f>
        <v/>
      </c>
      <c r="AJ51" s="24" t="str">
        <f aca="false">IF($A51="","",IF(AND(AJ$2&gt;=09_ガント元データ!$G50,AJ$2&lt;=09_ガント元データ!$H50),"■",""))</f>
        <v/>
      </c>
      <c r="AK51" s="24" t="str">
        <f aca="false">IF($A51="","",IF(AND(AK$2&gt;=09_ガント元データ!$G50,AK$2&lt;=09_ガント元データ!$H50),"■",""))</f>
        <v/>
      </c>
      <c r="AL51" s="24" t="str">
        <f aca="false">IF($A51="","",IF(AND(AL$2&gt;=09_ガント元データ!$G50,AL$2&lt;=09_ガント元データ!$H50),"■",""))</f>
        <v/>
      </c>
      <c r="AM51" s="24" t="str">
        <f aca="false">IF($A51="","",IF(AND(AM$2&gt;=09_ガント元データ!$G50,AM$2&lt;=09_ガント元データ!$H50),"■",""))</f>
        <v/>
      </c>
    </row>
    <row r="52" customFormat="false" ht="15" hidden="false" customHeight="false" outlineLevel="0" collapsed="false">
      <c r="A52" s="22" t="str">
        <f aca="false">09_ガント元データ!A51</f>
        <v/>
      </c>
      <c r="B52" s="22" t="str">
        <f aca="false">09_ガント元データ!B51</f>
        <v/>
      </c>
      <c r="C52" s="23" t="str">
        <f aca="false">09_ガント元データ!C51</f>
        <v/>
      </c>
      <c r="D52" s="24" t="str">
        <f aca="false">IF($A52="","",IF(AND(D$2&gt;=09_ガント元データ!$G51,D$2&lt;=09_ガント元データ!$H51),"■",""))</f>
        <v/>
      </c>
      <c r="E52" s="24" t="str">
        <f aca="false">IF($A52="","",IF(AND(E$2&gt;=09_ガント元データ!$G51,E$2&lt;=09_ガント元データ!$H51),"■",""))</f>
        <v/>
      </c>
      <c r="F52" s="24" t="str">
        <f aca="false">IF($A52="","",IF(AND(F$2&gt;=09_ガント元データ!$G51,F$2&lt;=09_ガント元データ!$H51),"■",""))</f>
        <v/>
      </c>
      <c r="G52" s="24" t="str">
        <f aca="false">IF($A52="","",IF(AND(G$2&gt;=09_ガント元データ!$G51,G$2&lt;=09_ガント元データ!$H51),"■",""))</f>
        <v/>
      </c>
      <c r="H52" s="24" t="str">
        <f aca="false">IF($A52="","",IF(AND(H$2&gt;=09_ガント元データ!$G51,H$2&lt;=09_ガント元データ!$H51),"■",""))</f>
        <v/>
      </c>
      <c r="I52" s="24" t="str">
        <f aca="false">IF($A52="","",IF(AND(I$2&gt;=09_ガント元データ!$G51,I$2&lt;=09_ガント元データ!$H51),"■",""))</f>
        <v/>
      </c>
      <c r="J52" s="24" t="str">
        <f aca="false">IF($A52="","",IF(AND(J$2&gt;=09_ガント元データ!$G51,J$2&lt;=09_ガント元データ!$H51),"■",""))</f>
        <v/>
      </c>
      <c r="K52" s="24" t="str">
        <f aca="false">IF($A52="","",IF(AND(K$2&gt;=09_ガント元データ!$G51,K$2&lt;=09_ガント元データ!$H51),"■",""))</f>
        <v/>
      </c>
      <c r="L52" s="24" t="str">
        <f aca="false">IF($A52="","",IF(AND(L$2&gt;=09_ガント元データ!$G51,L$2&lt;=09_ガント元データ!$H51),"■",""))</f>
        <v/>
      </c>
      <c r="M52" s="24" t="str">
        <f aca="false">IF($A52="","",IF(AND(M$2&gt;=09_ガント元データ!$G51,M$2&lt;=09_ガント元データ!$H51),"■",""))</f>
        <v/>
      </c>
      <c r="N52" s="24" t="str">
        <f aca="false">IF($A52="","",IF(AND(N$2&gt;=09_ガント元データ!$G51,N$2&lt;=09_ガント元データ!$H51),"■",""))</f>
        <v/>
      </c>
      <c r="O52" s="24" t="str">
        <f aca="false">IF($A52="","",IF(AND(O$2&gt;=09_ガント元データ!$G51,O$2&lt;=09_ガント元データ!$H51),"■",""))</f>
        <v/>
      </c>
      <c r="P52" s="24" t="str">
        <f aca="false">IF($A52="","",IF(AND(P$2&gt;=09_ガント元データ!$G51,P$2&lt;=09_ガント元データ!$H51),"■",""))</f>
        <v/>
      </c>
      <c r="Q52" s="24" t="str">
        <f aca="false">IF($A52="","",IF(AND(Q$2&gt;=09_ガント元データ!$G51,Q$2&lt;=09_ガント元データ!$H51),"■",""))</f>
        <v/>
      </c>
      <c r="R52" s="24" t="str">
        <f aca="false">IF($A52="","",IF(AND(R$2&gt;=09_ガント元データ!$G51,R$2&lt;=09_ガント元データ!$H51),"■",""))</f>
        <v/>
      </c>
      <c r="S52" s="24" t="str">
        <f aca="false">IF($A52="","",IF(AND(S$2&gt;=09_ガント元データ!$G51,S$2&lt;=09_ガント元データ!$H51),"■",""))</f>
        <v/>
      </c>
      <c r="T52" s="24" t="str">
        <f aca="false">IF($A52="","",IF(AND(T$2&gt;=09_ガント元データ!$G51,T$2&lt;=09_ガント元データ!$H51),"■",""))</f>
        <v/>
      </c>
      <c r="U52" s="24" t="str">
        <f aca="false">IF($A52="","",IF(AND(U$2&gt;=09_ガント元データ!$G51,U$2&lt;=09_ガント元データ!$H51),"■",""))</f>
        <v/>
      </c>
      <c r="V52" s="24" t="str">
        <f aca="false">IF($A52="","",IF(AND(V$2&gt;=09_ガント元データ!$G51,V$2&lt;=09_ガント元データ!$H51),"■",""))</f>
        <v/>
      </c>
      <c r="W52" s="24" t="str">
        <f aca="false">IF($A52="","",IF(AND(W$2&gt;=09_ガント元データ!$G51,W$2&lt;=09_ガント元データ!$H51),"■",""))</f>
        <v/>
      </c>
      <c r="X52" s="24" t="str">
        <f aca="false">IF($A52="","",IF(AND(X$2&gt;=09_ガント元データ!$G51,X$2&lt;=09_ガント元データ!$H51),"■",""))</f>
        <v/>
      </c>
      <c r="Y52" s="24" t="str">
        <f aca="false">IF($A52="","",IF(AND(Y$2&gt;=09_ガント元データ!$G51,Y$2&lt;=09_ガント元データ!$H51),"■",""))</f>
        <v/>
      </c>
      <c r="Z52" s="24" t="str">
        <f aca="false">IF($A52="","",IF(AND(Z$2&gt;=09_ガント元データ!$G51,Z$2&lt;=09_ガント元データ!$H51),"■",""))</f>
        <v/>
      </c>
      <c r="AA52" s="24" t="str">
        <f aca="false">IF($A52="","",IF(AND(AA$2&gt;=09_ガント元データ!$G51,AA$2&lt;=09_ガント元データ!$H51),"■",""))</f>
        <v/>
      </c>
      <c r="AB52" s="24" t="str">
        <f aca="false">IF($A52="","",IF(AND(AB$2&gt;=09_ガント元データ!$G51,AB$2&lt;=09_ガント元データ!$H51),"■",""))</f>
        <v/>
      </c>
      <c r="AC52" s="24" t="str">
        <f aca="false">IF($A52="","",IF(AND(AC$2&gt;=09_ガント元データ!$G51,AC$2&lt;=09_ガント元データ!$H51),"■",""))</f>
        <v/>
      </c>
      <c r="AD52" s="24" t="str">
        <f aca="false">IF($A52="","",IF(AND(AD$2&gt;=09_ガント元データ!$G51,AD$2&lt;=09_ガント元データ!$H51),"■",""))</f>
        <v/>
      </c>
      <c r="AE52" s="24" t="str">
        <f aca="false">IF($A52="","",IF(AND(AE$2&gt;=09_ガント元データ!$G51,AE$2&lt;=09_ガント元データ!$H51),"■",""))</f>
        <v/>
      </c>
      <c r="AF52" s="24" t="str">
        <f aca="false">IF($A52="","",IF(AND(AF$2&gt;=09_ガント元データ!$G51,AF$2&lt;=09_ガント元データ!$H51),"■",""))</f>
        <v/>
      </c>
      <c r="AG52" s="24" t="str">
        <f aca="false">IF($A52="","",IF(AND(AG$2&gt;=09_ガント元データ!$G51,AG$2&lt;=09_ガント元データ!$H51),"■",""))</f>
        <v/>
      </c>
      <c r="AH52" s="24" t="str">
        <f aca="false">IF($A52="","",IF(AND(AH$2&gt;=09_ガント元データ!$G51,AH$2&lt;=09_ガント元データ!$H51),"■",""))</f>
        <v/>
      </c>
      <c r="AI52" s="24" t="str">
        <f aca="false">IF($A52="","",IF(AND(AI$2&gt;=09_ガント元データ!$G51,AI$2&lt;=09_ガント元データ!$H51),"■",""))</f>
        <v/>
      </c>
      <c r="AJ52" s="24" t="str">
        <f aca="false">IF($A52="","",IF(AND(AJ$2&gt;=09_ガント元データ!$G51,AJ$2&lt;=09_ガント元データ!$H51),"■",""))</f>
        <v/>
      </c>
      <c r="AK52" s="24" t="str">
        <f aca="false">IF($A52="","",IF(AND(AK$2&gt;=09_ガント元データ!$G51,AK$2&lt;=09_ガント元データ!$H51),"■",""))</f>
        <v/>
      </c>
      <c r="AL52" s="24" t="str">
        <f aca="false">IF($A52="","",IF(AND(AL$2&gt;=09_ガント元データ!$G51,AL$2&lt;=09_ガント元データ!$H51),"■",""))</f>
        <v/>
      </c>
      <c r="AM52" s="24" t="str">
        <f aca="false">IF($A52="","",IF(AND(AM$2&gt;=09_ガント元データ!$G51,AM$2&lt;=09_ガント元データ!$H51),"■",""))</f>
        <v/>
      </c>
    </row>
    <row r="53" customFormat="false" ht="15" hidden="false" customHeight="false" outlineLevel="0" collapsed="false">
      <c r="A53" s="22" t="str">
        <f aca="false">09_ガント元データ!A52</f>
        <v/>
      </c>
      <c r="B53" s="22" t="str">
        <f aca="false">09_ガント元データ!B52</f>
        <v/>
      </c>
      <c r="C53" s="23" t="str">
        <f aca="false">09_ガント元データ!C52</f>
        <v/>
      </c>
      <c r="D53" s="24" t="str">
        <f aca="false">IF($A53="","",IF(AND(D$2&gt;=09_ガント元データ!$G52,D$2&lt;=09_ガント元データ!$H52),"■",""))</f>
        <v/>
      </c>
      <c r="E53" s="24" t="str">
        <f aca="false">IF($A53="","",IF(AND(E$2&gt;=09_ガント元データ!$G52,E$2&lt;=09_ガント元データ!$H52),"■",""))</f>
        <v/>
      </c>
      <c r="F53" s="24" t="str">
        <f aca="false">IF($A53="","",IF(AND(F$2&gt;=09_ガント元データ!$G52,F$2&lt;=09_ガント元データ!$H52),"■",""))</f>
        <v/>
      </c>
      <c r="G53" s="24" t="str">
        <f aca="false">IF($A53="","",IF(AND(G$2&gt;=09_ガント元データ!$G52,G$2&lt;=09_ガント元データ!$H52),"■",""))</f>
        <v/>
      </c>
      <c r="H53" s="24" t="str">
        <f aca="false">IF($A53="","",IF(AND(H$2&gt;=09_ガント元データ!$G52,H$2&lt;=09_ガント元データ!$H52),"■",""))</f>
        <v/>
      </c>
      <c r="I53" s="24" t="str">
        <f aca="false">IF($A53="","",IF(AND(I$2&gt;=09_ガント元データ!$G52,I$2&lt;=09_ガント元データ!$H52),"■",""))</f>
        <v/>
      </c>
      <c r="J53" s="24" t="str">
        <f aca="false">IF($A53="","",IF(AND(J$2&gt;=09_ガント元データ!$G52,J$2&lt;=09_ガント元データ!$H52),"■",""))</f>
        <v/>
      </c>
      <c r="K53" s="24" t="str">
        <f aca="false">IF($A53="","",IF(AND(K$2&gt;=09_ガント元データ!$G52,K$2&lt;=09_ガント元データ!$H52),"■",""))</f>
        <v/>
      </c>
      <c r="L53" s="24" t="str">
        <f aca="false">IF($A53="","",IF(AND(L$2&gt;=09_ガント元データ!$G52,L$2&lt;=09_ガント元データ!$H52),"■",""))</f>
        <v/>
      </c>
      <c r="M53" s="24" t="str">
        <f aca="false">IF($A53="","",IF(AND(M$2&gt;=09_ガント元データ!$G52,M$2&lt;=09_ガント元データ!$H52),"■",""))</f>
        <v/>
      </c>
      <c r="N53" s="24" t="str">
        <f aca="false">IF($A53="","",IF(AND(N$2&gt;=09_ガント元データ!$G52,N$2&lt;=09_ガント元データ!$H52),"■",""))</f>
        <v/>
      </c>
      <c r="O53" s="24" t="str">
        <f aca="false">IF($A53="","",IF(AND(O$2&gt;=09_ガント元データ!$G52,O$2&lt;=09_ガント元データ!$H52),"■",""))</f>
        <v/>
      </c>
      <c r="P53" s="24" t="str">
        <f aca="false">IF($A53="","",IF(AND(P$2&gt;=09_ガント元データ!$G52,P$2&lt;=09_ガント元データ!$H52),"■",""))</f>
        <v/>
      </c>
      <c r="Q53" s="24" t="str">
        <f aca="false">IF($A53="","",IF(AND(Q$2&gt;=09_ガント元データ!$G52,Q$2&lt;=09_ガント元データ!$H52),"■",""))</f>
        <v/>
      </c>
      <c r="R53" s="24" t="str">
        <f aca="false">IF($A53="","",IF(AND(R$2&gt;=09_ガント元データ!$G52,R$2&lt;=09_ガント元データ!$H52),"■",""))</f>
        <v/>
      </c>
      <c r="S53" s="24" t="str">
        <f aca="false">IF($A53="","",IF(AND(S$2&gt;=09_ガント元データ!$G52,S$2&lt;=09_ガント元データ!$H52),"■",""))</f>
        <v/>
      </c>
      <c r="T53" s="24" t="str">
        <f aca="false">IF($A53="","",IF(AND(T$2&gt;=09_ガント元データ!$G52,T$2&lt;=09_ガント元データ!$H52),"■",""))</f>
        <v/>
      </c>
      <c r="U53" s="24" t="str">
        <f aca="false">IF($A53="","",IF(AND(U$2&gt;=09_ガント元データ!$G52,U$2&lt;=09_ガント元データ!$H52),"■",""))</f>
        <v/>
      </c>
      <c r="V53" s="24" t="str">
        <f aca="false">IF($A53="","",IF(AND(V$2&gt;=09_ガント元データ!$G52,V$2&lt;=09_ガント元データ!$H52),"■",""))</f>
        <v/>
      </c>
      <c r="W53" s="24" t="str">
        <f aca="false">IF($A53="","",IF(AND(W$2&gt;=09_ガント元データ!$G52,W$2&lt;=09_ガント元データ!$H52),"■",""))</f>
        <v/>
      </c>
      <c r="X53" s="24" t="str">
        <f aca="false">IF($A53="","",IF(AND(X$2&gt;=09_ガント元データ!$G52,X$2&lt;=09_ガント元データ!$H52),"■",""))</f>
        <v/>
      </c>
      <c r="Y53" s="24" t="str">
        <f aca="false">IF($A53="","",IF(AND(Y$2&gt;=09_ガント元データ!$G52,Y$2&lt;=09_ガント元データ!$H52),"■",""))</f>
        <v/>
      </c>
      <c r="Z53" s="24" t="str">
        <f aca="false">IF($A53="","",IF(AND(Z$2&gt;=09_ガント元データ!$G52,Z$2&lt;=09_ガント元データ!$H52),"■",""))</f>
        <v/>
      </c>
      <c r="AA53" s="24" t="str">
        <f aca="false">IF($A53="","",IF(AND(AA$2&gt;=09_ガント元データ!$G52,AA$2&lt;=09_ガント元データ!$H52),"■",""))</f>
        <v/>
      </c>
      <c r="AB53" s="24" t="str">
        <f aca="false">IF($A53="","",IF(AND(AB$2&gt;=09_ガント元データ!$G52,AB$2&lt;=09_ガント元データ!$H52),"■",""))</f>
        <v/>
      </c>
      <c r="AC53" s="24" t="str">
        <f aca="false">IF($A53="","",IF(AND(AC$2&gt;=09_ガント元データ!$G52,AC$2&lt;=09_ガント元データ!$H52),"■",""))</f>
        <v/>
      </c>
      <c r="AD53" s="24" t="str">
        <f aca="false">IF($A53="","",IF(AND(AD$2&gt;=09_ガント元データ!$G52,AD$2&lt;=09_ガント元データ!$H52),"■",""))</f>
        <v/>
      </c>
      <c r="AE53" s="24" t="str">
        <f aca="false">IF($A53="","",IF(AND(AE$2&gt;=09_ガント元データ!$G52,AE$2&lt;=09_ガント元データ!$H52),"■",""))</f>
        <v/>
      </c>
      <c r="AF53" s="24" t="str">
        <f aca="false">IF($A53="","",IF(AND(AF$2&gt;=09_ガント元データ!$G52,AF$2&lt;=09_ガント元データ!$H52),"■",""))</f>
        <v/>
      </c>
      <c r="AG53" s="24" t="str">
        <f aca="false">IF($A53="","",IF(AND(AG$2&gt;=09_ガント元データ!$G52,AG$2&lt;=09_ガント元データ!$H52),"■",""))</f>
        <v/>
      </c>
      <c r="AH53" s="24" t="str">
        <f aca="false">IF($A53="","",IF(AND(AH$2&gt;=09_ガント元データ!$G52,AH$2&lt;=09_ガント元データ!$H52),"■",""))</f>
        <v/>
      </c>
      <c r="AI53" s="24" t="str">
        <f aca="false">IF($A53="","",IF(AND(AI$2&gt;=09_ガント元データ!$G52,AI$2&lt;=09_ガント元データ!$H52),"■",""))</f>
        <v/>
      </c>
      <c r="AJ53" s="24" t="str">
        <f aca="false">IF($A53="","",IF(AND(AJ$2&gt;=09_ガント元データ!$G52,AJ$2&lt;=09_ガント元データ!$H52),"■",""))</f>
        <v/>
      </c>
      <c r="AK53" s="24" t="str">
        <f aca="false">IF($A53="","",IF(AND(AK$2&gt;=09_ガント元データ!$G52,AK$2&lt;=09_ガント元データ!$H52),"■",""))</f>
        <v/>
      </c>
      <c r="AL53" s="24" t="str">
        <f aca="false">IF($A53="","",IF(AND(AL$2&gt;=09_ガント元データ!$G52,AL$2&lt;=09_ガント元データ!$H52),"■",""))</f>
        <v/>
      </c>
      <c r="AM53" s="24" t="str">
        <f aca="false">IF($A53="","",IF(AND(AM$2&gt;=09_ガント元データ!$G52,AM$2&lt;=09_ガント元データ!$H52),"■",""))</f>
        <v/>
      </c>
    </row>
    <row r="54" customFormat="false" ht="15" hidden="false" customHeight="false" outlineLevel="0" collapsed="false">
      <c r="A54" s="22" t="str">
        <f aca="false">09_ガント元データ!A53</f>
        <v/>
      </c>
      <c r="B54" s="22" t="str">
        <f aca="false">09_ガント元データ!B53</f>
        <v/>
      </c>
      <c r="C54" s="23" t="str">
        <f aca="false">09_ガント元データ!C53</f>
        <v/>
      </c>
      <c r="D54" s="24" t="str">
        <f aca="false">IF($A54="","",IF(AND(D$2&gt;=09_ガント元データ!$G53,D$2&lt;=09_ガント元データ!$H53),"■",""))</f>
        <v/>
      </c>
      <c r="E54" s="24" t="str">
        <f aca="false">IF($A54="","",IF(AND(E$2&gt;=09_ガント元データ!$G53,E$2&lt;=09_ガント元データ!$H53),"■",""))</f>
        <v/>
      </c>
      <c r="F54" s="24" t="str">
        <f aca="false">IF($A54="","",IF(AND(F$2&gt;=09_ガント元データ!$G53,F$2&lt;=09_ガント元データ!$H53),"■",""))</f>
        <v/>
      </c>
      <c r="G54" s="24" t="str">
        <f aca="false">IF($A54="","",IF(AND(G$2&gt;=09_ガント元データ!$G53,G$2&lt;=09_ガント元データ!$H53),"■",""))</f>
        <v/>
      </c>
      <c r="H54" s="24" t="str">
        <f aca="false">IF($A54="","",IF(AND(H$2&gt;=09_ガント元データ!$G53,H$2&lt;=09_ガント元データ!$H53),"■",""))</f>
        <v/>
      </c>
      <c r="I54" s="24" t="str">
        <f aca="false">IF($A54="","",IF(AND(I$2&gt;=09_ガント元データ!$G53,I$2&lt;=09_ガント元データ!$H53),"■",""))</f>
        <v/>
      </c>
      <c r="J54" s="24" t="str">
        <f aca="false">IF($A54="","",IF(AND(J$2&gt;=09_ガント元データ!$G53,J$2&lt;=09_ガント元データ!$H53),"■",""))</f>
        <v/>
      </c>
      <c r="K54" s="24" t="str">
        <f aca="false">IF($A54="","",IF(AND(K$2&gt;=09_ガント元データ!$G53,K$2&lt;=09_ガント元データ!$H53),"■",""))</f>
        <v/>
      </c>
      <c r="L54" s="24" t="str">
        <f aca="false">IF($A54="","",IF(AND(L$2&gt;=09_ガント元データ!$G53,L$2&lt;=09_ガント元データ!$H53),"■",""))</f>
        <v/>
      </c>
      <c r="M54" s="24" t="str">
        <f aca="false">IF($A54="","",IF(AND(M$2&gt;=09_ガント元データ!$G53,M$2&lt;=09_ガント元データ!$H53),"■",""))</f>
        <v/>
      </c>
      <c r="N54" s="24" t="str">
        <f aca="false">IF($A54="","",IF(AND(N$2&gt;=09_ガント元データ!$G53,N$2&lt;=09_ガント元データ!$H53),"■",""))</f>
        <v/>
      </c>
      <c r="O54" s="24" t="str">
        <f aca="false">IF($A54="","",IF(AND(O$2&gt;=09_ガント元データ!$G53,O$2&lt;=09_ガント元データ!$H53),"■",""))</f>
        <v/>
      </c>
      <c r="P54" s="24" t="str">
        <f aca="false">IF($A54="","",IF(AND(P$2&gt;=09_ガント元データ!$G53,P$2&lt;=09_ガント元データ!$H53),"■",""))</f>
        <v/>
      </c>
      <c r="Q54" s="24" t="str">
        <f aca="false">IF($A54="","",IF(AND(Q$2&gt;=09_ガント元データ!$G53,Q$2&lt;=09_ガント元データ!$H53),"■",""))</f>
        <v/>
      </c>
      <c r="R54" s="24" t="str">
        <f aca="false">IF($A54="","",IF(AND(R$2&gt;=09_ガント元データ!$G53,R$2&lt;=09_ガント元データ!$H53),"■",""))</f>
        <v/>
      </c>
      <c r="S54" s="24" t="str">
        <f aca="false">IF($A54="","",IF(AND(S$2&gt;=09_ガント元データ!$G53,S$2&lt;=09_ガント元データ!$H53),"■",""))</f>
        <v/>
      </c>
      <c r="T54" s="24" t="str">
        <f aca="false">IF($A54="","",IF(AND(T$2&gt;=09_ガント元データ!$G53,T$2&lt;=09_ガント元データ!$H53),"■",""))</f>
        <v/>
      </c>
      <c r="U54" s="24" t="str">
        <f aca="false">IF($A54="","",IF(AND(U$2&gt;=09_ガント元データ!$G53,U$2&lt;=09_ガント元データ!$H53),"■",""))</f>
        <v/>
      </c>
      <c r="V54" s="24" t="str">
        <f aca="false">IF($A54="","",IF(AND(V$2&gt;=09_ガント元データ!$G53,V$2&lt;=09_ガント元データ!$H53),"■",""))</f>
        <v/>
      </c>
      <c r="W54" s="24" t="str">
        <f aca="false">IF($A54="","",IF(AND(W$2&gt;=09_ガント元データ!$G53,W$2&lt;=09_ガント元データ!$H53),"■",""))</f>
        <v/>
      </c>
      <c r="X54" s="24" t="str">
        <f aca="false">IF($A54="","",IF(AND(X$2&gt;=09_ガント元データ!$G53,X$2&lt;=09_ガント元データ!$H53),"■",""))</f>
        <v/>
      </c>
      <c r="Y54" s="24" t="str">
        <f aca="false">IF($A54="","",IF(AND(Y$2&gt;=09_ガント元データ!$G53,Y$2&lt;=09_ガント元データ!$H53),"■",""))</f>
        <v/>
      </c>
      <c r="Z54" s="24" t="str">
        <f aca="false">IF($A54="","",IF(AND(Z$2&gt;=09_ガント元データ!$G53,Z$2&lt;=09_ガント元データ!$H53),"■",""))</f>
        <v/>
      </c>
      <c r="AA54" s="24" t="str">
        <f aca="false">IF($A54="","",IF(AND(AA$2&gt;=09_ガント元データ!$G53,AA$2&lt;=09_ガント元データ!$H53),"■",""))</f>
        <v/>
      </c>
      <c r="AB54" s="24" t="str">
        <f aca="false">IF($A54="","",IF(AND(AB$2&gt;=09_ガント元データ!$G53,AB$2&lt;=09_ガント元データ!$H53),"■",""))</f>
        <v/>
      </c>
      <c r="AC54" s="24" t="str">
        <f aca="false">IF($A54="","",IF(AND(AC$2&gt;=09_ガント元データ!$G53,AC$2&lt;=09_ガント元データ!$H53),"■",""))</f>
        <v/>
      </c>
      <c r="AD54" s="24" t="str">
        <f aca="false">IF($A54="","",IF(AND(AD$2&gt;=09_ガント元データ!$G53,AD$2&lt;=09_ガント元データ!$H53),"■",""))</f>
        <v/>
      </c>
      <c r="AE54" s="24" t="str">
        <f aca="false">IF($A54="","",IF(AND(AE$2&gt;=09_ガント元データ!$G53,AE$2&lt;=09_ガント元データ!$H53),"■",""))</f>
        <v/>
      </c>
      <c r="AF54" s="24" t="str">
        <f aca="false">IF($A54="","",IF(AND(AF$2&gt;=09_ガント元データ!$G53,AF$2&lt;=09_ガント元データ!$H53),"■",""))</f>
        <v/>
      </c>
      <c r="AG54" s="24" t="str">
        <f aca="false">IF($A54="","",IF(AND(AG$2&gt;=09_ガント元データ!$G53,AG$2&lt;=09_ガント元データ!$H53),"■",""))</f>
        <v/>
      </c>
      <c r="AH54" s="24" t="str">
        <f aca="false">IF($A54="","",IF(AND(AH$2&gt;=09_ガント元データ!$G53,AH$2&lt;=09_ガント元データ!$H53),"■",""))</f>
        <v/>
      </c>
      <c r="AI54" s="24" t="str">
        <f aca="false">IF($A54="","",IF(AND(AI$2&gt;=09_ガント元データ!$G53,AI$2&lt;=09_ガント元データ!$H53),"■",""))</f>
        <v/>
      </c>
      <c r="AJ54" s="24" t="str">
        <f aca="false">IF($A54="","",IF(AND(AJ$2&gt;=09_ガント元データ!$G53,AJ$2&lt;=09_ガント元データ!$H53),"■",""))</f>
        <v/>
      </c>
      <c r="AK54" s="24" t="str">
        <f aca="false">IF($A54="","",IF(AND(AK$2&gt;=09_ガント元データ!$G53,AK$2&lt;=09_ガント元データ!$H53),"■",""))</f>
        <v/>
      </c>
      <c r="AL54" s="24" t="str">
        <f aca="false">IF($A54="","",IF(AND(AL$2&gt;=09_ガント元データ!$G53,AL$2&lt;=09_ガント元データ!$H53),"■",""))</f>
        <v/>
      </c>
      <c r="AM54" s="24" t="str">
        <f aca="false">IF($A54="","",IF(AND(AM$2&gt;=09_ガント元データ!$G53,AM$2&lt;=09_ガント元データ!$H53),"■",""))</f>
        <v/>
      </c>
    </row>
    <row r="55" customFormat="false" ht="15" hidden="false" customHeight="false" outlineLevel="0" collapsed="false">
      <c r="A55" s="22" t="str">
        <f aca="false">09_ガント元データ!A54</f>
        <v/>
      </c>
      <c r="B55" s="22" t="str">
        <f aca="false">09_ガント元データ!B54</f>
        <v/>
      </c>
      <c r="C55" s="23" t="str">
        <f aca="false">09_ガント元データ!C54</f>
        <v/>
      </c>
      <c r="D55" s="24" t="str">
        <f aca="false">IF($A55="","",IF(AND(D$2&gt;=09_ガント元データ!$G54,D$2&lt;=09_ガント元データ!$H54),"■",""))</f>
        <v/>
      </c>
      <c r="E55" s="24" t="str">
        <f aca="false">IF($A55="","",IF(AND(E$2&gt;=09_ガント元データ!$G54,E$2&lt;=09_ガント元データ!$H54),"■",""))</f>
        <v/>
      </c>
      <c r="F55" s="24" t="str">
        <f aca="false">IF($A55="","",IF(AND(F$2&gt;=09_ガント元データ!$G54,F$2&lt;=09_ガント元データ!$H54),"■",""))</f>
        <v/>
      </c>
      <c r="G55" s="24" t="str">
        <f aca="false">IF($A55="","",IF(AND(G$2&gt;=09_ガント元データ!$G54,G$2&lt;=09_ガント元データ!$H54),"■",""))</f>
        <v/>
      </c>
      <c r="H55" s="24" t="str">
        <f aca="false">IF($A55="","",IF(AND(H$2&gt;=09_ガント元データ!$G54,H$2&lt;=09_ガント元データ!$H54),"■",""))</f>
        <v/>
      </c>
      <c r="I55" s="24" t="str">
        <f aca="false">IF($A55="","",IF(AND(I$2&gt;=09_ガント元データ!$G54,I$2&lt;=09_ガント元データ!$H54),"■",""))</f>
        <v/>
      </c>
      <c r="J55" s="24" t="str">
        <f aca="false">IF($A55="","",IF(AND(J$2&gt;=09_ガント元データ!$G54,J$2&lt;=09_ガント元データ!$H54),"■",""))</f>
        <v/>
      </c>
      <c r="K55" s="24" t="str">
        <f aca="false">IF($A55="","",IF(AND(K$2&gt;=09_ガント元データ!$G54,K$2&lt;=09_ガント元データ!$H54),"■",""))</f>
        <v/>
      </c>
      <c r="L55" s="24" t="str">
        <f aca="false">IF($A55="","",IF(AND(L$2&gt;=09_ガント元データ!$G54,L$2&lt;=09_ガント元データ!$H54),"■",""))</f>
        <v/>
      </c>
      <c r="M55" s="24" t="str">
        <f aca="false">IF($A55="","",IF(AND(M$2&gt;=09_ガント元データ!$G54,M$2&lt;=09_ガント元データ!$H54),"■",""))</f>
        <v/>
      </c>
      <c r="N55" s="24" t="str">
        <f aca="false">IF($A55="","",IF(AND(N$2&gt;=09_ガント元データ!$G54,N$2&lt;=09_ガント元データ!$H54),"■",""))</f>
        <v/>
      </c>
      <c r="O55" s="24" t="str">
        <f aca="false">IF($A55="","",IF(AND(O$2&gt;=09_ガント元データ!$G54,O$2&lt;=09_ガント元データ!$H54),"■",""))</f>
        <v/>
      </c>
      <c r="P55" s="24" t="str">
        <f aca="false">IF($A55="","",IF(AND(P$2&gt;=09_ガント元データ!$G54,P$2&lt;=09_ガント元データ!$H54),"■",""))</f>
        <v/>
      </c>
      <c r="Q55" s="24" t="str">
        <f aca="false">IF($A55="","",IF(AND(Q$2&gt;=09_ガント元データ!$G54,Q$2&lt;=09_ガント元データ!$H54),"■",""))</f>
        <v/>
      </c>
      <c r="R55" s="24" t="str">
        <f aca="false">IF($A55="","",IF(AND(R$2&gt;=09_ガント元データ!$G54,R$2&lt;=09_ガント元データ!$H54),"■",""))</f>
        <v/>
      </c>
      <c r="S55" s="24" t="str">
        <f aca="false">IF($A55="","",IF(AND(S$2&gt;=09_ガント元データ!$G54,S$2&lt;=09_ガント元データ!$H54),"■",""))</f>
        <v/>
      </c>
      <c r="T55" s="24" t="str">
        <f aca="false">IF($A55="","",IF(AND(T$2&gt;=09_ガント元データ!$G54,T$2&lt;=09_ガント元データ!$H54),"■",""))</f>
        <v/>
      </c>
      <c r="U55" s="24" t="str">
        <f aca="false">IF($A55="","",IF(AND(U$2&gt;=09_ガント元データ!$G54,U$2&lt;=09_ガント元データ!$H54),"■",""))</f>
        <v/>
      </c>
      <c r="V55" s="24" t="str">
        <f aca="false">IF($A55="","",IF(AND(V$2&gt;=09_ガント元データ!$G54,V$2&lt;=09_ガント元データ!$H54),"■",""))</f>
        <v/>
      </c>
      <c r="W55" s="24" t="str">
        <f aca="false">IF($A55="","",IF(AND(W$2&gt;=09_ガント元データ!$G54,W$2&lt;=09_ガント元データ!$H54),"■",""))</f>
        <v/>
      </c>
      <c r="X55" s="24" t="str">
        <f aca="false">IF($A55="","",IF(AND(X$2&gt;=09_ガント元データ!$G54,X$2&lt;=09_ガント元データ!$H54),"■",""))</f>
        <v/>
      </c>
      <c r="Y55" s="24" t="str">
        <f aca="false">IF($A55="","",IF(AND(Y$2&gt;=09_ガント元データ!$G54,Y$2&lt;=09_ガント元データ!$H54),"■",""))</f>
        <v/>
      </c>
      <c r="Z55" s="24" t="str">
        <f aca="false">IF($A55="","",IF(AND(Z$2&gt;=09_ガント元データ!$G54,Z$2&lt;=09_ガント元データ!$H54),"■",""))</f>
        <v/>
      </c>
      <c r="AA55" s="24" t="str">
        <f aca="false">IF($A55="","",IF(AND(AA$2&gt;=09_ガント元データ!$G54,AA$2&lt;=09_ガント元データ!$H54),"■",""))</f>
        <v/>
      </c>
      <c r="AB55" s="24" t="str">
        <f aca="false">IF($A55="","",IF(AND(AB$2&gt;=09_ガント元データ!$G54,AB$2&lt;=09_ガント元データ!$H54),"■",""))</f>
        <v/>
      </c>
      <c r="AC55" s="24" t="str">
        <f aca="false">IF($A55="","",IF(AND(AC$2&gt;=09_ガント元データ!$G54,AC$2&lt;=09_ガント元データ!$H54),"■",""))</f>
        <v/>
      </c>
      <c r="AD55" s="24" t="str">
        <f aca="false">IF($A55="","",IF(AND(AD$2&gt;=09_ガント元データ!$G54,AD$2&lt;=09_ガント元データ!$H54),"■",""))</f>
        <v/>
      </c>
      <c r="AE55" s="24" t="str">
        <f aca="false">IF($A55="","",IF(AND(AE$2&gt;=09_ガント元データ!$G54,AE$2&lt;=09_ガント元データ!$H54),"■",""))</f>
        <v/>
      </c>
      <c r="AF55" s="24" t="str">
        <f aca="false">IF($A55="","",IF(AND(AF$2&gt;=09_ガント元データ!$G54,AF$2&lt;=09_ガント元データ!$H54),"■",""))</f>
        <v/>
      </c>
      <c r="AG55" s="24" t="str">
        <f aca="false">IF($A55="","",IF(AND(AG$2&gt;=09_ガント元データ!$G54,AG$2&lt;=09_ガント元データ!$H54),"■",""))</f>
        <v/>
      </c>
      <c r="AH55" s="24" t="str">
        <f aca="false">IF($A55="","",IF(AND(AH$2&gt;=09_ガント元データ!$G54,AH$2&lt;=09_ガント元データ!$H54),"■",""))</f>
        <v/>
      </c>
      <c r="AI55" s="24" t="str">
        <f aca="false">IF($A55="","",IF(AND(AI$2&gt;=09_ガント元データ!$G54,AI$2&lt;=09_ガント元データ!$H54),"■",""))</f>
        <v/>
      </c>
      <c r="AJ55" s="24" t="str">
        <f aca="false">IF($A55="","",IF(AND(AJ$2&gt;=09_ガント元データ!$G54,AJ$2&lt;=09_ガント元データ!$H54),"■",""))</f>
        <v/>
      </c>
      <c r="AK55" s="24" t="str">
        <f aca="false">IF($A55="","",IF(AND(AK$2&gt;=09_ガント元データ!$G54,AK$2&lt;=09_ガント元データ!$H54),"■",""))</f>
        <v/>
      </c>
      <c r="AL55" s="24" t="str">
        <f aca="false">IF($A55="","",IF(AND(AL$2&gt;=09_ガント元データ!$G54,AL$2&lt;=09_ガント元データ!$H54),"■",""))</f>
        <v/>
      </c>
      <c r="AM55" s="24" t="str">
        <f aca="false">IF($A55="","",IF(AND(AM$2&gt;=09_ガント元データ!$G54,AM$2&lt;=09_ガント元データ!$H54),"■",""))</f>
        <v/>
      </c>
    </row>
    <row r="56" customFormat="false" ht="15" hidden="false" customHeight="false" outlineLevel="0" collapsed="false">
      <c r="A56" s="22" t="str">
        <f aca="false">09_ガント元データ!A55</f>
        <v/>
      </c>
      <c r="B56" s="22" t="str">
        <f aca="false">09_ガント元データ!B55</f>
        <v/>
      </c>
      <c r="C56" s="23" t="str">
        <f aca="false">09_ガント元データ!C55</f>
        <v/>
      </c>
      <c r="D56" s="24" t="str">
        <f aca="false">IF($A56="","",IF(AND(D$2&gt;=09_ガント元データ!$G55,D$2&lt;=09_ガント元データ!$H55),"■",""))</f>
        <v/>
      </c>
      <c r="E56" s="24" t="str">
        <f aca="false">IF($A56="","",IF(AND(E$2&gt;=09_ガント元データ!$G55,E$2&lt;=09_ガント元データ!$H55),"■",""))</f>
        <v/>
      </c>
      <c r="F56" s="24" t="str">
        <f aca="false">IF($A56="","",IF(AND(F$2&gt;=09_ガント元データ!$G55,F$2&lt;=09_ガント元データ!$H55),"■",""))</f>
        <v/>
      </c>
      <c r="G56" s="24" t="str">
        <f aca="false">IF($A56="","",IF(AND(G$2&gt;=09_ガント元データ!$G55,G$2&lt;=09_ガント元データ!$H55),"■",""))</f>
        <v/>
      </c>
      <c r="H56" s="24" t="str">
        <f aca="false">IF($A56="","",IF(AND(H$2&gt;=09_ガント元データ!$G55,H$2&lt;=09_ガント元データ!$H55),"■",""))</f>
        <v/>
      </c>
      <c r="I56" s="24" t="str">
        <f aca="false">IF($A56="","",IF(AND(I$2&gt;=09_ガント元データ!$G55,I$2&lt;=09_ガント元データ!$H55),"■",""))</f>
        <v/>
      </c>
      <c r="J56" s="24" t="str">
        <f aca="false">IF($A56="","",IF(AND(J$2&gt;=09_ガント元データ!$G55,J$2&lt;=09_ガント元データ!$H55),"■",""))</f>
        <v/>
      </c>
      <c r="K56" s="24" t="str">
        <f aca="false">IF($A56="","",IF(AND(K$2&gt;=09_ガント元データ!$G55,K$2&lt;=09_ガント元データ!$H55),"■",""))</f>
        <v/>
      </c>
      <c r="L56" s="24" t="str">
        <f aca="false">IF($A56="","",IF(AND(L$2&gt;=09_ガント元データ!$G55,L$2&lt;=09_ガント元データ!$H55),"■",""))</f>
        <v/>
      </c>
      <c r="M56" s="24" t="str">
        <f aca="false">IF($A56="","",IF(AND(M$2&gt;=09_ガント元データ!$G55,M$2&lt;=09_ガント元データ!$H55),"■",""))</f>
        <v/>
      </c>
      <c r="N56" s="24" t="str">
        <f aca="false">IF($A56="","",IF(AND(N$2&gt;=09_ガント元データ!$G55,N$2&lt;=09_ガント元データ!$H55),"■",""))</f>
        <v/>
      </c>
      <c r="O56" s="24" t="str">
        <f aca="false">IF($A56="","",IF(AND(O$2&gt;=09_ガント元データ!$G55,O$2&lt;=09_ガント元データ!$H55),"■",""))</f>
        <v/>
      </c>
      <c r="P56" s="24" t="str">
        <f aca="false">IF($A56="","",IF(AND(P$2&gt;=09_ガント元データ!$G55,P$2&lt;=09_ガント元データ!$H55),"■",""))</f>
        <v/>
      </c>
      <c r="Q56" s="24" t="str">
        <f aca="false">IF($A56="","",IF(AND(Q$2&gt;=09_ガント元データ!$G55,Q$2&lt;=09_ガント元データ!$H55),"■",""))</f>
        <v/>
      </c>
      <c r="R56" s="24" t="str">
        <f aca="false">IF($A56="","",IF(AND(R$2&gt;=09_ガント元データ!$G55,R$2&lt;=09_ガント元データ!$H55),"■",""))</f>
        <v/>
      </c>
      <c r="S56" s="24" t="str">
        <f aca="false">IF($A56="","",IF(AND(S$2&gt;=09_ガント元データ!$G55,S$2&lt;=09_ガント元データ!$H55),"■",""))</f>
        <v/>
      </c>
      <c r="T56" s="24" t="str">
        <f aca="false">IF($A56="","",IF(AND(T$2&gt;=09_ガント元データ!$G55,T$2&lt;=09_ガント元データ!$H55),"■",""))</f>
        <v/>
      </c>
      <c r="U56" s="24" t="str">
        <f aca="false">IF($A56="","",IF(AND(U$2&gt;=09_ガント元データ!$G55,U$2&lt;=09_ガント元データ!$H55),"■",""))</f>
        <v/>
      </c>
      <c r="V56" s="24" t="str">
        <f aca="false">IF($A56="","",IF(AND(V$2&gt;=09_ガント元データ!$G55,V$2&lt;=09_ガント元データ!$H55),"■",""))</f>
        <v/>
      </c>
      <c r="W56" s="24" t="str">
        <f aca="false">IF($A56="","",IF(AND(W$2&gt;=09_ガント元データ!$G55,W$2&lt;=09_ガント元データ!$H55),"■",""))</f>
        <v/>
      </c>
      <c r="X56" s="24" t="str">
        <f aca="false">IF($A56="","",IF(AND(X$2&gt;=09_ガント元データ!$G55,X$2&lt;=09_ガント元データ!$H55),"■",""))</f>
        <v/>
      </c>
      <c r="Y56" s="24" t="str">
        <f aca="false">IF($A56="","",IF(AND(Y$2&gt;=09_ガント元データ!$G55,Y$2&lt;=09_ガント元データ!$H55),"■",""))</f>
        <v/>
      </c>
      <c r="Z56" s="24" t="str">
        <f aca="false">IF($A56="","",IF(AND(Z$2&gt;=09_ガント元データ!$G55,Z$2&lt;=09_ガント元データ!$H55),"■",""))</f>
        <v/>
      </c>
      <c r="AA56" s="24" t="str">
        <f aca="false">IF($A56="","",IF(AND(AA$2&gt;=09_ガント元データ!$G55,AA$2&lt;=09_ガント元データ!$H55),"■",""))</f>
        <v/>
      </c>
      <c r="AB56" s="24" t="str">
        <f aca="false">IF($A56="","",IF(AND(AB$2&gt;=09_ガント元データ!$G55,AB$2&lt;=09_ガント元データ!$H55),"■",""))</f>
        <v/>
      </c>
      <c r="AC56" s="24" t="str">
        <f aca="false">IF($A56="","",IF(AND(AC$2&gt;=09_ガント元データ!$G55,AC$2&lt;=09_ガント元データ!$H55),"■",""))</f>
        <v/>
      </c>
      <c r="AD56" s="24" t="str">
        <f aca="false">IF($A56="","",IF(AND(AD$2&gt;=09_ガント元データ!$G55,AD$2&lt;=09_ガント元データ!$H55),"■",""))</f>
        <v/>
      </c>
      <c r="AE56" s="24" t="str">
        <f aca="false">IF($A56="","",IF(AND(AE$2&gt;=09_ガント元データ!$G55,AE$2&lt;=09_ガント元データ!$H55),"■",""))</f>
        <v/>
      </c>
      <c r="AF56" s="24" t="str">
        <f aca="false">IF($A56="","",IF(AND(AF$2&gt;=09_ガント元データ!$G55,AF$2&lt;=09_ガント元データ!$H55),"■",""))</f>
        <v/>
      </c>
      <c r="AG56" s="24" t="str">
        <f aca="false">IF($A56="","",IF(AND(AG$2&gt;=09_ガント元データ!$G55,AG$2&lt;=09_ガント元データ!$H55),"■",""))</f>
        <v/>
      </c>
      <c r="AH56" s="24" t="str">
        <f aca="false">IF($A56="","",IF(AND(AH$2&gt;=09_ガント元データ!$G55,AH$2&lt;=09_ガント元データ!$H55),"■",""))</f>
        <v/>
      </c>
      <c r="AI56" s="24" t="str">
        <f aca="false">IF($A56="","",IF(AND(AI$2&gt;=09_ガント元データ!$G55,AI$2&lt;=09_ガント元データ!$H55),"■",""))</f>
        <v/>
      </c>
      <c r="AJ56" s="24" t="str">
        <f aca="false">IF($A56="","",IF(AND(AJ$2&gt;=09_ガント元データ!$G55,AJ$2&lt;=09_ガント元データ!$H55),"■",""))</f>
        <v/>
      </c>
      <c r="AK56" s="24" t="str">
        <f aca="false">IF($A56="","",IF(AND(AK$2&gt;=09_ガント元データ!$G55,AK$2&lt;=09_ガント元データ!$H55),"■",""))</f>
        <v/>
      </c>
      <c r="AL56" s="24" t="str">
        <f aca="false">IF($A56="","",IF(AND(AL$2&gt;=09_ガント元データ!$G55,AL$2&lt;=09_ガント元データ!$H55),"■",""))</f>
        <v/>
      </c>
      <c r="AM56" s="24" t="str">
        <f aca="false">IF($A56="","",IF(AND(AM$2&gt;=09_ガント元データ!$G55,AM$2&lt;=09_ガント元データ!$H55),"■",""))</f>
        <v/>
      </c>
    </row>
    <row r="57" customFormat="false" ht="15" hidden="false" customHeight="false" outlineLevel="0" collapsed="false">
      <c r="A57" s="22" t="str">
        <f aca="false">09_ガント元データ!A56</f>
        <v/>
      </c>
      <c r="B57" s="22" t="str">
        <f aca="false">09_ガント元データ!B56</f>
        <v/>
      </c>
      <c r="C57" s="23" t="str">
        <f aca="false">09_ガント元データ!C56</f>
        <v/>
      </c>
      <c r="D57" s="24" t="str">
        <f aca="false">IF($A57="","",IF(AND(D$2&gt;=09_ガント元データ!$G56,D$2&lt;=09_ガント元データ!$H56),"■",""))</f>
        <v/>
      </c>
      <c r="E57" s="24" t="str">
        <f aca="false">IF($A57="","",IF(AND(E$2&gt;=09_ガント元データ!$G56,E$2&lt;=09_ガント元データ!$H56),"■",""))</f>
        <v/>
      </c>
      <c r="F57" s="24" t="str">
        <f aca="false">IF($A57="","",IF(AND(F$2&gt;=09_ガント元データ!$G56,F$2&lt;=09_ガント元データ!$H56),"■",""))</f>
        <v/>
      </c>
      <c r="G57" s="24" t="str">
        <f aca="false">IF($A57="","",IF(AND(G$2&gt;=09_ガント元データ!$G56,G$2&lt;=09_ガント元データ!$H56),"■",""))</f>
        <v/>
      </c>
      <c r="H57" s="24" t="str">
        <f aca="false">IF($A57="","",IF(AND(H$2&gt;=09_ガント元データ!$G56,H$2&lt;=09_ガント元データ!$H56),"■",""))</f>
        <v/>
      </c>
      <c r="I57" s="24" t="str">
        <f aca="false">IF($A57="","",IF(AND(I$2&gt;=09_ガント元データ!$G56,I$2&lt;=09_ガント元データ!$H56),"■",""))</f>
        <v/>
      </c>
      <c r="J57" s="24" t="str">
        <f aca="false">IF($A57="","",IF(AND(J$2&gt;=09_ガント元データ!$G56,J$2&lt;=09_ガント元データ!$H56),"■",""))</f>
        <v/>
      </c>
      <c r="K57" s="24" t="str">
        <f aca="false">IF($A57="","",IF(AND(K$2&gt;=09_ガント元データ!$G56,K$2&lt;=09_ガント元データ!$H56),"■",""))</f>
        <v/>
      </c>
      <c r="L57" s="24" t="str">
        <f aca="false">IF($A57="","",IF(AND(L$2&gt;=09_ガント元データ!$G56,L$2&lt;=09_ガント元データ!$H56),"■",""))</f>
        <v/>
      </c>
      <c r="M57" s="24" t="str">
        <f aca="false">IF($A57="","",IF(AND(M$2&gt;=09_ガント元データ!$G56,M$2&lt;=09_ガント元データ!$H56),"■",""))</f>
        <v/>
      </c>
      <c r="N57" s="24" t="str">
        <f aca="false">IF($A57="","",IF(AND(N$2&gt;=09_ガント元データ!$G56,N$2&lt;=09_ガント元データ!$H56),"■",""))</f>
        <v/>
      </c>
      <c r="O57" s="24" t="str">
        <f aca="false">IF($A57="","",IF(AND(O$2&gt;=09_ガント元データ!$G56,O$2&lt;=09_ガント元データ!$H56),"■",""))</f>
        <v/>
      </c>
      <c r="P57" s="24" t="str">
        <f aca="false">IF($A57="","",IF(AND(P$2&gt;=09_ガント元データ!$G56,P$2&lt;=09_ガント元データ!$H56),"■",""))</f>
        <v/>
      </c>
      <c r="Q57" s="24" t="str">
        <f aca="false">IF($A57="","",IF(AND(Q$2&gt;=09_ガント元データ!$G56,Q$2&lt;=09_ガント元データ!$H56),"■",""))</f>
        <v/>
      </c>
      <c r="R57" s="24" t="str">
        <f aca="false">IF($A57="","",IF(AND(R$2&gt;=09_ガント元データ!$G56,R$2&lt;=09_ガント元データ!$H56),"■",""))</f>
        <v/>
      </c>
      <c r="S57" s="24" t="str">
        <f aca="false">IF($A57="","",IF(AND(S$2&gt;=09_ガント元データ!$G56,S$2&lt;=09_ガント元データ!$H56),"■",""))</f>
        <v/>
      </c>
      <c r="T57" s="24" t="str">
        <f aca="false">IF($A57="","",IF(AND(T$2&gt;=09_ガント元データ!$G56,T$2&lt;=09_ガント元データ!$H56),"■",""))</f>
        <v/>
      </c>
      <c r="U57" s="24" t="str">
        <f aca="false">IF($A57="","",IF(AND(U$2&gt;=09_ガント元データ!$G56,U$2&lt;=09_ガント元データ!$H56),"■",""))</f>
        <v/>
      </c>
      <c r="V57" s="24" t="str">
        <f aca="false">IF($A57="","",IF(AND(V$2&gt;=09_ガント元データ!$G56,V$2&lt;=09_ガント元データ!$H56),"■",""))</f>
        <v/>
      </c>
      <c r="W57" s="24" t="str">
        <f aca="false">IF($A57="","",IF(AND(W$2&gt;=09_ガント元データ!$G56,W$2&lt;=09_ガント元データ!$H56),"■",""))</f>
        <v/>
      </c>
      <c r="X57" s="24" t="str">
        <f aca="false">IF($A57="","",IF(AND(X$2&gt;=09_ガント元データ!$G56,X$2&lt;=09_ガント元データ!$H56),"■",""))</f>
        <v/>
      </c>
      <c r="Y57" s="24" t="str">
        <f aca="false">IF($A57="","",IF(AND(Y$2&gt;=09_ガント元データ!$G56,Y$2&lt;=09_ガント元データ!$H56),"■",""))</f>
        <v/>
      </c>
      <c r="Z57" s="24" t="str">
        <f aca="false">IF($A57="","",IF(AND(Z$2&gt;=09_ガント元データ!$G56,Z$2&lt;=09_ガント元データ!$H56),"■",""))</f>
        <v/>
      </c>
      <c r="AA57" s="24" t="str">
        <f aca="false">IF($A57="","",IF(AND(AA$2&gt;=09_ガント元データ!$G56,AA$2&lt;=09_ガント元データ!$H56),"■",""))</f>
        <v/>
      </c>
      <c r="AB57" s="24" t="str">
        <f aca="false">IF($A57="","",IF(AND(AB$2&gt;=09_ガント元データ!$G56,AB$2&lt;=09_ガント元データ!$H56),"■",""))</f>
        <v/>
      </c>
      <c r="AC57" s="24" t="str">
        <f aca="false">IF($A57="","",IF(AND(AC$2&gt;=09_ガント元データ!$G56,AC$2&lt;=09_ガント元データ!$H56),"■",""))</f>
        <v/>
      </c>
      <c r="AD57" s="24" t="str">
        <f aca="false">IF($A57="","",IF(AND(AD$2&gt;=09_ガント元データ!$G56,AD$2&lt;=09_ガント元データ!$H56),"■",""))</f>
        <v/>
      </c>
      <c r="AE57" s="24" t="str">
        <f aca="false">IF($A57="","",IF(AND(AE$2&gt;=09_ガント元データ!$G56,AE$2&lt;=09_ガント元データ!$H56),"■",""))</f>
        <v/>
      </c>
      <c r="AF57" s="24" t="str">
        <f aca="false">IF($A57="","",IF(AND(AF$2&gt;=09_ガント元データ!$G56,AF$2&lt;=09_ガント元データ!$H56),"■",""))</f>
        <v/>
      </c>
      <c r="AG57" s="24" t="str">
        <f aca="false">IF($A57="","",IF(AND(AG$2&gt;=09_ガント元データ!$G56,AG$2&lt;=09_ガント元データ!$H56),"■",""))</f>
        <v/>
      </c>
      <c r="AH57" s="24" t="str">
        <f aca="false">IF($A57="","",IF(AND(AH$2&gt;=09_ガント元データ!$G56,AH$2&lt;=09_ガント元データ!$H56),"■",""))</f>
        <v/>
      </c>
      <c r="AI57" s="24" t="str">
        <f aca="false">IF($A57="","",IF(AND(AI$2&gt;=09_ガント元データ!$G56,AI$2&lt;=09_ガント元データ!$H56),"■",""))</f>
        <v/>
      </c>
      <c r="AJ57" s="24" t="str">
        <f aca="false">IF($A57="","",IF(AND(AJ$2&gt;=09_ガント元データ!$G56,AJ$2&lt;=09_ガント元データ!$H56),"■",""))</f>
        <v/>
      </c>
      <c r="AK57" s="24" t="str">
        <f aca="false">IF($A57="","",IF(AND(AK$2&gt;=09_ガント元データ!$G56,AK$2&lt;=09_ガント元データ!$H56),"■",""))</f>
        <v/>
      </c>
      <c r="AL57" s="24" t="str">
        <f aca="false">IF($A57="","",IF(AND(AL$2&gt;=09_ガント元データ!$G56,AL$2&lt;=09_ガント元データ!$H56),"■",""))</f>
        <v/>
      </c>
      <c r="AM57" s="24" t="str">
        <f aca="false">IF($A57="","",IF(AND(AM$2&gt;=09_ガント元データ!$G56,AM$2&lt;=09_ガント元データ!$H56),"■",""))</f>
        <v/>
      </c>
    </row>
    <row r="58" customFormat="false" ht="15" hidden="false" customHeight="false" outlineLevel="0" collapsed="false">
      <c r="A58" s="22" t="str">
        <f aca="false">09_ガント元データ!A57</f>
        <v/>
      </c>
      <c r="B58" s="22" t="str">
        <f aca="false">09_ガント元データ!B57</f>
        <v/>
      </c>
      <c r="C58" s="23" t="str">
        <f aca="false">09_ガント元データ!C57</f>
        <v/>
      </c>
      <c r="D58" s="24" t="str">
        <f aca="false">IF($A58="","",IF(AND(D$2&gt;=09_ガント元データ!$G57,D$2&lt;=09_ガント元データ!$H57),"■",""))</f>
        <v/>
      </c>
      <c r="E58" s="24" t="str">
        <f aca="false">IF($A58="","",IF(AND(E$2&gt;=09_ガント元データ!$G57,E$2&lt;=09_ガント元データ!$H57),"■",""))</f>
        <v/>
      </c>
      <c r="F58" s="24" t="str">
        <f aca="false">IF($A58="","",IF(AND(F$2&gt;=09_ガント元データ!$G57,F$2&lt;=09_ガント元データ!$H57),"■",""))</f>
        <v/>
      </c>
      <c r="G58" s="24" t="str">
        <f aca="false">IF($A58="","",IF(AND(G$2&gt;=09_ガント元データ!$G57,G$2&lt;=09_ガント元データ!$H57),"■",""))</f>
        <v/>
      </c>
      <c r="H58" s="24" t="str">
        <f aca="false">IF($A58="","",IF(AND(H$2&gt;=09_ガント元データ!$G57,H$2&lt;=09_ガント元データ!$H57),"■",""))</f>
        <v/>
      </c>
      <c r="I58" s="24" t="str">
        <f aca="false">IF($A58="","",IF(AND(I$2&gt;=09_ガント元データ!$G57,I$2&lt;=09_ガント元データ!$H57),"■",""))</f>
        <v/>
      </c>
      <c r="J58" s="24" t="str">
        <f aca="false">IF($A58="","",IF(AND(J$2&gt;=09_ガント元データ!$G57,J$2&lt;=09_ガント元データ!$H57),"■",""))</f>
        <v/>
      </c>
      <c r="K58" s="24" t="str">
        <f aca="false">IF($A58="","",IF(AND(K$2&gt;=09_ガント元データ!$G57,K$2&lt;=09_ガント元データ!$H57),"■",""))</f>
        <v/>
      </c>
      <c r="L58" s="24" t="str">
        <f aca="false">IF($A58="","",IF(AND(L$2&gt;=09_ガント元データ!$G57,L$2&lt;=09_ガント元データ!$H57),"■",""))</f>
        <v/>
      </c>
      <c r="M58" s="24" t="str">
        <f aca="false">IF($A58="","",IF(AND(M$2&gt;=09_ガント元データ!$G57,M$2&lt;=09_ガント元データ!$H57),"■",""))</f>
        <v/>
      </c>
      <c r="N58" s="24" t="str">
        <f aca="false">IF($A58="","",IF(AND(N$2&gt;=09_ガント元データ!$G57,N$2&lt;=09_ガント元データ!$H57),"■",""))</f>
        <v/>
      </c>
      <c r="O58" s="24" t="str">
        <f aca="false">IF($A58="","",IF(AND(O$2&gt;=09_ガント元データ!$G57,O$2&lt;=09_ガント元データ!$H57),"■",""))</f>
        <v/>
      </c>
      <c r="P58" s="24" t="str">
        <f aca="false">IF($A58="","",IF(AND(P$2&gt;=09_ガント元データ!$G57,P$2&lt;=09_ガント元データ!$H57),"■",""))</f>
        <v/>
      </c>
      <c r="Q58" s="24" t="str">
        <f aca="false">IF($A58="","",IF(AND(Q$2&gt;=09_ガント元データ!$G57,Q$2&lt;=09_ガント元データ!$H57),"■",""))</f>
        <v/>
      </c>
      <c r="R58" s="24" t="str">
        <f aca="false">IF($A58="","",IF(AND(R$2&gt;=09_ガント元データ!$G57,R$2&lt;=09_ガント元データ!$H57),"■",""))</f>
        <v/>
      </c>
      <c r="S58" s="24" t="str">
        <f aca="false">IF($A58="","",IF(AND(S$2&gt;=09_ガント元データ!$G57,S$2&lt;=09_ガント元データ!$H57),"■",""))</f>
        <v/>
      </c>
      <c r="T58" s="24" t="str">
        <f aca="false">IF($A58="","",IF(AND(T$2&gt;=09_ガント元データ!$G57,T$2&lt;=09_ガント元データ!$H57),"■",""))</f>
        <v/>
      </c>
      <c r="U58" s="24" t="str">
        <f aca="false">IF($A58="","",IF(AND(U$2&gt;=09_ガント元データ!$G57,U$2&lt;=09_ガント元データ!$H57),"■",""))</f>
        <v/>
      </c>
      <c r="V58" s="24" t="str">
        <f aca="false">IF($A58="","",IF(AND(V$2&gt;=09_ガント元データ!$G57,V$2&lt;=09_ガント元データ!$H57),"■",""))</f>
        <v/>
      </c>
      <c r="W58" s="24" t="str">
        <f aca="false">IF($A58="","",IF(AND(W$2&gt;=09_ガント元データ!$G57,W$2&lt;=09_ガント元データ!$H57),"■",""))</f>
        <v/>
      </c>
      <c r="X58" s="24" t="str">
        <f aca="false">IF($A58="","",IF(AND(X$2&gt;=09_ガント元データ!$G57,X$2&lt;=09_ガント元データ!$H57),"■",""))</f>
        <v/>
      </c>
      <c r="Y58" s="24" t="str">
        <f aca="false">IF($A58="","",IF(AND(Y$2&gt;=09_ガント元データ!$G57,Y$2&lt;=09_ガント元データ!$H57),"■",""))</f>
        <v/>
      </c>
      <c r="Z58" s="24" t="str">
        <f aca="false">IF($A58="","",IF(AND(Z$2&gt;=09_ガント元データ!$G57,Z$2&lt;=09_ガント元データ!$H57),"■",""))</f>
        <v/>
      </c>
      <c r="AA58" s="24" t="str">
        <f aca="false">IF($A58="","",IF(AND(AA$2&gt;=09_ガント元データ!$G57,AA$2&lt;=09_ガント元データ!$H57),"■",""))</f>
        <v/>
      </c>
      <c r="AB58" s="24" t="str">
        <f aca="false">IF($A58="","",IF(AND(AB$2&gt;=09_ガント元データ!$G57,AB$2&lt;=09_ガント元データ!$H57),"■",""))</f>
        <v/>
      </c>
      <c r="AC58" s="24" t="str">
        <f aca="false">IF($A58="","",IF(AND(AC$2&gt;=09_ガント元データ!$G57,AC$2&lt;=09_ガント元データ!$H57),"■",""))</f>
        <v/>
      </c>
      <c r="AD58" s="24" t="str">
        <f aca="false">IF($A58="","",IF(AND(AD$2&gt;=09_ガント元データ!$G57,AD$2&lt;=09_ガント元データ!$H57),"■",""))</f>
        <v/>
      </c>
      <c r="AE58" s="24" t="str">
        <f aca="false">IF($A58="","",IF(AND(AE$2&gt;=09_ガント元データ!$G57,AE$2&lt;=09_ガント元データ!$H57),"■",""))</f>
        <v/>
      </c>
      <c r="AF58" s="24" t="str">
        <f aca="false">IF($A58="","",IF(AND(AF$2&gt;=09_ガント元データ!$G57,AF$2&lt;=09_ガント元データ!$H57),"■",""))</f>
        <v/>
      </c>
      <c r="AG58" s="24" t="str">
        <f aca="false">IF($A58="","",IF(AND(AG$2&gt;=09_ガント元データ!$G57,AG$2&lt;=09_ガント元データ!$H57),"■",""))</f>
        <v/>
      </c>
      <c r="AH58" s="24" t="str">
        <f aca="false">IF($A58="","",IF(AND(AH$2&gt;=09_ガント元データ!$G57,AH$2&lt;=09_ガント元データ!$H57),"■",""))</f>
        <v/>
      </c>
      <c r="AI58" s="24" t="str">
        <f aca="false">IF($A58="","",IF(AND(AI$2&gt;=09_ガント元データ!$G57,AI$2&lt;=09_ガント元データ!$H57),"■",""))</f>
        <v/>
      </c>
      <c r="AJ58" s="24" t="str">
        <f aca="false">IF($A58="","",IF(AND(AJ$2&gt;=09_ガント元データ!$G57,AJ$2&lt;=09_ガント元データ!$H57),"■",""))</f>
        <v/>
      </c>
      <c r="AK58" s="24" t="str">
        <f aca="false">IF($A58="","",IF(AND(AK$2&gt;=09_ガント元データ!$G57,AK$2&lt;=09_ガント元データ!$H57),"■",""))</f>
        <v/>
      </c>
      <c r="AL58" s="24" t="str">
        <f aca="false">IF($A58="","",IF(AND(AL$2&gt;=09_ガント元データ!$G57,AL$2&lt;=09_ガント元データ!$H57),"■",""))</f>
        <v/>
      </c>
      <c r="AM58" s="24" t="str">
        <f aca="false">IF($A58="","",IF(AND(AM$2&gt;=09_ガント元データ!$G57,AM$2&lt;=09_ガント元データ!$H57),"■",""))</f>
        <v/>
      </c>
    </row>
    <row r="59" customFormat="false" ht="15" hidden="false" customHeight="false" outlineLevel="0" collapsed="false">
      <c r="A59" s="22" t="str">
        <f aca="false">09_ガント元データ!A58</f>
        <v/>
      </c>
      <c r="B59" s="22" t="str">
        <f aca="false">09_ガント元データ!B58</f>
        <v/>
      </c>
      <c r="C59" s="23" t="str">
        <f aca="false">09_ガント元データ!C58</f>
        <v/>
      </c>
      <c r="D59" s="24" t="str">
        <f aca="false">IF($A59="","",IF(AND(D$2&gt;=09_ガント元データ!$G58,D$2&lt;=09_ガント元データ!$H58),"■",""))</f>
        <v/>
      </c>
      <c r="E59" s="24" t="str">
        <f aca="false">IF($A59="","",IF(AND(E$2&gt;=09_ガント元データ!$G58,E$2&lt;=09_ガント元データ!$H58),"■",""))</f>
        <v/>
      </c>
      <c r="F59" s="24" t="str">
        <f aca="false">IF($A59="","",IF(AND(F$2&gt;=09_ガント元データ!$G58,F$2&lt;=09_ガント元データ!$H58),"■",""))</f>
        <v/>
      </c>
      <c r="G59" s="24" t="str">
        <f aca="false">IF($A59="","",IF(AND(G$2&gt;=09_ガント元データ!$G58,G$2&lt;=09_ガント元データ!$H58),"■",""))</f>
        <v/>
      </c>
      <c r="H59" s="24" t="str">
        <f aca="false">IF($A59="","",IF(AND(H$2&gt;=09_ガント元データ!$G58,H$2&lt;=09_ガント元データ!$H58),"■",""))</f>
        <v/>
      </c>
      <c r="I59" s="24" t="str">
        <f aca="false">IF($A59="","",IF(AND(I$2&gt;=09_ガント元データ!$G58,I$2&lt;=09_ガント元データ!$H58),"■",""))</f>
        <v/>
      </c>
      <c r="J59" s="24" t="str">
        <f aca="false">IF($A59="","",IF(AND(J$2&gt;=09_ガント元データ!$G58,J$2&lt;=09_ガント元データ!$H58),"■",""))</f>
        <v/>
      </c>
      <c r="K59" s="24" t="str">
        <f aca="false">IF($A59="","",IF(AND(K$2&gt;=09_ガント元データ!$G58,K$2&lt;=09_ガント元データ!$H58),"■",""))</f>
        <v/>
      </c>
      <c r="L59" s="24" t="str">
        <f aca="false">IF($A59="","",IF(AND(L$2&gt;=09_ガント元データ!$G58,L$2&lt;=09_ガント元データ!$H58),"■",""))</f>
        <v/>
      </c>
      <c r="M59" s="24" t="str">
        <f aca="false">IF($A59="","",IF(AND(M$2&gt;=09_ガント元データ!$G58,M$2&lt;=09_ガント元データ!$H58),"■",""))</f>
        <v/>
      </c>
      <c r="N59" s="24" t="str">
        <f aca="false">IF($A59="","",IF(AND(N$2&gt;=09_ガント元データ!$G58,N$2&lt;=09_ガント元データ!$H58),"■",""))</f>
        <v/>
      </c>
      <c r="O59" s="24" t="str">
        <f aca="false">IF($A59="","",IF(AND(O$2&gt;=09_ガント元データ!$G58,O$2&lt;=09_ガント元データ!$H58),"■",""))</f>
        <v/>
      </c>
      <c r="P59" s="24" t="str">
        <f aca="false">IF($A59="","",IF(AND(P$2&gt;=09_ガント元データ!$G58,P$2&lt;=09_ガント元データ!$H58),"■",""))</f>
        <v/>
      </c>
      <c r="Q59" s="24" t="str">
        <f aca="false">IF($A59="","",IF(AND(Q$2&gt;=09_ガント元データ!$G58,Q$2&lt;=09_ガント元データ!$H58),"■",""))</f>
        <v/>
      </c>
      <c r="R59" s="24" t="str">
        <f aca="false">IF($A59="","",IF(AND(R$2&gt;=09_ガント元データ!$G58,R$2&lt;=09_ガント元データ!$H58),"■",""))</f>
        <v/>
      </c>
      <c r="S59" s="24" t="str">
        <f aca="false">IF($A59="","",IF(AND(S$2&gt;=09_ガント元データ!$G58,S$2&lt;=09_ガント元データ!$H58),"■",""))</f>
        <v/>
      </c>
      <c r="T59" s="24" t="str">
        <f aca="false">IF($A59="","",IF(AND(T$2&gt;=09_ガント元データ!$G58,T$2&lt;=09_ガント元データ!$H58),"■",""))</f>
        <v/>
      </c>
      <c r="U59" s="24" t="str">
        <f aca="false">IF($A59="","",IF(AND(U$2&gt;=09_ガント元データ!$G58,U$2&lt;=09_ガント元データ!$H58),"■",""))</f>
        <v/>
      </c>
      <c r="V59" s="24" t="str">
        <f aca="false">IF($A59="","",IF(AND(V$2&gt;=09_ガント元データ!$G58,V$2&lt;=09_ガント元データ!$H58),"■",""))</f>
        <v/>
      </c>
      <c r="W59" s="24" t="str">
        <f aca="false">IF($A59="","",IF(AND(W$2&gt;=09_ガント元データ!$G58,W$2&lt;=09_ガント元データ!$H58),"■",""))</f>
        <v/>
      </c>
      <c r="X59" s="24" t="str">
        <f aca="false">IF($A59="","",IF(AND(X$2&gt;=09_ガント元データ!$G58,X$2&lt;=09_ガント元データ!$H58),"■",""))</f>
        <v/>
      </c>
      <c r="Y59" s="24" t="str">
        <f aca="false">IF($A59="","",IF(AND(Y$2&gt;=09_ガント元データ!$G58,Y$2&lt;=09_ガント元データ!$H58),"■",""))</f>
        <v/>
      </c>
      <c r="Z59" s="24" t="str">
        <f aca="false">IF($A59="","",IF(AND(Z$2&gt;=09_ガント元データ!$G58,Z$2&lt;=09_ガント元データ!$H58),"■",""))</f>
        <v/>
      </c>
      <c r="AA59" s="24" t="str">
        <f aca="false">IF($A59="","",IF(AND(AA$2&gt;=09_ガント元データ!$G58,AA$2&lt;=09_ガント元データ!$H58),"■",""))</f>
        <v/>
      </c>
      <c r="AB59" s="24" t="str">
        <f aca="false">IF($A59="","",IF(AND(AB$2&gt;=09_ガント元データ!$G58,AB$2&lt;=09_ガント元データ!$H58),"■",""))</f>
        <v/>
      </c>
      <c r="AC59" s="24" t="str">
        <f aca="false">IF($A59="","",IF(AND(AC$2&gt;=09_ガント元データ!$G58,AC$2&lt;=09_ガント元データ!$H58),"■",""))</f>
        <v/>
      </c>
      <c r="AD59" s="24" t="str">
        <f aca="false">IF($A59="","",IF(AND(AD$2&gt;=09_ガント元データ!$G58,AD$2&lt;=09_ガント元データ!$H58),"■",""))</f>
        <v/>
      </c>
      <c r="AE59" s="24" t="str">
        <f aca="false">IF($A59="","",IF(AND(AE$2&gt;=09_ガント元データ!$G58,AE$2&lt;=09_ガント元データ!$H58),"■",""))</f>
        <v/>
      </c>
      <c r="AF59" s="24" t="str">
        <f aca="false">IF($A59="","",IF(AND(AF$2&gt;=09_ガント元データ!$G58,AF$2&lt;=09_ガント元データ!$H58),"■",""))</f>
        <v/>
      </c>
      <c r="AG59" s="24" t="str">
        <f aca="false">IF($A59="","",IF(AND(AG$2&gt;=09_ガント元データ!$G58,AG$2&lt;=09_ガント元データ!$H58),"■",""))</f>
        <v/>
      </c>
      <c r="AH59" s="24" t="str">
        <f aca="false">IF($A59="","",IF(AND(AH$2&gt;=09_ガント元データ!$G58,AH$2&lt;=09_ガント元データ!$H58),"■",""))</f>
        <v/>
      </c>
      <c r="AI59" s="24" t="str">
        <f aca="false">IF($A59="","",IF(AND(AI$2&gt;=09_ガント元データ!$G58,AI$2&lt;=09_ガント元データ!$H58),"■",""))</f>
        <v/>
      </c>
      <c r="AJ59" s="24" t="str">
        <f aca="false">IF($A59="","",IF(AND(AJ$2&gt;=09_ガント元データ!$G58,AJ$2&lt;=09_ガント元データ!$H58),"■",""))</f>
        <v/>
      </c>
      <c r="AK59" s="24" t="str">
        <f aca="false">IF($A59="","",IF(AND(AK$2&gt;=09_ガント元データ!$G58,AK$2&lt;=09_ガント元データ!$H58),"■",""))</f>
        <v/>
      </c>
      <c r="AL59" s="24" t="str">
        <f aca="false">IF($A59="","",IF(AND(AL$2&gt;=09_ガント元データ!$G58,AL$2&lt;=09_ガント元データ!$H58),"■",""))</f>
        <v/>
      </c>
      <c r="AM59" s="24" t="str">
        <f aca="false">IF($A59="","",IF(AND(AM$2&gt;=09_ガント元データ!$G58,AM$2&lt;=09_ガント元データ!$H58),"■",""))</f>
        <v/>
      </c>
    </row>
    <row r="60" customFormat="false" ht="15" hidden="false" customHeight="false" outlineLevel="0" collapsed="false">
      <c r="A60" s="22" t="str">
        <f aca="false">09_ガント元データ!A59</f>
        <v/>
      </c>
      <c r="B60" s="22" t="str">
        <f aca="false">09_ガント元データ!B59</f>
        <v/>
      </c>
      <c r="C60" s="23" t="str">
        <f aca="false">09_ガント元データ!C59</f>
        <v/>
      </c>
      <c r="D60" s="24" t="str">
        <f aca="false">IF($A60="","",IF(AND(D$2&gt;=09_ガント元データ!$G59,D$2&lt;=09_ガント元データ!$H59),"■",""))</f>
        <v/>
      </c>
      <c r="E60" s="24" t="str">
        <f aca="false">IF($A60="","",IF(AND(E$2&gt;=09_ガント元データ!$G59,E$2&lt;=09_ガント元データ!$H59),"■",""))</f>
        <v/>
      </c>
      <c r="F60" s="24" t="str">
        <f aca="false">IF($A60="","",IF(AND(F$2&gt;=09_ガント元データ!$G59,F$2&lt;=09_ガント元データ!$H59),"■",""))</f>
        <v/>
      </c>
      <c r="G60" s="24" t="str">
        <f aca="false">IF($A60="","",IF(AND(G$2&gt;=09_ガント元データ!$G59,G$2&lt;=09_ガント元データ!$H59),"■",""))</f>
        <v/>
      </c>
      <c r="H60" s="24" t="str">
        <f aca="false">IF($A60="","",IF(AND(H$2&gt;=09_ガント元データ!$G59,H$2&lt;=09_ガント元データ!$H59),"■",""))</f>
        <v/>
      </c>
      <c r="I60" s="24" t="str">
        <f aca="false">IF($A60="","",IF(AND(I$2&gt;=09_ガント元データ!$G59,I$2&lt;=09_ガント元データ!$H59),"■",""))</f>
        <v/>
      </c>
      <c r="J60" s="24" t="str">
        <f aca="false">IF($A60="","",IF(AND(J$2&gt;=09_ガント元データ!$G59,J$2&lt;=09_ガント元データ!$H59),"■",""))</f>
        <v/>
      </c>
      <c r="K60" s="24" t="str">
        <f aca="false">IF($A60="","",IF(AND(K$2&gt;=09_ガント元データ!$G59,K$2&lt;=09_ガント元データ!$H59),"■",""))</f>
        <v/>
      </c>
      <c r="L60" s="24" t="str">
        <f aca="false">IF($A60="","",IF(AND(L$2&gt;=09_ガント元データ!$G59,L$2&lt;=09_ガント元データ!$H59),"■",""))</f>
        <v/>
      </c>
      <c r="M60" s="24" t="str">
        <f aca="false">IF($A60="","",IF(AND(M$2&gt;=09_ガント元データ!$G59,M$2&lt;=09_ガント元データ!$H59),"■",""))</f>
        <v/>
      </c>
      <c r="N60" s="24" t="str">
        <f aca="false">IF($A60="","",IF(AND(N$2&gt;=09_ガント元データ!$G59,N$2&lt;=09_ガント元データ!$H59),"■",""))</f>
        <v/>
      </c>
      <c r="O60" s="24" t="str">
        <f aca="false">IF($A60="","",IF(AND(O$2&gt;=09_ガント元データ!$G59,O$2&lt;=09_ガント元データ!$H59),"■",""))</f>
        <v/>
      </c>
      <c r="P60" s="24" t="str">
        <f aca="false">IF($A60="","",IF(AND(P$2&gt;=09_ガント元データ!$G59,P$2&lt;=09_ガント元データ!$H59),"■",""))</f>
        <v/>
      </c>
      <c r="Q60" s="24" t="str">
        <f aca="false">IF($A60="","",IF(AND(Q$2&gt;=09_ガント元データ!$G59,Q$2&lt;=09_ガント元データ!$H59),"■",""))</f>
        <v/>
      </c>
      <c r="R60" s="24" t="str">
        <f aca="false">IF($A60="","",IF(AND(R$2&gt;=09_ガント元データ!$G59,R$2&lt;=09_ガント元データ!$H59),"■",""))</f>
        <v/>
      </c>
      <c r="S60" s="24" t="str">
        <f aca="false">IF($A60="","",IF(AND(S$2&gt;=09_ガント元データ!$G59,S$2&lt;=09_ガント元データ!$H59),"■",""))</f>
        <v/>
      </c>
      <c r="T60" s="24" t="str">
        <f aca="false">IF($A60="","",IF(AND(T$2&gt;=09_ガント元データ!$G59,T$2&lt;=09_ガント元データ!$H59),"■",""))</f>
        <v/>
      </c>
      <c r="U60" s="24" t="str">
        <f aca="false">IF($A60="","",IF(AND(U$2&gt;=09_ガント元データ!$G59,U$2&lt;=09_ガント元データ!$H59),"■",""))</f>
        <v/>
      </c>
      <c r="V60" s="24" t="str">
        <f aca="false">IF($A60="","",IF(AND(V$2&gt;=09_ガント元データ!$G59,V$2&lt;=09_ガント元データ!$H59),"■",""))</f>
        <v/>
      </c>
      <c r="W60" s="24" t="str">
        <f aca="false">IF($A60="","",IF(AND(W$2&gt;=09_ガント元データ!$G59,W$2&lt;=09_ガント元データ!$H59),"■",""))</f>
        <v/>
      </c>
      <c r="X60" s="24" t="str">
        <f aca="false">IF($A60="","",IF(AND(X$2&gt;=09_ガント元データ!$G59,X$2&lt;=09_ガント元データ!$H59),"■",""))</f>
        <v/>
      </c>
      <c r="Y60" s="24" t="str">
        <f aca="false">IF($A60="","",IF(AND(Y$2&gt;=09_ガント元データ!$G59,Y$2&lt;=09_ガント元データ!$H59),"■",""))</f>
        <v/>
      </c>
      <c r="Z60" s="24" t="str">
        <f aca="false">IF($A60="","",IF(AND(Z$2&gt;=09_ガント元データ!$G59,Z$2&lt;=09_ガント元データ!$H59),"■",""))</f>
        <v/>
      </c>
      <c r="AA60" s="24" t="str">
        <f aca="false">IF($A60="","",IF(AND(AA$2&gt;=09_ガント元データ!$G59,AA$2&lt;=09_ガント元データ!$H59),"■",""))</f>
        <v/>
      </c>
      <c r="AB60" s="24" t="str">
        <f aca="false">IF($A60="","",IF(AND(AB$2&gt;=09_ガント元データ!$G59,AB$2&lt;=09_ガント元データ!$H59),"■",""))</f>
        <v/>
      </c>
      <c r="AC60" s="24" t="str">
        <f aca="false">IF($A60="","",IF(AND(AC$2&gt;=09_ガント元データ!$G59,AC$2&lt;=09_ガント元データ!$H59),"■",""))</f>
        <v/>
      </c>
      <c r="AD60" s="24" t="str">
        <f aca="false">IF($A60="","",IF(AND(AD$2&gt;=09_ガント元データ!$G59,AD$2&lt;=09_ガント元データ!$H59),"■",""))</f>
        <v/>
      </c>
      <c r="AE60" s="24" t="str">
        <f aca="false">IF($A60="","",IF(AND(AE$2&gt;=09_ガント元データ!$G59,AE$2&lt;=09_ガント元データ!$H59),"■",""))</f>
        <v/>
      </c>
      <c r="AF60" s="24" t="str">
        <f aca="false">IF($A60="","",IF(AND(AF$2&gt;=09_ガント元データ!$G59,AF$2&lt;=09_ガント元データ!$H59),"■",""))</f>
        <v/>
      </c>
      <c r="AG60" s="24" t="str">
        <f aca="false">IF($A60="","",IF(AND(AG$2&gt;=09_ガント元データ!$G59,AG$2&lt;=09_ガント元データ!$H59),"■",""))</f>
        <v/>
      </c>
      <c r="AH60" s="24" t="str">
        <f aca="false">IF($A60="","",IF(AND(AH$2&gt;=09_ガント元データ!$G59,AH$2&lt;=09_ガント元データ!$H59),"■",""))</f>
        <v/>
      </c>
      <c r="AI60" s="24" t="str">
        <f aca="false">IF($A60="","",IF(AND(AI$2&gt;=09_ガント元データ!$G59,AI$2&lt;=09_ガント元データ!$H59),"■",""))</f>
        <v/>
      </c>
      <c r="AJ60" s="24" t="str">
        <f aca="false">IF($A60="","",IF(AND(AJ$2&gt;=09_ガント元データ!$G59,AJ$2&lt;=09_ガント元データ!$H59),"■",""))</f>
        <v/>
      </c>
      <c r="AK60" s="24" t="str">
        <f aca="false">IF($A60="","",IF(AND(AK$2&gt;=09_ガント元データ!$G59,AK$2&lt;=09_ガント元データ!$H59),"■",""))</f>
        <v/>
      </c>
      <c r="AL60" s="24" t="str">
        <f aca="false">IF($A60="","",IF(AND(AL$2&gt;=09_ガント元データ!$G59,AL$2&lt;=09_ガント元データ!$H59),"■",""))</f>
        <v/>
      </c>
      <c r="AM60" s="24" t="str">
        <f aca="false">IF($A60="","",IF(AND(AM$2&gt;=09_ガント元データ!$G59,AM$2&lt;=09_ガント元データ!$H59),"■",""))</f>
        <v/>
      </c>
    </row>
    <row r="61" customFormat="false" ht="15" hidden="false" customHeight="false" outlineLevel="0" collapsed="false">
      <c r="A61" s="22" t="str">
        <f aca="false">09_ガント元データ!A60</f>
        <v/>
      </c>
      <c r="B61" s="22" t="str">
        <f aca="false">09_ガント元データ!B60</f>
        <v/>
      </c>
      <c r="C61" s="23" t="str">
        <f aca="false">09_ガント元データ!C60</f>
        <v/>
      </c>
      <c r="D61" s="24" t="str">
        <f aca="false">IF($A61="","",IF(AND(D$2&gt;=09_ガント元データ!$G60,D$2&lt;=09_ガント元データ!$H60),"■",""))</f>
        <v/>
      </c>
      <c r="E61" s="24" t="str">
        <f aca="false">IF($A61="","",IF(AND(E$2&gt;=09_ガント元データ!$G60,E$2&lt;=09_ガント元データ!$H60),"■",""))</f>
        <v/>
      </c>
      <c r="F61" s="24" t="str">
        <f aca="false">IF($A61="","",IF(AND(F$2&gt;=09_ガント元データ!$G60,F$2&lt;=09_ガント元データ!$H60),"■",""))</f>
        <v/>
      </c>
      <c r="G61" s="24" t="str">
        <f aca="false">IF($A61="","",IF(AND(G$2&gt;=09_ガント元データ!$G60,G$2&lt;=09_ガント元データ!$H60),"■",""))</f>
        <v/>
      </c>
      <c r="H61" s="24" t="str">
        <f aca="false">IF($A61="","",IF(AND(H$2&gt;=09_ガント元データ!$G60,H$2&lt;=09_ガント元データ!$H60),"■",""))</f>
        <v/>
      </c>
      <c r="I61" s="24" t="str">
        <f aca="false">IF($A61="","",IF(AND(I$2&gt;=09_ガント元データ!$G60,I$2&lt;=09_ガント元データ!$H60),"■",""))</f>
        <v/>
      </c>
      <c r="J61" s="24" t="str">
        <f aca="false">IF($A61="","",IF(AND(J$2&gt;=09_ガント元データ!$G60,J$2&lt;=09_ガント元データ!$H60),"■",""))</f>
        <v/>
      </c>
      <c r="K61" s="24" t="str">
        <f aca="false">IF($A61="","",IF(AND(K$2&gt;=09_ガント元データ!$G60,K$2&lt;=09_ガント元データ!$H60),"■",""))</f>
        <v/>
      </c>
      <c r="L61" s="24" t="str">
        <f aca="false">IF($A61="","",IF(AND(L$2&gt;=09_ガント元データ!$G60,L$2&lt;=09_ガント元データ!$H60),"■",""))</f>
        <v/>
      </c>
      <c r="M61" s="24" t="str">
        <f aca="false">IF($A61="","",IF(AND(M$2&gt;=09_ガント元データ!$G60,M$2&lt;=09_ガント元データ!$H60),"■",""))</f>
        <v/>
      </c>
      <c r="N61" s="24" t="str">
        <f aca="false">IF($A61="","",IF(AND(N$2&gt;=09_ガント元データ!$G60,N$2&lt;=09_ガント元データ!$H60),"■",""))</f>
        <v/>
      </c>
      <c r="O61" s="24" t="str">
        <f aca="false">IF($A61="","",IF(AND(O$2&gt;=09_ガント元データ!$G60,O$2&lt;=09_ガント元データ!$H60),"■",""))</f>
        <v/>
      </c>
      <c r="P61" s="24" t="str">
        <f aca="false">IF($A61="","",IF(AND(P$2&gt;=09_ガント元データ!$G60,P$2&lt;=09_ガント元データ!$H60),"■",""))</f>
        <v/>
      </c>
      <c r="Q61" s="24" t="str">
        <f aca="false">IF($A61="","",IF(AND(Q$2&gt;=09_ガント元データ!$G60,Q$2&lt;=09_ガント元データ!$H60),"■",""))</f>
        <v/>
      </c>
      <c r="R61" s="24" t="str">
        <f aca="false">IF($A61="","",IF(AND(R$2&gt;=09_ガント元データ!$G60,R$2&lt;=09_ガント元データ!$H60),"■",""))</f>
        <v/>
      </c>
      <c r="S61" s="24" t="str">
        <f aca="false">IF($A61="","",IF(AND(S$2&gt;=09_ガント元データ!$G60,S$2&lt;=09_ガント元データ!$H60),"■",""))</f>
        <v/>
      </c>
      <c r="T61" s="24" t="str">
        <f aca="false">IF($A61="","",IF(AND(T$2&gt;=09_ガント元データ!$G60,T$2&lt;=09_ガント元データ!$H60),"■",""))</f>
        <v/>
      </c>
      <c r="U61" s="24" t="str">
        <f aca="false">IF($A61="","",IF(AND(U$2&gt;=09_ガント元データ!$G60,U$2&lt;=09_ガント元データ!$H60),"■",""))</f>
        <v/>
      </c>
      <c r="V61" s="24" t="str">
        <f aca="false">IF($A61="","",IF(AND(V$2&gt;=09_ガント元データ!$G60,V$2&lt;=09_ガント元データ!$H60),"■",""))</f>
        <v/>
      </c>
      <c r="W61" s="24" t="str">
        <f aca="false">IF($A61="","",IF(AND(W$2&gt;=09_ガント元データ!$G60,W$2&lt;=09_ガント元データ!$H60),"■",""))</f>
        <v/>
      </c>
      <c r="X61" s="24" t="str">
        <f aca="false">IF($A61="","",IF(AND(X$2&gt;=09_ガント元データ!$G60,X$2&lt;=09_ガント元データ!$H60),"■",""))</f>
        <v/>
      </c>
      <c r="Y61" s="24" t="str">
        <f aca="false">IF($A61="","",IF(AND(Y$2&gt;=09_ガント元データ!$G60,Y$2&lt;=09_ガント元データ!$H60),"■",""))</f>
        <v/>
      </c>
      <c r="Z61" s="24" t="str">
        <f aca="false">IF($A61="","",IF(AND(Z$2&gt;=09_ガント元データ!$G60,Z$2&lt;=09_ガント元データ!$H60),"■",""))</f>
        <v/>
      </c>
      <c r="AA61" s="24" t="str">
        <f aca="false">IF($A61="","",IF(AND(AA$2&gt;=09_ガント元データ!$G60,AA$2&lt;=09_ガント元データ!$H60),"■",""))</f>
        <v/>
      </c>
      <c r="AB61" s="24" t="str">
        <f aca="false">IF($A61="","",IF(AND(AB$2&gt;=09_ガント元データ!$G60,AB$2&lt;=09_ガント元データ!$H60),"■",""))</f>
        <v/>
      </c>
      <c r="AC61" s="24" t="str">
        <f aca="false">IF($A61="","",IF(AND(AC$2&gt;=09_ガント元データ!$G60,AC$2&lt;=09_ガント元データ!$H60),"■",""))</f>
        <v/>
      </c>
      <c r="AD61" s="24" t="str">
        <f aca="false">IF($A61="","",IF(AND(AD$2&gt;=09_ガント元データ!$G60,AD$2&lt;=09_ガント元データ!$H60),"■",""))</f>
        <v/>
      </c>
      <c r="AE61" s="24" t="str">
        <f aca="false">IF($A61="","",IF(AND(AE$2&gt;=09_ガント元データ!$G60,AE$2&lt;=09_ガント元データ!$H60),"■",""))</f>
        <v/>
      </c>
      <c r="AF61" s="24" t="str">
        <f aca="false">IF($A61="","",IF(AND(AF$2&gt;=09_ガント元データ!$G60,AF$2&lt;=09_ガント元データ!$H60),"■",""))</f>
        <v/>
      </c>
      <c r="AG61" s="24" t="str">
        <f aca="false">IF($A61="","",IF(AND(AG$2&gt;=09_ガント元データ!$G60,AG$2&lt;=09_ガント元データ!$H60),"■",""))</f>
        <v/>
      </c>
      <c r="AH61" s="24" t="str">
        <f aca="false">IF($A61="","",IF(AND(AH$2&gt;=09_ガント元データ!$G60,AH$2&lt;=09_ガント元データ!$H60),"■",""))</f>
        <v/>
      </c>
      <c r="AI61" s="24" t="str">
        <f aca="false">IF($A61="","",IF(AND(AI$2&gt;=09_ガント元データ!$G60,AI$2&lt;=09_ガント元データ!$H60),"■",""))</f>
        <v/>
      </c>
      <c r="AJ61" s="24" t="str">
        <f aca="false">IF($A61="","",IF(AND(AJ$2&gt;=09_ガント元データ!$G60,AJ$2&lt;=09_ガント元データ!$H60),"■",""))</f>
        <v/>
      </c>
      <c r="AK61" s="24" t="str">
        <f aca="false">IF($A61="","",IF(AND(AK$2&gt;=09_ガント元データ!$G60,AK$2&lt;=09_ガント元データ!$H60),"■",""))</f>
        <v/>
      </c>
      <c r="AL61" s="24" t="str">
        <f aca="false">IF($A61="","",IF(AND(AL$2&gt;=09_ガント元データ!$G60,AL$2&lt;=09_ガント元データ!$H60),"■",""))</f>
        <v/>
      </c>
      <c r="AM61" s="24" t="str">
        <f aca="false">IF($A61="","",IF(AND(AM$2&gt;=09_ガント元データ!$G60,AM$2&lt;=09_ガント元データ!$H60),"■",""))</f>
        <v/>
      </c>
    </row>
    <row r="62" customFormat="false" ht="15" hidden="false" customHeight="false" outlineLevel="0" collapsed="false">
      <c r="A62" s="22" t="str">
        <f aca="false">09_ガント元データ!A61</f>
        <v/>
      </c>
      <c r="B62" s="22" t="str">
        <f aca="false">09_ガント元データ!B61</f>
        <v/>
      </c>
      <c r="C62" s="23" t="str">
        <f aca="false">09_ガント元データ!C61</f>
        <v/>
      </c>
      <c r="D62" s="24" t="str">
        <f aca="false">IF($A62="","",IF(AND(D$2&gt;=09_ガント元データ!$G61,D$2&lt;=09_ガント元データ!$H61),"■",""))</f>
        <v/>
      </c>
      <c r="E62" s="24" t="str">
        <f aca="false">IF($A62="","",IF(AND(E$2&gt;=09_ガント元データ!$G61,E$2&lt;=09_ガント元データ!$H61),"■",""))</f>
        <v/>
      </c>
      <c r="F62" s="24" t="str">
        <f aca="false">IF($A62="","",IF(AND(F$2&gt;=09_ガント元データ!$G61,F$2&lt;=09_ガント元データ!$H61),"■",""))</f>
        <v/>
      </c>
      <c r="G62" s="24" t="str">
        <f aca="false">IF($A62="","",IF(AND(G$2&gt;=09_ガント元データ!$G61,G$2&lt;=09_ガント元データ!$H61),"■",""))</f>
        <v/>
      </c>
      <c r="H62" s="24" t="str">
        <f aca="false">IF($A62="","",IF(AND(H$2&gt;=09_ガント元データ!$G61,H$2&lt;=09_ガント元データ!$H61),"■",""))</f>
        <v/>
      </c>
      <c r="I62" s="24" t="str">
        <f aca="false">IF($A62="","",IF(AND(I$2&gt;=09_ガント元データ!$G61,I$2&lt;=09_ガント元データ!$H61),"■",""))</f>
        <v/>
      </c>
      <c r="J62" s="24" t="str">
        <f aca="false">IF($A62="","",IF(AND(J$2&gt;=09_ガント元データ!$G61,J$2&lt;=09_ガント元データ!$H61),"■",""))</f>
        <v/>
      </c>
      <c r="K62" s="24" t="str">
        <f aca="false">IF($A62="","",IF(AND(K$2&gt;=09_ガント元データ!$G61,K$2&lt;=09_ガント元データ!$H61),"■",""))</f>
        <v/>
      </c>
      <c r="L62" s="24" t="str">
        <f aca="false">IF($A62="","",IF(AND(L$2&gt;=09_ガント元データ!$G61,L$2&lt;=09_ガント元データ!$H61),"■",""))</f>
        <v/>
      </c>
      <c r="M62" s="24" t="str">
        <f aca="false">IF($A62="","",IF(AND(M$2&gt;=09_ガント元データ!$G61,M$2&lt;=09_ガント元データ!$H61),"■",""))</f>
        <v/>
      </c>
      <c r="N62" s="24" t="str">
        <f aca="false">IF($A62="","",IF(AND(N$2&gt;=09_ガント元データ!$G61,N$2&lt;=09_ガント元データ!$H61),"■",""))</f>
        <v/>
      </c>
      <c r="O62" s="24" t="str">
        <f aca="false">IF($A62="","",IF(AND(O$2&gt;=09_ガント元データ!$G61,O$2&lt;=09_ガント元データ!$H61),"■",""))</f>
        <v/>
      </c>
      <c r="P62" s="24" t="str">
        <f aca="false">IF($A62="","",IF(AND(P$2&gt;=09_ガント元データ!$G61,P$2&lt;=09_ガント元データ!$H61),"■",""))</f>
        <v/>
      </c>
      <c r="Q62" s="24" t="str">
        <f aca="false">IF($A62="","",IF(AND(Q$2&gt;=09_ガント元データ!$G61,Q$2&lt;=09_ガント元データ!$H61),"■",""))</f>
        <v/>
      </c>
      <c r="R62" s="24" t="str">
        <f aca="false">IF($A62="","",IF(AND(R$2&gt;=09_ガント元データ!$G61,R$2&lt;=09_ガント元データ!$H61),"■",""))</f>
        <v/>
      </c>
      <c r="S62" s="24" t="str">
        <f aca="false">IF($A62="","",IF(AND(S$2&gt;=09_ガント元データ!$G61,S$2&lt;=09_ガント元データ!$H61),"■",""))</f>
        <v/>
      </c>
      <c r="T62" s="24" t="str">
        <f aca="false">IF($A62="","",IF(AND(T$2&gt;=09_ガント元データ!$G61,T$2&lt;=09_ガント元データ!$H61),"■",""))</f>
        <v/>
      </c>
      <c r="U62" s="24" t="str">
        <f aca="false">IF($A62="","",IF(AND(U$2&gt;=09_ガント元データ!$G61,U$2&lt;=09_ガント元データ!$H61),"■",""))</f>
        <v/>
      </c>
      <c r="V62" s="24" t="str">
        <f aca="false">IF($A62="","",IF(AND(V$2&gt;=09_ガント元データ!$G61,V$2&lt;=09_ガント元データ!$H61),"■",""))</f>
        <v/>
      </c>
      <c r="W62" s="24" t="str">
        <f aca="false">IF($A62="","",IF(AND(W$2&gt;=09_ガント元データ!$G61,W$2&lt;=09_ガント元データ!$H61),"■",""))</f>
        <v/>
      </c>
      <c r="X62" s="24" t="str">
        <f aca="false">IF($A62="","",IF(AND(X$2&gt;=09_ガント元データ!$G61,X$2&lt;=09_ガント元データ!$H61),"■",""))</f>
        <v/>
      </c>
      <c r="Y62" s="24" t="str">
        <f aca="false">IF($A62="","",IF(AND(Y$2&gt;=09_ガント元データ!$G61,Y$2&lt;=09_ガント元データ!$H61),"■",""))</f>
        <v/>
      </c>
      <c r="Z62" s="24" t="str">
        <f aca="false">IF($A62="","",IF(AND(Z$2&gt;=09_ガント元データ!$G61,Z$2&lt;=09_ガント元データ!$H61),"■",""))</f>
        <v/>
      </c>
      <c r="AA62" s="24" t="str">
        <f aca="false">IF($A62="","",IF(AND(AA$2&gt;=09_ガント元データ!$G61,AA$2&lt;=09_ガント元データ!$H61),"■",""))</f>
        <v/>
      </c>
      <c r="AB62" s="24" t="str">
        <f aca="false">IF($A62="","",IF(AND(AB$2&gt;=09_ガント元データ!$G61,AB$2&lt;=09_ガント元データ!$H61),"■",""))</f>
        <v/>
      </c>
      <c r="AC62" s="24" t="str">
        <f aca="false">IF($A62="","",IF(AND(AC$2&gt;=09_ガント元データ!$G61,AC$2&lt;=09_ガント元データ!$H61),"■",""))</f>
        <v/>
      </c>
      <c r="AD62" s="24" t="str">
        <f aca="false">IF($A62="","",IF(AND(AD$2&gt;=09_ガント元データ!$G61,AD$2&lt;=09_ガント元データ!$H61),"■",""))</f>
        <v/>
      </c>
      <c r="AE62" s="24" t="str">
        <f aca="false">IF($A62="","",IF(AND(AE$2&gt;=09_ガント元データ!$G61,AE$2&lt;=09_ガント元データ!$H61),"■",""))</f>
        <v/>
      </c>
      <c r="AF62" s="24" t="str">
        <f aca="false">IF($A62="","",IF(AND(AF$2&gt;=09_ガント元データ!$G61,AF$2&lt;=09_ガント元データ!$H61),"■",""))</f>
        <v/>
      </c>
      <c r="AG62" s="24" t="str">
        <f aca="false">IF($A62="","",IF(AND(AG$2&gt;=09_ガント元データ!$G61,AG$2&lt;=09_ガント元データ!$H61),"■",""))</f>
        <v/>
      </c>
      <c r="AH62" s="24" t="str">
        <f aca="false">IF($A62="","",IF(AND(AH$2&gt;=09_ガント元データ!$G61,AH$2&lt;=09_ガント元データ!$H61),"■",""))</f>
        <v/>
      </c>
      <c r="AI62" s="24" t="str">
        <f aca="false">IF($A62="","",IF(AND(AI$2&gt;=09_ガント元データ!$G61,AI$2&lt;=09_ガント元データ!$H61),"■",""))</f>
        <v/>
      </c>
      <c r="AJ62" s="24" t="str">
        <f aca="false">IF($A62="","",IF(AND(AJ$2&gt;=09_ガント元データ!$G61,AJ$2&lt;=09_ガント元データ!$H61),"■",""))</f>
        <v/>
      </c>
      <c r="AK62" s="24" t="str">
        <f aca="false">IF($A62="","",IF(AND(AK$2&gt;=09_ガント元データ!$G61,AK$2&lt;=09_ガント元データ!$H61),"■",""))</f>
        <v/>
      </c>
      <c r="AL62" s="24" t="str">
        <f aca="false">IF($A62="","",IF(AND(AL$2&gt;=09_ガント元データ!$G61,AL$2&lt;=09_ガント元データ!$H61),"■",""))</f>
        <v/>
      </c>
      <c r="AM62" s="24" t="str">
        <f aca="false">IF($A62="","",IF(AND(AM$2&gt;=09_ガント元データ!$G61,AM$2&lt;=09_ガント元データ!$H61),"■",""))</f>
        <v/>
      </c>
    </row>
    <row r="63" customFormat="false" ht="15" hidden="false" customHeight="false" outlineLevel="0" collapsed="false">
      <c r="A63" s="22" t="str">
        <f aca="false">09_ガント元データ!A62</f>
        <v/>
      </c>
      <c r="B63" s="22" t="str">
        <f aca="false">09_ガント元データ!B62</f>
        <v/>
      </c>
      <c r="C63" s="23" t="str">
        <f aca="false">09_ガント元データ!C62</f>
        <v/>
      </c>
      <c r="D63" s="24" t="str">
        <f aca="false">IF($A63="","",IF(AND(D$2&gt;=09_ガント元データ!$G62,D$2&lt;=09_ガント元データ!$H62),"■",""))</f>
        <v/>
      </c>
      <c r="E63" s="24" t="str">
        <f aca="false">IF($A63="","",IF(AND(E$2&gt;=09_ガント元データ!$G62,E$2&lt;=09_ガント元データ!$H62),"■",""))</f>
        <v/>
      </c>
      <c r="F63" s="24" t="str">
        <f aca="false">IF($A63="","",IF(AND(F$2&gt;=09_ガント元データ!$G62,F$2&lt;=09_ガント元データ!$H62),"■",""))</f>
        <v/>
      </c>
      <c r="G63" s="24" t="str">
        <f aca="false">IF($A63="","",IF(AND(G$2&gt;=09_ガント元データ!$G62,G$2&lt;=09_ガント元データ!$H62),"■",""))</f>
        <v/>
      </c>
      <c r="H63" s="24" t="str">
        <f aca="false">IF($A63="","",IF(AND(H$2&gt;=09_ガント元データ!$G62,H$2&lt;=09_ガント元データ!$H62),"■",""))</f>
        <v/>
      </c>
      <c r="I63" s="24" t="str">
        <f aca="false">IF($A63="","",IF(AND(I$2&gt;=09_ガント元データ!$G62,I$2&lt;=09_ガント元データ!$H62),"■",""))</f>
        <v/>
      </c>
      <c r="J63" s="24" t="str">
        <f aca="false">IF($A63="","",IF(AND(J$2&gt;=09_ガント元データ!$G62,J$2&lt;=09_ガント元データ!$H62),"■",""))</f>
        <v/>
      </c>
      <c r="K63" s="24" t="str">
        <f aca="false">IF($A63="","",IF(AND(K$2&gt;=09_ガント元データ!$G62,K$2&lt;=09_ガント元データ!$H62),"■",""))</f>
        <v/>
      </c>
      <c r="L63" s="24" t="str">
        <f aca="false">IF($A63="","",IF(AND(L$2&gt;=09_ガント元データ!$G62,L$2&lt;=09_ガント元データ!$H62),"■",""))</f>
        <v/>
      </c>
      <c r="M63" s="24" t="str">
        <f aca="false">IF($A63="","",IF(AND(M$2&gt;=09_ガント元データ!$G62,M$2&lt;=09_ガント元データ!$H62),"■",""))</f>
        <v/>
      </c>
      <c r="N63" s="24" t="str">
        <f aca="false">IF($A63="","",IF(AND(N$2&gt;=09_ガント元データ!$G62,N$2&lt;=09_ガント元データ!$H62),"■",""))</f>
        <v/>
      </c>
      <c r="O63" s="24" t="str">
        <f aca="false">IF($A63="","",IF(AND(O$2&gt;=09_ガント元データ!$G62,O$2&lt;=09_ガント元データ!$H62),"■",""))</f>
        <v/>
      </c>
      <c r="P63" s="24" t="str">
        <f aca="false">IF($A63="","",IF(AND(P$2&gt;=09_ガント元データ!$G62,P$2&lt;=09_ガント元データ!$H62),"■",""))</f>
        <v/>
      </c>
      <c r="Q63" s="24" t="str">
        <f aca="false">IF($A63="","",IF(AND(Q$2&gt;=09_ガント元データ!$G62,Q$2&lt;=09_ガント元データ!$H62),"■",""))</f>
        <v/>
      </c>
      <c r="R63" s="24" t="str">
        <f aca="false">IF($A63="","",IF(AND(R$2&gt;=09_ガント元データ!$G62,R$2&lt;=09_ガント元データ!$H62),"■",""))</f>
        <v/>
      </c>
      <c r="S63" s="24" t="str">
        <f aca="false">IF($A63="","",IF(AND(S$2&gt;=09_ガント元データ!$G62,S$2&lt;=09_ガント元データ!$H62),"■",""))</f>
        <v/>
      </c>
      <c r="T63" s="24" t="str">
        <f aca="false">IF($A63="","",IF(AND(T$2&gt;=09_ガント元データ!$G62,T$2&lt;=09_ガント元データ!$H62),"■",""))</f>
        <v/>
      </c>
      <c r="U63" s="24" t="str">
        <f aca="false">IF($A63="","",IF(AND(U$2&gt;=09_ガント元データ!$G62,U$2&lt;=09_ガント元データ!$H62),"■",""))</f>
        <v/>
      </c>
      <c r="V63" s="24" t="str">
        <f aca="false">IF($A63="","",IF(AND(V$2&gt;=09_ガント元データ!$G62,V$2&lt;=09_ガント元データ!$H62),"■",""))</f>
        <v/>
      </c>
      <c r="W63" s="24" t="str">
        <f aca="false">IF($A63="","",IF(AND(W$2&gt;=09_ガント元データ!$G62,W$2&lt;=09_ガント元データ!$H62),"■",""))</f>
        <v/>
      </c>
      <c r="X63" s="24" t="str">
        <f aca="false">IF($A63="","",IF(AND(X$2&gt;=09_ガント元データ!$G62,X$2&lt;=09_ガント元データ!$H62),"■",""))</f>
        <v/>
      </c>
      <c r="Y63" s="24" t="str">
        <f aca="false">IF($A63="","",IF(AND(Y$2&gt;=09_ガント元データ!$G62,Y$2&lt;=09_ガント元データ!$H62),"■",""))</f>
        <v/>
      </c>
      <c r="Z63" s="24" t="str">
        <f aca="false">IF($A63="","",IF(AND(Z$2&gt;=09_ガント元データ!$G62,Z$2&lt;=09_ガント元データ!$H62),"■",""))</f>
        <v/>
      </c>
      <c r="AA63" s="24" t="str">
        <f aca="false">IF($A63="","",IF(AND(AA$2&gt;=09_ガント元データ!$G62,AA$2&lt;=09_ガント元データ!$H62),"■",""))</f>
        <v/>
      </c>
      <c r="AB63" s="24" t="str">
        <f aca="false">IF($A63="","",IF(AND(AB$2&gt;=09_ガント元データ!$G62,AB$2&lt;=09_ガント元データ!$H62),"■",""))</f>
        <v/>
      </c>
      <c r="AC63" s="24" t="str">
        <f aca="false">IF($A63="","",IF(AND(AC$2&gt;=09_ガント元データ!$G62,AC$2&lt;=09_ガント元データ!$H62),"■",""))</f>
        <v/>
      </c>
      <c r="AD63" s="24" t="str">
        <f aca="false">IF($A63="","",IF(AND(AD$2&gt;=09_ガント元データ!$G62,AD$2&lt;=09_ガント元データ!$H62),"■",""))</f>
        <v/>
      </c>
      <c r="AE63" s="24" t="str">
        <f aca="false">IF($A63="","",IF(AND(AE$2&gt;=09_ガント元データ!$G62,AE$2&lt;=09_ガント元データ!$H62),"■",""))</f>
        <v/>
      </c>
      <c r="AF63" s="24" t="str">
        <f aca="false">IF($A63="","",IF(AND(AF$2&gt;=09_ガント元データ!$G62,AF$2&lt;=09_ガント元データ!$H62),"■",""))</f>
        <v/>
      </c>
      <c r="AG63" s="24" t="str">
        <f aca="false">IF($A63="","",IF(AND(AG$2&gt;=09_ガント元データ!$G62,AG$2&lt;=09_ガント元データ!$H62),"■",""))</f>
        <v/>
      </c>
      <c r="AH63" s="24" t="str">
        <f aca="false">IF($A63="","",IF(AND(AH$2&gt;=09_ガント元データ!$G62,AH$2&lt;=09_ガント元データ!$H62),"■",""))</f>
        <v/>
      </c>
      <c r="AI63" s="24" t="str">
        <f aca="false">IF($A63="","",IF(AND(AI$2&gt;=09_ガント元データ!$G62,AI$2&lt;=09_ガント元データ!$H62),"■",""))</f>
        <v/>
      </c>
      <c r="AJ63" s="24" t="str">
        <f aca="false">IF($A63="","",IF(AND(AJ$2&gt;=09_ガント元データ!$G62,AJ$2&lt;=09_ガント元データ!$H62),"■",""))</f>
        <v/>
      </c>
      <c r="AK63" s="24" t="str">
        <f aca="false">IF($A63="","",IF(AND(AK$2&gt;=09_ガント元データ!$G62,AK$2&lt;=09_ガント元データ!$H62),"■",""))</f>
        <v/>
      </c>
      <c r="AL63" s="24" t="str">
        <f aca="false">IF($A63="","",IF(AND(AL$2&gt;=09_ガント元データ!$G62,AL$2&lt;=09_ガント元データ!$H62),"■",""))</f>
        <v/>
      </c>
      <c r="AM63" s="24" t="str">
        <f aca="false">IF($A63="","",IF(AND(AM$2&gt;=09_ガント元データ!$G62,AM$2&lt;=09_ガント元データ!$H62),"■",""))</f>
        <v/>
      </c>
    </row>
    <row r="64" customFormat="false" ht="15" hidden="false" customHeight="false" outlineLevel="0" collapsed="false">
      <c r="A64" s="22" t="str">
        <f aca="false">09_ガント元データ!A63</f>
        <v/>
      </c>
      <c r="B64" s="22" t="str">
        <f aca="false">09_ガント元データ!B63</f>
        <v/>
      </c>
      <c r="C64" s="23" t="str">
        <f aca="false">09_ガント元データ!C63</f>
        <v/>
      </c>
      <c r="D64" s="24" t="str">
        <f aca="false">IF($A64="","",IF(AND(D$2&gt;=09_ガント元データ!$G63,D$2&lt;=09_ガント元データ!$H63),"■",""))</f>
        <v/>
      </c>
      <c r="E64" s="24" t="str">
        <f aca="false">IF($A64="","",IF(AND(E$2&gt;=09_ガント元データ!$G63,E$2&lt;=09_ガント元データ!$H63),"■",""))</f>
        <v/>
      </c>
      <c r="F64" s="24" t="str">
        <f aca="false">IF($A64="","",IF(AND(F$2&gt;=09_ガント元データ!$G63,F$2&lt;=09_ガント元データ!$H63),"■",""))</f>
        <v/>
      </c>
      <c r="G64" s="24" t="str">
        <f aca="false">IF($A64="","",IF(AND(G$2&gt;=09_ガント元データ!$G63,G$2&lt;=09_ガント元データ!$H63),"■",""))</f>
        <v/>
      </c>
      <c r="H64" s="24" t="str">
        <f aca="false">IF($A64="","",IF(AND(H$2&gt;=09_ガント元データ!$G63,H$2&lt;=09_ガント元データ!$H63),"■",""))</f>
        <v/>
      </c>
      <c r="I64" s="24" t="str">
        <f aca="false">IF($A64="","",IF(AND(I$2&gt;=09_ガント元データ!$G63,I$2&lt;=09_ガント元データ!$H63),"■",""))</f>
        <v/>
      </c>
      <c r="J64" s="24" t="str">
        <f aca="false">IF($A64="","",IF(AND(J$2&gt;=09_ガント元データ!$G63,J$2&lt;=09_ガント元データ!$H63),"■",""))</f>
        <v/>
      </c>
      <c r="K64" s="24" t="str">
        <f aca="false">IF($A64="","",IF(AND(K$2&gt;=09_ガント元データ!$G63,K$2&lt;=09_ガント元データ!$H63),"■",""))</f>
        <v/>
      </c>
      <c r="L64" s="24" t="str">
        <f aca="false">IF($A64="","",IF(AND(L$2&gt;=09_ガント元データ!$G63,L$2&lt;=09_ガント元データ!$H63),"■",""))</f>
        <v/>
      </c>
      <c r="M64" s="24" t="str">
        <f aca="false">IF($A64="","",IF(AND(M$2&gt;=09_ガント元データ!$G63,M$2&lt;=09_ガント元データ!$H63),"■",""))</f>
        <v/>
      </c>
      <c r="N64" s="24" t="str">
        <f aca="false">IF($A64="","",IF(AND(N$2&gt;=09_ガント元データ!$G63,N$2&lt;=09_ガント元データ!$H63),"■",""))</f>
        <v/>
      </c>
      <c r="O64" s="24" t="str">
        <f aca="false">IF($A64="","",IF(AND(O$2&gt;=09_ガント元データ!$G63,O$2&lt;=09_ガント元データ!$H63),"■",""))</f>
        <v/>
      </c>
      <c r="P64" s="24" t="str">
        <f aca="false">IF($A64="","",IF(AND(P$2&gt;=09_ガント元データ!$G63,P$2&lt;=09_ガント元データ!$H63),"■",""))</f>
        <v/>
      </c>
      <c r="Q64" s="24" t="str">
        <f aca="false">IF($A64="","",IF(AND(Q$2&gt;=09_ガント元データ!$G63,Q$2&lt;=09_ガント元データ!$H63),"■",""))</f>
        <v/>
      </c>
      <c r="R64" s="24" t="str">
        <f aca="false">IF($A64="","",IF(AND(R$2&gt;=09_ガント元データ!$G63,R$2&lt;=09_ガント元データ!$H63),"■",""))</f>
        <v/>
      </c>
      <c r="S64" s="24" t="str">
        <f aca="false">IF($A64="","",IF(AND(S$2&gt;=09_ガント元データ!$G63,S$2&lt;=09_ガント元データ!$H63),"■",""))</f>
        <v/>
      </c>
      <c r="T64" s="24" t="str">
        <f aca="false">IF($A64="","",IF(AND(T$2&gt;=09_ガント元データ!$G63,T$2&lt;=09_ガント元データ!$H63),"■",""))</f>
        <v/>
      </c>
      <c r="U64" s="24" t="str">
        <f aca="false">IF($A64="","",IF(AND(U$2&gt;=09_ガント元データ!$G63,U$2&lt;=09_ガント元データ!$H63),"■",""))</f>
        <v/>
      </c>
      <c r="V64" s="24" t="str">
        <f aca="false">IF($A64="","",IF(AND(V$2&gt;=09_ガント元データ!$G63,V$2&lt;=09_ガント元データ!$H63),"■",""))</f>
        <v/>
      </c>
      <c r="W64" s="24" t="str">
        <f aca="false">IF($A64="","",IF(AND(W$2&gt;=09_ガント元データ!$G63,W$2&lt;=09_ガント元データ!$H63),"■",""))</f>
        <v/>
      </c>
      <c r="X64" s="24" t="str">
        <f aca="false">IF($A64="","",IF(AND(X$2&gt;=09_ガント元データ!$G63,X$2&lt;=09_ガント元データ!$H63),"■",""))</f>
        <v/>
      </c>
      <c r="Y64" s="24" t="str">
        <f aca="false">IF($A64="","",IF(AND(Y$2&gt;=09_ガント元データ!$G63,Y$2&lt;=09_ガント元データ!$H63),"■",""))</f>
        <v/>
      </c>
      <c r="Z64" s="24" t="str">
        <f aca="false">IF($A64="","",IF(AND(Z$2&gt;=09_ガント元データ!$G63,Z$2&lt;=09_ガント元データ!$H63),"■",""))</f>
        <v/>
      </c>
      <c r="AA64" s="24" t="str">
        <f aca="false">IF($A64="","",IF(AND(AA$2&gt;=09_ガント元データ!$G63,AA$2&lt;=09_ガント元データ!$H63),"■",""))</f>
        <v/>
      </c>
      <c r="AB64" s="24" t="str">
        <f aca="false">IF($A64="","",IF(AND(AB$2&gt;=09_ガント元データ!$G63,AB$2&lt;=09_ガント元データ!$H63),"■",""))</f>
        <v/>
      </c>
      <c r="AC64" s="24" t="str">
        <f aca="false">IF($A64="","",IF(AND(AC$2&gt;=09_ガント元データ!$G63,AC$2&lt;=09_ガント元データ!$H63),"■",""))</f>
        <v/>
      </c>
      <c r="AD64" s="24" t="str">
        <f aca="false">IF($A64="","",IF(AND(AD$2&gt;=09_ガント元データ!$G63,AD$2&lt;=09_ガント元データ!$H63),"■",""))</f>
        <v/>
      </c>
      <c r="AE64" s="24" t="str">
        <f aca="false">IF($A64="","",IF(AND(AE$2&gt;=09_ガント元データ!$G63,AE$2&lt;=09_ガント元データ!$H63),"■",""))</f>
        <v/>
      </c>
      <c r="AF64" s="24" t="str">
        <f aca="false">IF($A64="","",IF(AND(AF$2&gt;=09_ガント元データ!$G63,AF$2&lt;=09_ガント元データ!$H63),"■",""))</f>
        <v/>
      </c>
      <c r="AG64" s="24" t="str">
        <f aca="false">IF($A64="","",IF(AND(AG$2&gt;=09_ガント元データ!$G63,AG$2&lt;=09_ガント元データ!$H63),"■",""))</f>
        <v/>
      </c>
      <c r="AH64" s="24" t="str">
        <f aca="false">IF($A64="","",IF(AND(AH$2&gt;=09_ガント元データ!$G63,AH$2&lt;=09_ガント元データ!$H63),"■",""))</f>
        <v/>
      </c>
      <c r="AI64" s="24" t="str">
        <f aca="false">IF($A64="","",IF(AND(AI$2&gt;=09_ガント元データ!$G63,AI$2&lt;=09_ガント元データ!$H63),"■",""))</f>
        <v/>
      </c>
      <c r="AJ64" s="24" t="str">
        <f aca="false">IF($A64="","",IF(AND(AJ$2&gt;=09_ガント元データ!$G63,AJ$2&lt;=09_ガント元データ!$H63),"■",""))</f>
        <v/>
      </c>
      <c r="AK64" s="24" t="str">
        <f aca="false">IF($A64="","",IF(AND(AK$2&gt;=09_ガント元データ!$G63,AK$2&lt;=09_ガント元データ!$H63),"■",""))</f>
        <v/>
      </c>
      <c r="AL64" s="24" t="str">
        <f aca="false">IF($A64="","",IF(AND(AL$2&gt;=09_ガント元データ!$G63,AL$2&lt;=09_ガント元データ!$H63),"■",""))</f>
        <v/>
      </c>
      <c r="AM64" s="24" t="str">
        <f aca="false">IF($A64="","",IF(AND(AM$2&gt;=09_ガント元データ!$G63,AM$2&lt;=09_ガント元データ!$H63),"■",""))</f>
        <v/>
      </c>
    </row>
    <row r="65" customFormat="false" ht="15" hidden="false" customHeight="false" outlineLevel="0" collapsed="false">
      <c r="A65" s="22" t="str">
        <f aca="false">09_ガント元データ!A64</f>
        <v/>
      </c>
      <c r="B65" s="22" t="str">
        <f aca="false">09_ガント元データ!B64</f>
        <v/>
      </c>
      <c r="C65" s="23" t="str">
        <f aca="false">09_ガント元データ!C64</f>
        <v/>
      </c>
      <c r="D65" s="24" t="str">
        <f aca="false">IF($A65="","",IF(AND(D$2&gt;=09_ガント元データ!$G64,D$2&lt;=09_ガント元データ!$H64),"■",""))</f>
        <v/>
      </c>
      <c r="E65" s="24" t="str">
        <f aca="false">IF($A65="","",IF(AND(E$2&gt;=09_ガント元データ!$G64,E$2&lt;=09_ガント元データ!$H64),"■",""))</f>
        <v/>
      </c>
      <c r="F65" s="24" t="str">
        <f aca="false">IF($A65="","",IF(AND(F$2&gt;=09_ガント元データ!$G64,F$2&lt;=09_ガント元データ!$H64),"■",""))</f>
        <v/>
      </c>
      <c r="G65" s="24" t="str">
        <f aca="false">IF($A65="","",IF(AND(G$2&gt;=09_ガント元データ!$G64,G$2&lt;=09_ガント元データ!$H64),"■",""))</f>
        <v/>
      </c>
      <c r="H65" s="24" t="str">
        <f aca="false">IF($A65="","",IF(AND(H$2&gt;=09_ガント元データ!$G64,H$2&lt;=09_ガント元データ!$H64),"■",""))</f>
        <v/>
      </c>
      <c r="I65" s="24" t="str">
        <f aca="false">IF($A65="","",IF(AND(I$2&gt;=09_ガント元データ!$G64,I$2&lt;=09_ガント元データ!$H64),"■",""))</f>
        <v/>
      </c>
      <c r="J65" s="24" t="str">
        <f aca="false">IF($A65="","",IF(AND(J$2&gt;=09_ガント元データ!$G64,J$2&lt;=09_ガント元データ!$H64),"■",""))</f>
        <v/>
      </c>
      <c r="K65" s="24" t="str">
        <f aca="false">IF($A65="","",IF(AND(K$2&gt;=09_ガント元データ!$G64,K$2&lt;=09_ガント元データ!$H64),"■",""))</f>
        <v/>
      </c>
      <c r="L65" s="24" t="str">
        <f aca="false">IF($A65="","",IF(AND(L$2&gt;=09_ガント元データ!$G64,L$2&lt;=09_ガント元データ!$H64),"■",""))</f>
        <v/>
      </c>
      <c r="M65" s="24" t="str">
        <f aca="false">IF($A65="","",IF(AND(M$2&gt;=09_ガント元データ!$G64,M$2&lt;=09_ガント元データ!$H64),"■",""))</f>
        <v/>
      </c>
      <c r="N65" s="24" t="str">
        <f aca="false">IF($A65="","",IF(AND(N$2&gt;=09_ガント元データ!$G64,N$2&lt;=09_ガント元データ!$H64),"■",""))</f>
        <v/>
      </c>
      <c r="O65" s="24" t="str">
        <f aca="false">IF($A65="","",IF(AND(O$2&gt;=09_ガント元データ!$G64,O$2&lt;=09_ガント元データ!$H64),"■",""))</f>
        <v/>
      </c>
      <c r="P65" s="24" t="str">
        <f aca="false">IF($A65="","",IF(AND(P$2&gt;=09_ガント元データ!$G64,P$2&lt;=09_ガント元データ!$H64),"■",""))</f>
        <v/>
      </c>
      <c r="Q65" s="24" t="str">
        <f aca="false">IF($A65="","",IF(AND(Q$2&gt;=09_ガント元データ!$G64,Q$2&lt;=09_ガント元データ!$H64),"■",""))</f>
        <v/>
      </c>
      <c r="R65" s="24" t="str">
        <f aca="false">IF($A65="","",IF(AND(R$2&gt;=09_ガント元データ!$G64,R$2&lt;=09_ガント元データ!$H64),"■",""))</f>
        <v/>
      </c>
      <c r="S65" s="24" t="str">
        <f aca="false">IF($A65="","",IF(AND(S$2&gt;=09_ガント元データ!$G64,S$2&lt;=09_ガント元データ!$H64),"■",""))</f>
        <v/>
      </c>
      <c r="T65" s="24" t="str">
        <f aca="false">IF($A65="","",IF(AND(T$2&gt;=09_ガント元データ!$G64,T$2&lt;=09_ガント元データ!$H64),"■",""))</f>
        <v/>
      </c>
      <c r="U65" s="24" t="str">
        <f aca="false">IF($A65="","",IF(AND(U$2&gt;=09_ガント元データ!$G64,U$2&lt;=09_ガント元データ!$H64),"■",""))</f>
        <v/>
      </c>
      <c r="V65" s="24" t="str">
        <f aca="false">IF($A65="","",IF(AND(V$2&gt;=09_ガント元データ!$G64,V$2&lt;=09_ガント元データ!$H64),"■",""))</f>
        <v/>
      </c>
      <c r="W65" s="24" t="str">
        <f aca="false">IF($A65="","",IF(AND(W$2&gt;=09_ガント元データ!$G64,W$2&lt;=09_ガント元データ!$H64),"■",""))</f>
        <v/>
      </c>
      <c r="X65" s="24" t="str">
        <f aca="false">IF($A65="","",IF(AND(X$2&gt;=09_ガント元データ!$G64,X$2&lt;=09_ガント元データ!$H64),"■",""))</f>
        <v/>
      </c>
      <c r="Y65" s="24" t="str">
        <f aca="false">IF($A65="","",IF(AND(Y$2&gt;=09_ガント元データ!$G64,Y$2&lt;=09_ガント元データ!$H64),"■",""))</f>
        <v/>
      </c>
      <c r="Z65" s="24" t="str">
        <f aca="false">IF($A65="","",IF(AND(Z$2&gt;=09_ガント元データ!$G64,Z$2&lt;=09_ガント元データ!$H64),"■",""))</f>
        <v/>
      </c>
      <c r="AA65" s="24" t="str">
        <f aca="false">IF($A65="","",IF(AND(AA$2&gt;=09_ガント元データ!$G64,AA$2&lt;=09_ガント元データ!$H64),"■",""))</f>
        <v/>
      </c>
      <c r="AB65" s="24" t="str">
        <f aca="false">IF($A65="","",IF(AND(AB$2&gt;=09_ガント元データ!$G64,AB$2&lt;=09_ガント元データ!$H64),"■",""))</f>
        <v/>
      </c>
      <c r="AC65" s="24" t="str">
        <f aca="false">IF($A65="","",IF(AND(AC$2&gt;=09_ガント元データ!$G64,AC$2&lt;=09_ガント元データ!$H64),"■",""))</f>
        <v/>
      </c>
      <c r="AD65" s="24" t="str">
        <f aca="false">IF($A65="","",IF(AND(AD$2&gt;=09_ガント元データ!$G64,AD$2&lt;=09_ガント元データ!$H64),"■",""))</f>
        <v/>
      </c>
      <c r="AE65" s="24" t="str">
        <f aca="false">IF($A65="","",IF(AND(AE$2&gt;=09_ガント元データ!$G64,AE$2&lt;=09_ガント元データ!$H64),"■",""))</f>
        <v/>
      </c>
      <c r="AF65" s="24" t="str">
        <f aca="false">IF($A65="","",IF(AND(AF$2&gt;=09_ガント元データ!$G64,AF$2&lt;=09_ガント元データ!$H64),"■",""))</f>
        <v/>
      </c>
      <c r="AG65" s="24" t="str">
        <f aca="false">IF($A65="","",IF(AND(AG$2&gt;=09_ガント元データ!$G64,AG$2&lt;=09_ガント元データ!$H64),"■",""))</f>
        <v/>
      </c>
      <c r="AH65" s="24" t="str">
        <f aca="false">IF($A65="","",IF(AND(AH$2&gt;=09_ガント元データ!$G64,AH$2&lt;=09_ガント元データ!$H64),"■",""))</f>
        <v/>
      </c>
      <c r="AI65" s="24" t="str">
        <f aca="false">IF($A65="","",IF(AND(AI$2&gt;=09_ガント元データ!$G64,AI$2&lt;=09_ガント元データ!$H64),"■",""))</f>
        <v/>
      </c>
      <c r="AJ65" s="24" t="str">
        <f aca="false">IF($A65="","",IF(AND(AJ$2&gt;=09_ガント元データ!$G64,AJ$2&lt;=09_ガント元データ!$H64),"■",""))</f>
        <v/>
      </c>
      <c r="AK65" s="24" t="str">
        <f aca="false">IF($A65="","",IF(AND(AK$2&gt;=09_ガント元データ!$G64,AK$2&lt;=09_ガント元データ!$H64),"■",""))</f>
        <v/>
      </c>
      <c r="AL65" s="24" t="str">
        <f aca="false">IF($A65="","",IF(AND(AL$2&gt;=09_ガント元データ!$G64,AL$2&lt;=09_ガント元データ!$H64),"■",""))</f>
        <v/>
      </c>
      <c r="AM65" s="24" t="str">
        <f aca="false">IF($A65="","",IF(AND(AM$2&gt;=09_ガント元データ!$G64,AM$2&lt;=09_ガント元データ!$H64),"■",""))</f>
        <v/>
      </c>
    </row>
    <row r="66" customFormat="false" ht="15" hidden="false" customHeight="false" outlineLevel="0" collapsed="false">
      <c r="A66" s="22" t="str">
        <f aca="false">09_ガント元データ!A65</f>
        <v/>
      </c>
      <c r="B66" s="22" t="str">
        <f aca="false">09_ガント元データ!B65</f>
        <v/>
      </c>
      <c r="C66" s="23" t="str">
        <f aca="false">09_ガント元データ!C65</f>
        <v/>
      </c>
      <c r="D66" s="24" t="str">
        <f aca="false">IF($A66="","",IF(AND(D$2&gt;=09_ガント元データ!$G65,D$2&lt;=09_ガント元データ!$H65),"■",""))</f>
        <v/>
      </c>
      <c r="E66" s="24" t="str">
        <f aca="false">IF($A66="","",IF(AND(E$2&gt;=09_ガント元データ!$G65,E$2&lt;=09_ガント元データ!$H65),"■",""))</f>
        <v/>
      </c>
      <c r="F66" s="24" t="str">
        <f aca="false">IF($A66="","",IF(AND(F$2&gt;=09_ガント元データ!$G65,F$2&lt;=09_ガント元データ!$H65),"■",""))</f>
        <v/>
      </c>
      <c r="G66" s="24" t="str">
        <f aca="false">IF($A66="","",IF(AND(G$2&gt;=09_ガント元データ!$G65,G$2&lt;=09_ガント元データ!$H65),"■",""))</f>
        <v/>
      </c>
      <c r="H66" s="24" t="str">
        <f aca="false">IF($A66="","",IF(AND(H$2&gt;=09_ガント元データ!$G65,H$2&lt;=09_ガント元データ!$H65),"■",""))</f>
        <v/>
      </c>
      <c r="I66" s="24" t="str">
        <f aca="false">IF($A66="","",IF(AND(I$2&gt;=09_ガント元データ!$G65,I$2&lt;=09_ガント元データ!$H65),"■",""))</f>
        <v/>
      </c>
      <c r="J66" s="24" t="str">
        <f aca="false">IF($A66="","",IF(AND(J$2&gt;=09_ガント元データ!$G65,J$2&lt;=09_ガント元データ!$H65),"■",""))</f>
        <v/>
      </c>
      <c r="K66" s="24" t="str">
        <f aca="false">IF($A66="","",IF(AND(K$2&gt;=09_ガント元データ!$G65,K$2&lt;=09_ガント元データ!$H65),"■",""))</f>
        <v/>
      </c>
      <c r="L66" s="24" t="str">
        <f aca="false">IF($A66="","",IF(AND(L$2&gt;=09_ガント元データ!$G65,L$2&lt;=09_ガント元データ!$H65),"■",""))</f>
        <v/>
      </c>
      <c r="M66" s="24" t="str">
        <f aca="false">IF($A66="","",IF(AND(M$2&gt;=09_ガント元データ!$G65,M$2&lt;=09_ガント元データ!$H65),"■",""))</f>
        <v/>
      </c>
      <c r="N66" s="24" t="str">
        <f aca="false">IF($A66="","",IF(AND(N$2&gt;=09_ガント元データ!$G65,N$2&lt;=09_ガント元データ!$H65),"■",""))</f>
        <v/>
      </c>
      <c r="O66" s="24" t="str">
        <f aca="false">IF($A66="","",IF(AND(O$2&gt;=09_ガント元データ!$G65,O$2&lt;=09_ガント元データ!$H65),"■",""))</f>
        <v/>
      </c>
      <c r="P66" s="24" t="str">
        <f aca="false">IF($A66="","",IF(AND(P$2&gt;=09_ガント元データ!$G65,P$2&lt;=09_ガント元データ!$H65),"■",""))</f>
        <v/>
      </c>
      <c r="Q66" s="24" t="str">
        <f aca="false">IF($A66="","",IF(AND(Q$2&gt;=09_ガント元データ!$G65,Q$2&lt;=09_ガント元データ!$H65),"■",""))</f>
        <v/>
      </c>
      <c r="R66" s="24" t="str">
        <f aca="false">IF($A66="","",IF(AND(R$2&gt;=09_ガント元データ!$G65,R$2&lt;=09_ガント元データ!$H65),"■",""))</f>
        <v/>
      </c>
      <c r="S66" s="24" t="str">
        <f aca="false">IF($A66="","",IF(AND(S$2&gt;=09_ガント元データ!$G65,S$2&lt;=09_ガント元データ!$H65),"■",""))</f>
        <v/>
      </c>
      <c r="T66" s="24" t="str">
        <f aca="false">IF($A66="","",IF(AND(T$2&gt;=09_ガント元データ!$G65,T$2&lt;=09_ガント元データ!$H65),"■",""))</f>
        <v/>
      </c>
      <c r="U66" s="24" t="str">
        <f aca="false">IF($A66="","",IF(AND(U$2&gt;=09_ガント元データ!$G65,U$2&lt;=09_ガント元データ!$H65),"■",""))</f>
        <v/>
      </c>
      <c r="V66" s="24" t="str">
        <f aca="false">IF($A66="","",IF(AND(V$2&gt;=09_ガント元データ!$G65,V$2&lt;=09_ガント元データ!$H65),"■",""))</f>
        <v/>
      </c>
      <c r="W66" s="24" t="str">
        <f aca="false">IF($A66="","",IF(AND(W$2&gt;=09_ガント元データ!$G65,W$2&lt;=09_ガント元データ!$H65),"■",""))</f>
        <v/>
      </c>
      <c r="X66" s="24" t="str">
        <f aca="false">IF($A66="","",IF(AND(X$2&gt;=09_ガント元データ!$G65,X$2&lt;=09_ガント元データ!$H65),"■",""))</f>
        <v/>
      </c>
      <c r="Y66" s="24" t="str">
        <f aca="false">IF($A66="","",IF(AND(Y$2&gt;=09_ガント元データ!$G65,Y$2&lt;=09_ガント元データ!$H65),"■",""))</f>
        <v/>
      </c>
      <c r="Z66" s="24" t="str">
        <f aca="false">IF($A66="","",IF(AND(Z$2&gt;=09_ガント元データ!$G65,Z$2&lt;=09_ガント元データ!$H65),"■",""))</f>
        <v/>
      </c>
      <c r="AA66" s="24" t="str">
        <f aca="false">IF($A66="","",IF(AND(AA$2&gt;=09_ガント元データ!$G65,AA$2&lt;=09_ガント元データ!$H65),"■",""))</f>
        <v/>
      </c>
      <c r="AB66" s="24" t="str">
        <f aca="false">IF($A66="","",IF(AND(AB$2&gt;=09_ガント元データ!$G65,AB$2&lt;=09_ガント元データ!$H65),"■",""))</f>
        <v/>
      </c>
      <c r="AC66" s="24" t="str">
        <f aca="false">IF($A66="","",IF(AND(AC$2&gt;=09_ガント元データ!$G65,AC$2&lt;=09_ガント元データ!$H65),"■",""))</f>
        <v/>
      </c>
      <c r="AD66" s="24" t="str">
        <f aca="false">IF($A66="","",IF(AND(AD$2&gt;=09_ガント元データ!$G65,AD$2&lt;=09_ガント元データ!$H65),"■",""))</f>
        <v/>
      </c>
      <c r="AE66" s="24" t="str">
        <f aca="false">IF($A66="","",IF(AND(AE$2&gt;=09_ガント元データ!$G65,AE$2&lt;=09_ガント元データ!$H65),"■",""))</f>
        <v/>
      </c>
      <c r="AF66" s="24" t="str">
        <f aca="false">IF($A66="","",IF(AND(AF$2&gt;=09_ガント元データ!$G65,AF$2&lt;=09_ガント元データ!$H65),"■",""))</f>
        <v/>
      </c>
      <c r="AG66" s="24" t="str">
        <f aca="false">IF($A66="","",IF(AND(AG$2&gt;=09_ガント元データ!$G65,AG$2&lt;=09_ガント元データ!$H65),"■",""))</f>
        <v/>
      </c>
      <c r="AH66" s="24" t="str">
        <f aca="false">IF($A66="","",IF(AND(AH$2&gt;=09_ガント元データ!$G65,AH$2&lt;=09_ガント元データ!$H65),"■",""))</f>
        <v/>
      </c>
      <c r="AI66" s="24" t="str">
        <f aca="false">IF($A66="","",IF(AND(AI$2&gt;=09_ガント元データ!$G65,AI$2&lt;=09_ガント元データ!$H65),"■",""))</f>
        <v/>
      </c>
      <c r="AJ66" s="24" t="str">
        <f aca="false">IF($A66="","",IF(AND(AJ$2&gt;=09_ガント元データ!$G65,AJ$2&lt;=09_ガント元データ!$H65),"■",""))</f>
        <v/>
      </c>
      <c r="AK66" s="24" t="str">
        <f aca="false">IF($A66="","",IF(AND(AK$2&gt;=09_ガント元データ!$G65,AK$2&lt;=09_ガント元データ!$H65),"■",""))</f>
        <v/>
      </c>
      <c r="AL66" s="24" t="str">
        <f aca="false">IF($A66="","",IF(AND(AL$2&gt;=09_ガント元データ!$G65,AL$2&lt;=09_ガント元データ!$H65),"■",""))</f>
        <v/>
      </c>
      <c r="AM66" s="24" t="str">
        <f aca="false">IF($A66="","",IF(AND(AM$2&gt;=09_ガント元データ!$G65,AM$2&lt;=09_ガント元データ!$H65),"■",""))</f>
        <v/>
      </c>
    </row>
    <row r="67" customFormat="false" ht="15" hidden="false" customHeight="false" outlineLevel="0" collapsed="false">
      <c r="A67" s="22" t="str">
        <f aca="false">09_ガント元データ!A66</f>
        <v/>
      </c>
      <c r="B67" s="22" t="str">
        <f aca="false">09_ガント元データ!B66</f>
        <v/>
      </c>
      <c r="C67" s="23" t="str">
        <f aca="false">09_ガント元データ!C66</f>
        <v/>
      </c>
      <c r="D67" s="24" t="str">
        <f aca="false">IF($A67="","",IF(AND(D$2&gt;=09_ガント元データ!$G66,D$2&lt;=09_ガント元データ!$H66),"■",""))</f>
        <v/>
      </c>
      <c r="E67" s="24" t="str">
        <f aca="false">IF($A67="","",IF(AND(E$2&gt;=09_ガント元データ!$G66,E$2&lt;=09_ガント元データ!$H66),"■",""))</f>
        <v/>
      </c>
      <c r="F67" s="24" t="str">
        <f aca="false">IF($A67="","",IF(AND(F$2&gt;=09_ガント元データ!$G66,F$2&lt;=09_ガント元データ!$H66),"■",""))</f>
        <v/>
      </c>
      <c r="G67" s="24" t="str">
        <f aca="false">IF($A67="","",IF(AND(G$2&gt;=09_ガント元データ!$G66,G$2&lt;=09_ガント元データ!$H66),"■",""))</f>
        <v/>
      </c>
      <c r="H67" s="24" t="str">
        <f aca="false">IF($A67="","",IF(AND(H$2&gt;=09_ガント元データ!$G66,H$2&lt;=09_ガント元データ!$H66),"■",""))</f>
        <v/>
      </c>
      <c r="I67" s="24" t="str">
        <f aca="false">IF($A67="","",IF(AND(I$2&gt;=09_ガント元データ!$G66,I$2&lt;=09_ガント元データ!$H66),"■",""))</f>
        <v/>
      </c>
      <c r="J67" s="24" t="str">
        <f aca="false">IF($A67="","",IF(AND(J$2&gt;=09_ガント元データ!$G66,J$2&lt;=09_ガント元データ!$H66),"■",""))</f>
        <v/>
      </c>
      <c r="K67" s="24" t="str">
        <f aca="false">IF($A67="","",IF(AND(K$2&gt;=09_ガント元データ!$G66,K$2&lt;=09_ガント元データ!$H66),"■",""))</f>
        <v/>
      </c>
      <c r="L67" s="24" t="str">
        <f aca="false">IF($A67="","",IF(AND(L$2&gt;=09_ガント元データ!$G66,L$2&lt;=09_ガント元データ!$H66),"■",""))</f>
        <v/>
      </c>
      <c r="M67" s="24" t="str">
        <f aca="false">IF($A67="","",IF(AND(M$2&gt;=09_ガント元データ!$G66,M$2&lt;=09_ガント元データ!$H66),"■",""))</f>
        <v/>
      </c>
      <c r="N67" s="24" t="str">
        <f aca="false">IF($A67="","",IF(AND(N$2&gt;=09_ガント元データ!$G66,N$2&lt;=09_ガント元データ!$H66),"■",""))</f>
        <v/>
      </c>
      <c r="O67" s="24" t="str">
        <f aca="false">IF($A67="","",IF(AND(O$2&gt;=09_ガント元データ!$G66,O$2&lt;=09_ガント元データ!$H66),"■",""))</f>
        <v/>
      </c>
      <c r="P67" s="24" t="str">
        <f aca="false">IF($A67="","",IF(AND(P$2&gt;=09_ガント元データ!$G66,P$2&lt;=09_ガント元データ!$H66),"■",""))</f>
        <v/>
      </c>
      <c r="Q67" s="24" t="str">
        <f aca="false">IF($A67="","",IF(AND(Q$2&gt;=09_ガント元データ!$G66,Q$2&lt;=09_ガント元データ!$H66),"■",""))</f>
        <v/>
      </c>
      <c r="R67" s="24" t="str">
        <f aca="false">IF($A67="","",IF(AND(R$2&gt;=09_ガント元データ!$G66,R$2&lt;=09_ガント元データ!$H66),"■",""))</f>
        <v/>
      </c>
      <c r="S67" s="24" t="str">
        <f aca="false">IF($A67="","",IF(AND(S$2&gt;=09_ガント元データ!$G66,S$2&lt;=09_ガント元データ!$H66),"■",""))</f>
        <v/>
      </c>
      <c r="T67" s="24" t="str">
        <f aca="false">IF($A67="","",IF(AND(T$2&gt;=09_ガント元データ!$G66,T$2&lt;=09_ガント元データ!$H66),"■",""))</f>
        <v/>
      </c>
      <c r="U67" s="24" t="str">
        <f aca="false">IF($A67="","",IF(AND(U$2&gt;=09_ガント元データ!$G66,U$2&lt;=09_ガント元データ!$H66),"■",""))</f>
        <v/>
      </c>
      <c r="V67" s="24" t="str">
        <f aca="false">IF($A67="","",IF(AND(V$2&gt;=09_ガント元データ!$G66,V$2&lt;=09_ガント元データ!$H66),"■",""))</f>
        <v/>
      </c>
      <c r="W67" s="24" t="str">
        <f aca="false">IF($A67="","",IF(AND(W$2&gt;=09_ガント元データ!$G66,W$2&lt;=09_ガント元データ!$H66),"■",""))</f>
        <v/>
      </c>
      <c r="X67" s="24" t="str">
        <f aca="false">IF($A67="","",IF(AND(X$2&gt;=09_ガント元データ!$G66,X$2&lt;=09_ガント元データ!$H66),"■",""))</f>
        <v/>
      </c>
      <c r="Y67" s="24" t="str">
        <f aca="false">IF($A67="","",IF(AND(Y$2&gt;=09_ガント元データ!$G66,Y$2&lt;=09_ガント元データ!$H66),"■",""))</f>
        <v/>
      </c>
      <c r="Z67" s="24" t="str">
        <f aca="false">IF($A67="","",IF(AND(Z$2&gt;=09_ガント元データ!$G66,Z$2&lt;=09_ガント元データ!$H66),"■",""))</f>
        <v/>
      </c>
      <c r="AA67" s="24" t="str">
        <f aca="false">IF($A67="","",IF(AND(AA$2&gt;=09_ガント元データ!$G66,AA$2&lt;=09_ガント元データ!$H66),"■",""))</f>
        <v/>
      </c>
      <c r="AB67" s="24" t="str">
        <f aca="false">IF($A67="","",IF(AND(AB$2&gt;=09_ガント元データ!$G66,AB$2&lt;=09_ガント元データ!$H66),"■",""))</f>
        <v/>
      </c>
      <c r="AC67" s="24" t="str">
        <f aca="false">IF($A67="","",IF(AND(AC$2&gt;=09_ガント元データ!$G66,AC$2&lt;=09_ガント元データ!$H66),"■",""))</f>
        <v/>
      </c>
      <c r="AD67" s="24" t="str">
        <f aca="false">IF($A67="","",IF(AND(AD$2&gt;=09_ガント元データ!$G66,AD$2&lt;=09_ガント元データ!$H66),"■",""))</f>
        <v/>
      </c>
      <c r="AE67" s="24" t="str">
        <f aca="false">IF($A67="","",IF(AND(AE$2&gt;=09_ガント元データ!$G66,AE$2&lt;=09_ガント元データ!$H66),"■",""))</f>
        <v/>
      </c>
      <c r="AF67" s="24" t="str">
        <f aca="false">IF($A67="","",IF(AND(AF$2&gt;=09_ガント元データ!$G66,AF$2&lt;=09_ガント元データ!$H66),"■",""))</f>
        <v/>
      </c>
      <c r="AG67" s="24" t="str">
        <f aca="false">IF($A67="","",IF(AND(AG$2&gt;=09_ガント元データ!$G66,AG$2&lt;=09_ガント元データ!$H66),"■",""))</f>
        <v/>
      </c>
      <c r="AH67" s="24" t="str">
        <f aca="false">IF($A67="","",IF(AND(AH$2&gt;=09_ガント元データ!$G66,AH$2&lt;=09_ガント元データ!$H66),"■",""))</f>
        <v/>
      </c>
      <c r="AI67" s="24" t="str">
        <f aca="false">IF($A67="","",IF(AND(AI$2&gt;=09_ガント元データ!$G66,AI$2&lt;=09_ガント元データ!$H66),"■",""))</f>
        <v/>
      </c>
      <c r="AJ67" s="24" t="str">
        <f aca="false">IF($A67="","",IF(AND(AJ$2&gt;=09_ガント元データ!$G66,AJ$2&lt;=09_ガント元データ!$H66),"■",""))</f>
        <v/>
      </c>
      <c r="AK67" s="24" t="str">
        <f aca="false">IF($A67="","",IF(AND(AK$2&gt;=09_ガント元データ!$G66,AK$2&lt;=09_ガント元データ!$H66),"■",""))</f>
        <v/>
      </c>
      <c r="AL67" s="24" t="str">
        <f aca="false">IF($A67="","",IF(AND(AL$2&gt;=09_ガント元データ!$G66,AL$2&lt;=09_ガント元データ!$H66),"■",""))</f>
        <v/>
      </c>
      <c r="AM67" s="24" t="str">
        <f aca="false">IF($A67="","",IF(AND(AM$2&gt;=09_ガント元データ!$G66,AM$2&lt;=09_ガント元データ!$H66),"■",""))</f>
        <v/>
      </c>
    </row>
    <row r="68" customFormat="false" ht="15" hidden="false" customHeight="false" outlineLevel="0" collapsed="false">
      <c r="A68" s="22" t="str">
        <f aca="false">09_ガント元データ!A67</f>
        <v/>
      </c>
      <c r="B68" s="22" t="str">
        <f aca="false">09_ガント元データ!B67</f>
        <v/>
      </c>
      <c r="C68" s="23" t="str">
        <f aca="false">09_ガント元データ!C67</f>
        <v/>
      </c>
      <c r="D68" s="24" t="str">
        <f aca="false">IF($A68="","",IF(AND(D$2&gt;=09_ガント元データ!$G67,D$2&lt;=09_ガント元データ!$H67),"■",""))</f>
        <v/>
      </c>
      <c r="E68" s="24" t="str">
        <f aca="false">IF($A68="","",IF(AND(E$2&gt;=09_ガント元データ!$G67,E$2&lt;=09_ガント元データ!$H67),"■",""))</f>
        <v/>
      </c>
      <c r="F68" s="24" t="str">
        <f aca="false">IF($A68="","",IF(AND(F$2&gt;=09_ガント元データ!$G67,F$2&lt;=09_ガント元データ!$H67),"■",""))</f>
        <v/>
      </c>
      <c r="G68" s="24" t="str">
        <f aca="false">IF($A68="","",IF(AND(G$2&gt;=09_ガント元データ!$G67,G$2&lt;=09_ガント元データ!$H67),"■",""))</f>
        <v/>
      </c>
      <c r="H68" s="24" t="str">
        <f aca="false">IF($A68="","",IF(AND(H$2&gt;=09_ガント元データ!$G67,H$2&lt;=09_ガント元データ!$H67),"■",""))</f>
        <v/>
      </c>
      <c r="I68" s="24" t="str">
        <f aca="false">IF($A68="","",IF(AND(I$2&gt;=09_ガント元データ!$G67,I$2&lt;=09_ガント元データ!$H67),"■",""))</f>
        <v/>
      </c>
      <c r="J68" s="24" t="str">
        <f aca="false">IF($A68="","",IF(AND(J$2&gt;=09_ガント元データ!$G67,J$2&lt;=09_ガント元データ!$H67),"■",""))</f>
        <v/>
      </c>
      <c r="K68" s="24" t="str">
        <f aca="false">IF($A68="","",IF(AND(K$2&gt;=09_ガント元データ!$G67,K$2&lt;=09_ガント元データ!$H67),"■",""))</f>
        <v/>
      </c>
      <c r="L68" s="24" t="str">
        <f aca="false">IF($A68="","",IF(AND(L$2&gt;=09_ガント元データ!$G67,L$2&lt;=09_ガント元データ!$H67),"■",""))</f>
        <v/>
      </c>
      <c r="M68" s="24" t="str">
        <f aca="false">IF($A68="","",IF(AND(M$2&gt;=09_ガント元データ!$G67,M$2&lt;=09_ガント元データ!$H67),"■",""))</f>
        <v/>
      </c>
      <c r="N68" s="24" t="str">
        <f aca="false">IF($A68="","",IF(AND(N$2&gt;=09_ガント元データ!$G67,N$2&lt;=09_ガント元データ!$H67),"■",""))</f>
        <v/>
      </c>
      <c r="O68" s="24" t="str">
        <f aca="false">IF($A68="","",IF(AND(O$2&gt;=09_ガント元データ!$G67,O$2&lt;=09_ガント元データ!$H67),"■",""))</f>
        <v/>
      </c>
      <c r="P68" s="24" t="str">
        <f aca="false">IF($A68="","",IF(AND(P$2&gt;=09_ガント元データ!$G67,P$2&lt;=09_ガント元データ!$H67),"■",""))</f>
        <v/>
      </c>
      <c r="Q68" s="24" t="str">
        <f aca="false">IF($A68="","",IF(AND(Q$2&gt;=09_ガント元データ!$G67,Q$2&lt;=09_ガント元データ!$H67),"■",""))</f>
        <v/>
      </c>
      <c r="R68" s="24" t="str">
        <f aca="false">IF($A68="","",IF(AND(R$2&gt;=09_ガント元データ!$G67,R$2&lt;=09_ガント元データ!$H67),"■",""))</f>
        <v/>
      </c>
      <c r="S68" s="24" t="str">
        <f aca="false">IF($A68="","",IF(AND(S$2&gt;=09_ガント元データ!$G67,S$2&lt;=09_ガント元データ!$H67),"■",""))</f>
        <v/>
      </c>
      <c r="T68" s="24" t="str">
        <f aca="false">IF($A68="","",IF(AND(T$2&gt;=09_ガント元データ!$G67,T$2&lt;=09_ガント元データ!$H67),"■",""))</f>
        <v/>
      </c>
      <c r="U68" s="24" t="str">
        <f aca="false">IF($A68="","",IF(AND(U$2&gt;=09_ガント元データ!$G67,U$2&lt;=09_ガント元データ!$H67),"■",""))</f>
        <v/>
      </c>
      <c r="V68" s="24" t="str">
        <f aca="false">IF($A68="","",IF(AND(V$2&gt;=09_ガント元データ!$G67,V$2&lt;=09_ガント元データ!$H67),"■",""))</f>
        <v/>
      </c>
      <c r="W68" s="24" t="str">
        <f aca="false">IF($A68="","",IF(AND(W$2&gt;=09_ガント元データ!$G67,W$2&lt;=09_ガント元データ!$H67),"■",""))</f>
        <v/>
      </c>
      <c r="X68" s="24" t="str">
        <f aca="false">IF($A68="","",IF(AND(X$2&gt;=09_ガント元データ!$G67,X$2&lt;=09_ガント元データ!$H67),"■",""))</f>
        <v/>
      </c>
      <c r="Y68" s="24" t="str">
        <f aca="false">IF($A68="","",IF(AND(Y$2&gt;=09_ガント元データ!$G67,Y$2&lt;=09_ガント元データ!$H67),"■",""))</f>
        <v/>
      </c>
      <c r="Z68" s="24" t="str">
        <f aca="false">IF($A68="","",IF(AND(Z$2&gt;=09_ガント元データ!$G67,Z$2&lt;=09_ガント元データ!$H67),"■",""))</f>
        <v/>
      </c>
      <c r="AA68" s="24" t="str">
        <f aca="false">IF($A68="","",IF(AND(AA$2&gt;=09_ガント元データ!$G67,AA$2&lt;=09_ガント元データ!$H67),"■",""))</f>
        <v/>
      </c>
      <c r="AB68" s="24" t="str">
        <f aca="false">IF($A68="","",IF(AND(AB$2&gt;=09_ガント元データ!$G67,AB$2&lt;=09_ガント元データ!$H67),"■",""))</f>
        <v/>
      </c>
      <c r="AC68" s="24" t="str">
        <f aca="false">IF($A68="","",IF(AND(AC$2&gt;=09_ガント元データ!$G67,AC$2&lt;=09_ガント元データ!$H67),"■",""))</f>
        <v/>
      </c>
      <c r="AD68" s="24" t="str">
        <f aca="false">IF($A68="","",IF(AND(AD$2&gt;=09_ガント元データ!$G67,AD$2&lt;=09_ガント元データ!$H67),"■",""))</f>
        <v/>
      </c>
      <c r="AE68" s="24" t="str">
        <f aca="false">IF($A68="","",IF(AND(AE$2&gt;=09_ガント元データ!$G67,AE$2&lt;=09_ガント元データ!$H67),"■",""))</f>
        <v/>
      </c>
      <c r="AF68" s="24" t="str">
        <f aca="false">IF($A68="","",IF(AND(AF$2&gt;=09_ガント元データ!$G67,AF$2&lt;=09_ガント元データ!$H67),"■",""))</f>
        <v/>
      </c>
      <c r="AG68" s="24" t="str">
        <f aca="false">IF($A68="","",IF(AND(AG$2&gt;=09_ガント元データ!$G67,AG$2&lt;=09_ガント元データ!$H67),"■",""))</f>
        <v/>
      </c>
      <c r="AH68" s="24" t="str">
        <f aca="false">IF($A68="","",IF(AND(AH$2&gt;=09_ガント元データ!$G67,AH$2&lt;=09_ガント元データ!$H67),"■",""))</f>
        <v/>
      </c>
      <c r="AI68" s="24" t="str">
        <f aca="false">IF($A68="","",IF(AND(AI$2&gt;=09_ガント元データ!$G67,AI$2&lt;=09_ガント元データ!$H67),"■",""))</f>
        <v/>
      </c>
      <c r="AJ68" s="24" t="str">
        <f aca="false">IF($A68="","",IF(AND(AJ$2&gt;=09_ガント元データ!$G67,AJ$2&lt;=09_ガント元データ!$H67),"■",""))</f>
        <v/>
      </c>
      <c r="AK68" s="24" t="str">
        <f aca="false">IF($A68="","",IF(AND(AK$2&gt;=09_ガント元データ!$G67,AK$2&lt;=09_ガント元データ!$H67),"■",""))</f>
        <v/>
      </c>
      <c r="AL68" s="24" t="str">
        <f aca="false">IF($A68="","",IF(AND(AL$2&gt;=09_ガント元データ!$G67,AL$2&lt;=09_ガント元データ!$H67),"■",""))</f>
        <v/>
      </c>
      <c r="AM68" s="24" t="str">
        <f aca="false">IF($A68="","",IF(AND(AM$2&gt;=09_ガント元データ!$G67,AM$2&lt;=09_ガント元データ!$H67),"■",""))</f>
        <v/>
      </c>
    </row>
    <row r="69" customFormat="false" ht="15" hidden="false" customHeight="false" outlineLevel="0" collapsed="false">
      <c r="A69" s="22" t="str">
        <f aca="false">09_ガント元データ!A68</f>
        <v/>
      </c>
      <c r="B69" s="22" t="str">
        <f aca="false">09_ガント元データ!B68</f>
        <v/>
      </c>
      <c r="C69" s="23" t="str">
        <f aca="false">09_ガント元データ!C68</f>
        <v/>
      </c>
      <c r="D69" s="24" t="str">
        <f aca="false">IF($A69="","",IF(AND(D$2&gt;=09_ガント元データ!$G68,D$2&lt;=09_ガント元データ!$H68),"■",""))</f>
        <v/>
      </c>
      <c r="E69" s="24" t="str">
        <f aca="false">IF($A69="","",IF(AND(E$2&gt;=09_ガント元データ!$G68,E$2&lt;=09_ガント元データ!$H68),"■",""))</f>
        <v/>
      </c>
      <c r="F69" s="24" t="str">
        <f aca="false">IF($A69="","",IF(AND(F$2&gt;=09_ガント元データ!$G68,F$2&lt;=09_ガント元データ!$H68),"■",""))</f>
        <v/>
      </c>
      <c r="G69" s="24" t="str">
        <f aca="false">IF($A69="","",IF(AND(G$2&gt;=09_ガント元データ!$G68,G$2&lt;=09_ガント元データ!$H68),"■",""))</f>
        <v/>
      </c>
      <c r="H69" s="24" t="str">
        <f aca="false">IF($A69="","",IF(AND(H$2&gt;=09_ガント元データ!$G68,H$2&lt;=09_ガント元データ!$H68),"■",""))</f>
        <v/>
      </c>
      <c r="I69" s="24" t="str">
        <f aca="false">IF($A69="","",IF(AND(I$2&gt;=09_ガント元データ!$G68,I$2&lt;=09_ガント元データ!$H68),"■",""))</f>
        <v/>
      </c>
      <c r="J69" s="24" t="str">
        <f aca="false">IF($A69="","",IF(AND(J$2&gt;=09_ガント元データ!$G68,J$2&lt;=09_ガント元データ!$H68),"■",""))</f>
        <v/>
      </c>
      <c r="K69" s="24" t="str">
        <f aca="false">IF($A69="","",IF(AND(K$2&gt;=09_ガント元データ!$G68,K$2&lt;=09_ガント元データ!$H68),"■",""))</f>
        <v/>
      </c>
      <c r="L69" s="24" t="str">
        <f aca="false">IF($A69="","",IF(AND(L$2&gt;=09_ガント元データ!$G68,L$2&lt;=09_ガント元データ!$H68),"■",""))</f>
        <v/>
      </c>
      <c r="M69" s="24" t="str">
        <f aca="false">IF($A69="","",IF(AND(M$2&gt;=09_ガント元データ!$G68,M$2&lt;=09_ガント元データ!$H68),"■",""))</f>
        <v/>
      </c>
      <c r="N69" s="24" t="str">
        <f aca="false">IF($A69="","",IF(AND(N$2&gt;=09_ガント元データ!$G68,N$2&lt;=09_ガント元データ!$H68),"■",""))</f>
        <v/>
      </c>
      <c r="O69" s="24" t="str">
        <f aca="false">IF($A69="","",IF(AND(O$2&gt;=09_ガント元データ!$G68,O$2&lt;=09_ガント元データ!$H68),"■",""))</f>
        <v/>
      </c>
      <c r="P69" s="24" t="str">
        <f aca="false">IF($A69="","",IF(AND(P$2&gt;=09_ガント元データ!$G68,P$2&lt;=09_ガント元データ!$H68),"■",""))</f>
        <v/>
      </c>
      <c r="Q69" s="24" t="str">
        <f aca="false">IF($A69="","",IF(AND(Q$2&gt;=09_ガント元データ!$G68,Q$2&lt;=09_ガント元データ!$H68),"■",""))</f>
        <v/>
      </c>
      <c r="R69" s="24" t="str">
        <f aca="false">IF($A69="","",IF(AND(R$2&gt;=09_ガント元データ!$G68,R$2&lt;=09_ガント元データ!$H68),"■",""))</f>
        <v/>
      </c>
      <c r="S69" s="24" t="str">
        <f aca="false">IF($A69="","",IF(AND(S$2&gt;=09_ガント元データ!$G68,S$2&lt;=09_ガント元データ!$H68),"■",""))</f>
        <v/>
      </c>
      <c r="T69" s="24" t="str">
        <f aca="false">IF($A69="","",IF(AND(T$2&gt;=09_ガント元データ!$G68,T$2&lt;=09_ガント元データ!$H68),"■",""))</f>
        <v/>
      </c>
      <c r="U69" s="24" t="str">
        <f aca="false">IF($A69="","",IF(AND(U$2&gt;=09_ガント元データ!$G68,U$2&lt;=09_ガント元データ!$H68),"■",""))</f>
        <v/>
      </c>
      <c r="V69" s="24" t="str">
        <f aca="false">IF($A69="","",IF(AND(V$2&gt;=09_ガント元データ!$G68,V$2&lt;=09_ガント元データ!$H68),"■",""))</f>
        <v/>
      </c>
      <c r="W69" s="24" t="str">
        <f aca="false">IF($A69="","",IF(AND(W$2&gt;=09_ガント元データ!$G68,W$2&lt;=09_ガント元データ!$H68),"■",""))</f>
        <v/>
      </c>
      <c r="X69" s="24" t="str">
        <f aca="false">IF($A69="","",IF(AND(X$2&gt;=09_ガント元データ!$G68,X$2&lt;=09_ガント元データ!$H68),"■",""))</f>
        <v/>
      </c>
      <c r="Y69" s="24" t="str">
        <f aca="false">IF($A69="","",IF(AND(Y$2&gt;=09_ガント元データ!$G68,Y$2&lt;=09_ガント元データ!$H68),"■",""))</f>
        <v/>
      </c>
      <c r="Z69" s="24" t="str">
        <f aca="false">IF($A69="","",IF(AND(Z$2&gt;=09_ガント元データ!$G68,Z$2&lt;=09_ガント元データ!$H68),"■",""))</f>
        <v/>
      </c>
      <c r="AA69" s="24" t="str">
        <f aca="false">IF($A69="","",IF(AND(AA$2&gt;=09_ガント元データ!$G68,AA$2&lt;=09_ガント元データ!$H68),"■",""))</f>
        <v/>
      </c>
      <c r="AB69" s="24" t="str">
        <f aca="false">IF($A69="","",IF(AND(AB$2&gt;=09_ガント元データ!$G68,AB$2&lt;=09_ガント元データ!$H68),"■",""))</f>
        <v/>
      </c>
      <c r="AC69" s="24" t="str">
        <f aca="false">IF($A69="","",IF(AND(AC$2&gt;=09_ガント元データ!$G68,AC$2&lt;=09_ガント元データ!$H68),"■",""))</f>
        <v/>
      </c>
      <c r="AD69" s="24" t="str">
        <f aca="false">IF($A69="","",IF(AND(AD$2&gt;=09_ガント元データ!$G68,AD$2&lt;=09_ガント元データ!$H68),"■",""))</f>
        <v/>
      </c>
      <c r="AE69" s="24" t="str">
        <f aca="false">IF($A69="","",IF(AND(AE$2&gt;=09_ガント元データ!$G68,AE$2&lt;=09_ガント元データ!$H68),"■",""))</f>
        <v/>
      </c>
      <c r="AF69" s="24" t="str">
        <f aca="false">IF($A69="","",IF(AND(AF$2&gt;=09_ガント元データ!$G68,AF$2&lt;=09_ガント元データ!$H68),"■",""))</f>
        <v/>
      </c>
      <c r="AG69" s="24" t="str">
        <f aca="false">IF($A69="","",IF(AND(AG$2&gt;=09_ガント元データ!$G68,AG$2&lt;=09_ガント元データ!$H68),"■",""))</f>
        <v/>
      </c>
      <c r="AH69" s="24" t="str">
        <f aca="false">IF($A69="","",IF(AND(AH$2&gt;=09_ガント元データ!$G68,AH$2&lt;=09_ガント元データ!$H68),"■",""))</f>
        <v/>
      </c>
      <c r="AI69" s="24" t="str">
        <f aca="false">IF($A69="","",IF(AND(AI$2&gt;=09_ガント元データ!$G68,AI$2&lt;=09_ガント元データ!$H68),"■",""))</f>
        <v/>
      </c>
      <c r="AJ69" s="24" t="str">
        <f aca="false">IF($A69="","",IF(AND(AJ$2&gt;=09_ガント元データ!$G68,AJ$2&lt;=09_ガント元データ!$H68),"■",""))</f>
        <v/>
      </c>
      <c r="AK69" s="24" t="str">
        <f aca="false">IF($A69="","",IF(AND(AK$2&gt;=09_ガント元データ!$G68,AK$2&lt;=09_ガント元データ!$H68),"■",""))</f>
        <v/>
      </c>
      <c r="AL69" s="24" t="str">
        <f aca="false">IF($A69="","",IF(AND(AL$2&gt;=09_ガント元データ!$G68,AL$2&lt;=09_ガント元データ!$H68),"■",""))</f>
        <v/>
      </c>
      <c r="AM69" s="24" t="str">
        <f aca="false">IF($A69="","",IF(AND(AM$2&gt;=09_ガント元データ!$G68,AM$2&lt;=09_ガント元データ!$H68),"■",""))</f>
        <v/>
      </c>
    </row>
    <row r="70" customFormat="false" ht="15" hidden="false" customHeight="false" outlineLevel="0" collapsed="false">
      <c r="A70" s="22" t="str">
        <f aca="false">09_ガント元データ!A69</f>
        <v/>
      </c>
      <c r="B70" s="22" t="str">
        <f aca="false">09_ガント元データ!B69</f>
        <v/>
      </c>
      <c r="C70" s="23" t="str">
        <f aca="false">09_ガント元データ!C69</f>
        <v/>
      </c>
      <c r="D70" s="24" t="str">
        <f aca="false">IF($A70="","",IF(AND(D$2&gt;=09_ガント元データ!$G69,D$2&lt;=09_ガント元データ!$H69),"■",""))</f>
        <v/>
      </c>
      <c r="E70" s="24" t="str">
        <f aca="false">IF($A70="","",IF(AND(E$2&gt;=09_ガント元データ!$G69,E$2&lt;=09_ガント元データ!$H69),"■",""))</f>
        <v/>
      </c>
      <c r="F70" s="24" t="str">
        <f aca="false">IF($A70="","",IF(AND(F$2&gt;=09_ガント元データ!$G69,F$2&lt;=09_ガント元データ!$H69),"■",""))</f>
        <v/>
      </c>
      <c r="G70" s="24" t="str">
        <f aca="false">IF($A70="","",IF(AND(G$2&gt;=09_ガント元データ!$G69,G$2&lt;=09_ガント元データ!$H69),"■",""))</f>
        <v/>
      </c>
      <c r="H70" s="24" t="str">
        <f aca="false">IF($A70="","",IF(AND(H$2&gt;=09_ガント元データ!$G69,H$2&lt;=09_ガント元データ!$H69),"■",""))</f>
        <v/>
      </c>
      <c r="I70" s="24" t="str">
        <f aca="false">IF($A70="","",IF(AND(I$2&gt;=09_ガント元データ!$G69,I$2&lt;=09_ガント元データ!$H69),"■",""))</f>
        <v/>
      </c>
      <c r="J70" s="24" t="str">
        <f aca="false">IF($A70="","",IF(AND(J$2&gt;=09_ガント元データ!$G69,J$2&lt;=09_ガント元データ!$H69),"■",""))</f>
        <v/>
      </c>
      <c r="K70" s="24" t="str">
        <f aca="false">IF($A70="","",IF(AND(K$2&gt;=09_ガント元データ!$G69,K$2&lt;=09_ガント元データ!$H69),"■",""))</f>
        <v/>
      </c>
      <c r="L70" s="24" t="str">
        <f aca="false">IF($A70="","",IF(AND(L$2&gt;=09_ガント元データ!$G69,L$2&lt;=09_ガント元データ!$H69),"■",""))</f>
        <v/>
      </c>
      <c r="M70" s="24" t="str">
        <f aca="false">IF($A70="","",IF(AND(M$2&gt;=09_ガント元データ!$G69,M$2&lt;=09_ガント元データ!$H69),"■",""))</f>
        <v/>
      </c>
      <c r="N70" s="24" t="str">
        <f aca="false">IF($A70="","",IF(AND(N$2&gt;=09_ガント元データ!$G69,N$2&lt;=09_ガント元データ!$H69),"■",""))</f>
        <v/>
      </c>
      <c r="O70" s="24" t="str">
        <f aca="false">IF($A70="","",IF(AND(O$2&gt;=09_ガント元データ!$G69,O$2&lt;=09_ガント元データ!$H69),"■",""))</f>
        <v/>
      </c>
      <c r="P70" s="24" t="str">
        <f aca="false">IF($A70="","",IF(AND(P$2&gt;=09_ガント元データ!$G69,P$2&lt;=09_ガント元データ!$H69),"■",""))</f>
        <v/>
      </c>
      <c r="Q70" s="24" t="str">
        <f aca="false">IF($A70="","",IF(AND(Q$2&gt;=09_ガント元データ!$G69,Q$2&lt;=09_ガント元データ!$H69),"■",""))</f>
        <v/>
      </c>
      <c r="R70" s="24" t="str">
        <f aca="false">IF($A70="","",IF(AND(R$2&gt;=09_ガント元データ!$G69,R$2&lt;=09_ガント元データ!$H69),"■",""))</f>
        <v/>
      </c>
      <c r="S70" s="24" t="str">
        <f aca="false">IF($A70="","",IF(AND(S$2&gt;=09_ガント元データ!$G69,S$2&lt;=09_ガント元データ!$H69),"■",""))</f>
        <v/>
      </c>
      <c r="T70" s="24" t="str">
        <f aca="false">IF($A70="","",IF(AND(T$2&gt;=09_ガント元データ!$G69,T$2&lt;=09_ガント元データ!$H69),"■",""))</f>
        <v/>
      </c>
      <c r="U70" s="24" t="str">
        <f aca="false">IF($A70="","",IF(AND(U$2&gt;=09_ガント元データ!$G69,U$2&lt;=09_ガント元データ!$H69),"■",""))</f>
        <v/>
      </c>
      <c r="V70" s="24" t="str">
        <f aca="false">IF($A70="","",IF(AND(V$2&gt;=09_ガント元データ!$G69,V$2&lt;=09_ガント元データ!$H69),"■",""))</f>
        <v/>
      </c>
      <c r="W70" s="24" t="str">
        <f aca="false">IF($A70="","",IF(AND(W$2&gt;=09_ガント元データ!$G69,W$2&lt;=09_ガント元データ!$H69),"■",""))</f>
        <v/>
      </c>
      <c r="X70" s="24" t="str">
        <f aca="false">IF($A70="","",IF(AND(X$2&gt;=09_ガント元データ!$G69,X$2&lt;=09_ガント元データ!$H69),"■",""))</f>
        <v/>
      </c>
      <c r="Y70" s="24" t="str">
        <f aca="false">IF($A70="","",IF(AND(Y$2&gt;=09_ガント元データ!$G69,Y$2&lt;=09_ガント元データ!$H69),"■",""))</f>
        <v/>
      </c>
      <c r="Z70" s="24" t="str">
        <f aca="false">IF($A70="","",IF(AND(Z$2&gt;=09_ガント元データ!$G69,Z$2&lt;=09_ガント元データ!$H69),"■",""))</f>
        <v/>
      </c>
      <c r="AA70" s="24" t="str">
        <f aca="false">IF($A70="","",IF(AND(AA$2&gt;=09_ガント元データ!$G69,AA$2&lt;=09_ガント元データ!$H69),"■",""))</f>
        <v/>
      </c>
      <c r="AB70" s="24" t="str">
        <f aca="false">IF($A70="","",IF(AND(AB$2&gt;=09_ガント元データ!$G69,AB$2&lt;=09_ガント元データ!$H69),"■",""))</f>
        <v/>
      </c>
      <c r="AC70" s="24" t="str">
        <f aca="false">IF($A70="","",IF(AND(AC$2&gt;=09_ガント元データ!$G69,AC$2&lt;=09_ガント元データ!$H69),"■",""))</f>
        <v/>
      </c>
      <c r="AD70" s="24" t="str">
        <f aca="false">IF($A70="","",IF(AND(AD$2&gt;=09_ガント元データ!$G69,AD$2&lt;=09_ガント元データ!$H69),"■",""))</f>
        <v/>
      </c>
      <c r="AE70" s="24" t="str">
        <f aca="false">IF($A70="","",IF(AND(AE$2&gt;=09_ガント元データ!$G69,AE$2&lt;=09_ガント元データ!$H69),"■",""))</f>
        <v/>
      </c>
      <c r="AF70" s="24" t="str">
        <f aca="false">IF($A70="","",IF(AND(AF$2&gt;=09_ガント元データ!$G69,AF$2&lt;=09_ガント元データ!$H69),"■",""))</f>
        <v/>
      </c>
      <c r="AG70" s="24" t="str">
        <f aca="false">IF($A70="","",IF(AND(AG$2&gt;=09_ガント元データ!$G69,AG$2&lt;=09_ガント元データ!$H69),"■",""))</f>
        <v/>
      </c>
      <c r="AH70" s="24" t="str">
        <f aca="false">IF($A70="","",IF(AND(AH$2&gt;=09_ガント元データ!$G69,AH$2&lt;=09_ガント元データ!$H69),"■",""))</f>
        <v/>
      </c>
      <c r="AI70" s="24" t="str">
        <f aca="false">IF($A70="","",IF(AND(AI$2&gt;=09_ガント元データ!$G69,AI$2&lt;=09_ガント元データ!$H69),"■",""))</f>
        <v/>
      </c>
      <c r="AJ70" s="24" t="str">
        <f aca="false">IF($A70="","",IF(AND(AJ$2&gt;=09_ガント元データ!$G69,AJ$2&lt;=09_ガント元データ!$H69),"■",""))</f>
        <v/>
      </c>
      <c r="AK70" s="24" t="str">
        <f aca="false">IF($A70="","",IF(AND(AK$2&gt;=09_ガント元データ!$G69,AK$2&lt;=09_ガント元データ!$H69),"■",""))</f>
        <v/>
      </c>
      <c r="AL70" s="24" t="str">
        <f aca="false">IF($A70="","",IF(AND(AL$2&gt;=09_ガント元データ!$G69,AL$2&lt;=09_ガント元データ!$H69),"■",""))</f>
        <v/>
      </c>
      <c r="AM70" s="24" t="str">
        <f aca="false">IF($A70="","",IF(AND(AM$2&gt;=09_ガント元データ!$G69,AM$2&lt;=09_ガント元データ!$H69),"■",""))</f>
        <v/>
      </c>
    </row>
    <row r="71" customFormat="false" ht="15" hidden="false" customHeight="false" outlineLevel="0" collapsed="false">
      <c r="A71" s="22" t="str">
        <f aca="false">09_ガント元データ!A70</f>
        <v/>
      </c>
      <c r="B71" s="22" t="str">
        <f aca="false">09_ガント元データ!B70</f>
        <v/>
      </c>
      <c r="C71" s="23" t="str">
        <f aca="false">09_ガント元データ!C70</f>
        <v/>
      </c>
      <c r="D71" s="24" t="str">
        <f aca="false">IF($A71="","",IF(AND(D$2&gt;=09_ガント元データ!$G70,D$2&lt;=09_ガント元データ!$H70),"■",""))</f>
        <v/>
      </c>
      <c r="E71" s="24" t="str">
        <f aca="false">IF($A71="","",IF(AND(E$2&gt;=09_ガント元データ!$G70,E$2&lt;=09_ガント元データ!$H70),"■",""))</f>
        <v/>
      </c>
      <c r="F71" s="24" t="str">
        <f aca="false">IF($A71="","",IF(AND(F$2&gt;=09_ガント元データ!$G70,F$2&lt;=09_ガント元データ!$H70),"■",""))</f>
        <v/>
      </c>
      <c r="G71" s="24" t="str">
        <f aca="false">IF($A71="","",IF(AND(G$2&gt;=09_ガント元データ!$G70,G$2&lt;=09_ガント元データ!$H70),"■",""))</f>
        <v/>
      </c>
      <c r="H71" s="24" t="str">
        <f aca="false">IF($A71="","",IF(AND(H$2&gt;=09_ガント元データ!$G70,H$2&lt;=09_ガント元データ!$H70),"■",""))</f>
        <v/>
      </c>
      <c r="I71" s="24" t="str">
        <f aca="false">IF($A71="","",IF(AND(I$2&gt;=09_ガント元データ!$G70,I$2&lt;=09_ガント元データ!$H70),"■",""))</f>
        <v/>
      </c>
      <c r="J71" s="24" t="str">
        <f aca="false">IF($A71="","",IF(AND(J$2&gt;=09_ガント元データ!$G70,J$2&lt;=09_ガント元データ!$H70),"■",""))</f>
        <v/>
      </c>
      <c r="K71" s="24" t="str">
        <f aca="false">IF($A71="","",IF(AND(K$2&gt;=09_ガント元データ!$G70,K$2&lt;=09_ガント元データ!$H70),"■",""))</f>
        <v/>
      </c>
      <c r="L71" s="24" t="str">
        <f aca="false">IF($A71="","",IF(AND(L$2&gt;=09_ガント元データ!$G70,L$2&lt;=09_ガント元データ!$H70),"■",""))</f>
        <v/>
      </c>
      <c r="M71" s="24" t="str">
        <f aca="false">IF($A71="","",IF(AND(M$2&gt;=09_ガント元データ!$G70,M$2&lt;=09_ガント元データ!$H70),"■",""))</f>
        <v/>
      </c>
      <c r="N71" s="24" t="str">
        <f aca="false">IF($A71="","",IF(AND(N$2&gt;=09_ガント元データ!$G70,N$2&lt;=09_ガント元データ!$H70),"■",""))</f>
        <v/>
      </c>
      <c r="O71" s="24" t="str">
        <f aca="false">IF($A71="","",IF(AND(O$2&gt;=09_ガント元データ!$G70,O$2&lt;=09_ガント元データ!$H70),"■",""))</f>
        <v/>
      </c>
      <c r="P71" s="24" t="str">
        <f aca="false">IF($A71="","",IF(AND(P$2&gt;=09_ガント元データ!$G70,P$2&lt;=09_ガント元データ!$H70),"■",""))</f>
        <v/>
      </c>
      <c r="Q71" s="24" t="str">
        <f aca="false">IF($A71="","",IF(AND(Q$2&gt;=09_ガント元データ!$G70,Q$2&lt;=09_ガント元データ!$H70),"■",""))</f>
        <v/>
      </c>
      <c r="R71" s="24" t="str">
        <f aca="false">IF($A71="","",IF(AND(R$2&gt;=09_ガント元データ!$G70,R$2&lt;=09_ガント元データ!$H70),"■",""))</f>
        <v/>
      </c>
      <c r="S71" s="24" t="str">
        <f aca="false">IF($A71="","",IF(AND(S$2&gt;=09_ガント元データ!$G70,S$2&lt;=09_ガント元データ!$H70),"■",""))</f>
        <v/>
      </c>
      <c r="T71" s="24" t="str">
        <f aca="false">IF($A71="","",IF(AND(T$2&gt;=09_ガント元データ!$G70,T$2&lt;=09_ガント元データ!$H70),"■",""))</f>
        <v/>
      </c>
      <c r="U71" s="24" t="str">
        <f aca="false">IF($A71="","",IF(AND(U$2&gt;=09_ガント元データ!$G70,U$2&lt;=09_ガント元データ!$H70),"■",""))</f>
        <v/>
      </c>
      <c r="V71" s="24" t="str">
        <f aca="false">IF($A71="","",IF(AND(V$2&gt;=09_ガント元データ!$G70,V$2&lt;=09_ガント元データ!$H70),"■",""))</f>
        <v/>
      </c>
      <c r="W71" s="24" t="str">
        <f aca="false">IF($A71="","",IF(AND(W$2&gt;=09_ガント元データ!$G70,W$2&lt;=09_ガント元データ!$H70),"■",""))</f>
        <v/>
      </c>
      <c r="X71" s="24" t="str">
        <f aca="false">IF($A71="","",IF(AND(X$2&gt;=09_ガント元データ!$G70,X$2&lt;=09_ガント元データ!$H70),"■",""))</f>
        <v/>
      </c>
      <c r="Y71" s="24" t="str">
        <f aca="false">IF($A71="","",IF(AND(Y$2&gt;=09_ガント元データ!$G70,Y$2&lt;=09_ガント元データ!$H70),"■",""))</f>
        <v/>
      </c>
      <c r="Z71" s="24" t="str">
        <f aca="false">IF($A71="","",IF(AND(Z$2&gt;=09_ガント元データ!$G70,Z$2&lt;=09_ガント元データ!$H70),"■",""))</f>
        <v/>
      </c>
      <c r="AA71" s="24" t="str">
        <f aca="false">IF($A71="","",IF(AND(AA$2&gt;=09_ガント元データ!$G70,AA$2&lt;=09_ガント元データ!$H70),"■",""))</f>
        <v/>
      </c>
      <c r="AB71" s="24" t="str">
        <f aca="false">IF($A71="","",IF(AND(AB$2&gt;=09_ガント元データ!$G70,AB$2&lt;=09_ガント元データ!$H70),"■",""))</f>
        <v/>
      </c>
      <c r="AC71" s="24" t="str">
        <f aca="false">IF($A71="","",IF(AND(AC$2&gt;=09_ガント元データ!$G70,AC$2&lt;=09_ガント元データ!$H70),"■",""))</f>
        <v/>
      </c>
      <c r="AD71" s="24" t="str">
        <f aca="false">IF($A71="","",IF(AND(AD$2&gt;=09_ガント元データ!$G70,AD$2&lt;=09_ガント元データ!$H70),"■",""))</f>
        <v/>
      </c>
      <c r="AE71" s="24" t="str">
        <f aca="false">IF($A71="","",IF(AND(AE$2&gt;=09_ガント元データ!$G70,AE$2&lt;=09_ガント元データ!$H70),"■",""))</f>
        <v/>
      </c>
      <c r="AF71" s="24" t="str">
        <f aca="false">IF($A71="","",IF(AND(AF$2&gt;=09_ガント元データ!$G70,AF$2&lt;=09_ガント元データ!$H70),"■",""))</f>
        <v/>
      </c>
      <c r="AG71" s="24" t="str">
        <f aca="false">IF($A71="","",IF(AND(AG$2&gt;=09_ガント元データ!$G70,AG$2&lt;=09_ガント元データ!$H70),"■",""))</f>
        <v/>
      </c>
      <c r="AH71" s="24" t="str">
        <f aca="false">IF($A71="","",IF(AND(AH$2&gt;=09_ガント元データ!$G70,AH$2&lt;=09_ガント元データ!$H70),"■",""))</f>
        <v/>
      </c>
      <c r="AI71" s="24" t="str">
        <f aca="false">IF($A71="","",IF(AND(AI$2&gt;=09_ガント元データ!$G70,AI$2&lt;=09_ガント元データ!$H70),"■",""))</f>
        <v/>
      </c>
      <c r="AJ71" s="24" t="str">
        <f aca="false">IF($A71="","",IF(AND(AJ$2&gt;=09_ガント元データ!$G70,AJ$2&lt;=09_ガント元データ!$H70),"■",""))</f>
        <v/>
      </c>
      <c r="AK71" s="24" t="str">
        <f aca="false">IF($A71="","",IF(AND(AK$2&gt;=09_ガント元データ!$G70,AK$2&lt;=09_ガント元データ!$H70),"■",""))</f>
        <v/>
      </c>
      <c r="AL71" s="24" t="str">
        <f aca="false">IF($A71="","",IF(AND(AL$2&gt;=09_ガント元データ!$G70,AL$2&lt;=09_ガント元データ!$H70),"■",""))</f>
        <v/>
      </c>
      <c r="AM71" s="24" t="str">
        <f aca="false">IF($A71="","",IF(AND(AM$2&gt;=09_ガント元データ!$G70,AM$2&lt;=09_ガント元データ!$H70),"■",""))</f>
        <v/>
      </c>
    </row>
    <row r="72" customFormat="false" ht="15" hidden="false" customHeight="false" outlineLevel="0" collapsed="false">
      <c r="A72" s="22" t="str">
        <f aca="false">09_ガント元データ!A71</f>
        <v/>
      </c>
      <c r="B72" s="22" t="str">
        <f aca="false">09_ガント元データ!B71</f>
        <v/>
      </c>
      <c r="C72" s="23" t="str">
        <f aca="false">09_ガント元データ!C71</f>
        <v/>
      </c>
      <c r="D72" s="24" t="str">
        <f aca="false">IF($A72="","",IF(AND(D$2&gt;=09_ガント元データ!$G71,D$2&lt;=09_ガント元データ!$H71),"■",""))</f>
        <v/>
      </c>
      <c r="E72" s="24" t="str">
        <f aca="false">IF($A72="","",IF(AND(E$2&gt;=09_ガント元データ!$G71,E$2&lt;=09_ガント元データ!$H71),"■",""))</f>
        <v/>
      </c>
      <c r="F72" s="24" t="str">
        <f aca="false">IF($A72="","",IF(AND(F$2&gt;=09_ガント元データ!$G71,F$2&lt;=09_ガント元データ!$H71),"■",""))</f>
        <v/>
      </c>
      <c r="G72" s="24" t="str">
        <f aca="false">IF($A72="","",IF(AND(G$2&gt;=09_ガント元データ!$G71,G$2&lt;=09_ガント元データ!$H71),"■",""))</f>
        <v/>
      </c>
      <c r="H72" s="24" t="str">
        <f aca="false">IF($A72="","",IF(AND(H$2&gt;=09_ガント元データ!$G71,H$2&lt;=09_ガント元データ!$H71),"■",""))</f>
        <v/>
      </c>
      <c r="I72" s="24" t="str">
        <f aca="false">IF($A72="","",IF(AND(I$2&gt;=09_ガント元データ!$G71,I$2&lt;=09_ガント元データ!$H71),"■",""))</f>
        <v/>
      </c>
      <c r="J72" s="24" t="str">
        <f aca="false">IF($A72="","",IF(AND(J$2&gt;=09_ガント元データ!$G71,J$2&lt;=09_ガント元データ!$H71),"■",""))</f>
        <v/>
      </c>
      <c r="K72" s="24" t="str">
        <f aca="false">IF($A72="","",IF(AND(K$2&gt;=09_ガント元データ!$G71,K$2&lt;=09_ガント元データ!$H71),"■",""))</f>
        <v/>
      </c>
      <c r="L72" s="24" t="str">
        <f aca="false">IF($A72="","",IF(AND(L$2&gt;=09_ガント元データ!$G71,L$2&lt;=09_ガント元データ!$H71),"■",""))</f>
        <v/>
      </c>
      <c r="M72" s="24" t="str">
        <f aca="false">IF($A72="","",IF(AND(M$2&gt;=09_ガント元データ!$G71,M$2&lt;=09_ガント元データ!$H71),"■",""))</f>
        <v/>
      </c>
      <c r="N72" s="24" t="str">
        <f aca="false">IF($A72="","",IF(AND(N$2&gt;=09_ガント元データ!$G71,N$2&lt;=09_ガント元データ!$H71),"■",""))</f>
        <v/>
      </c>
      <c r="O72" s="24" t="str">
        <f aca="false">IF($A72="","",IF(AND(O$2&gt;=09_ガント元データ!$G71,O$2&lt;=09_ガント元データ!$H71),"■",""))</f>
        <v/>
      </c>
      <c r="P72" s="24" t="str">
        <f aca="false">IF($A72="","",IF(AND(P$2&gt;=09_ガント元データ!$G71,P$2&lt;=09_ガント元データ!$H71),"■",""))</f>
        <v/>
      </c>
      <c r="Q72" s="24" t="str">
        <f aca="false">IF($A72="","",IF(AND(Q$2&gt;=09_ガント元データ!$G71,Q$2&lt;=09_ガント元データ!$H71),"■",""))</f>
        <v/>
      </c>
      <c r="R72" s="24" t="str">
        <f aca="false">IF($A72="","",IF(AND(R$2&gt;=09_ガント元データ!$G71,R$2&lt;=09_ガント元データ!$H71),"■",""))</f>
        <v/>
      </c>
      <c r="S72" s="24" t="str">
        <f aca="false">IF($A72="","",IF(AND(S$2&gt;=09_ガント元データ!$G71,S$2&lt;=09_ガント元データ!$H71),"■",""))</f>
        <v/>
      </c>
      <c r="T72" s="24" t="str">
        <f aca="false">IF($A72="","",IF(AND(T$2&gt;=09_ガント元データ!$G71,T$2&lt;=09_ガント元データ!$H71),"■",""))</f>
        <v/>
      </c>
      <c r="U72" s="24" t="str">
        <f aca="false">IF($A72="","",IF(AND(U$2&gt;=09_ガント元データ!$G71,U$2&lt;=09_ガント元データ!$H71),"■",""))</f>
        <v/>
      </c>
      <c r="V72" s="24" t="str">
        <f aca="false">IF($A72="","",IF(AND(V$2&gt;=09_ガント元データ!$G71,V$2&lt;=09_ガント元データ!$H71),"■",""))</f>
        <v/>
      </c>
      <c r="W72" s="24" t="str">
        <f aca="false">IF($A72="","",IF(AND(W$2&gt;=09_ガント元データ!$G71,W$2&lt;=09_ガント元データ!$H71),"■",""))</f>
        <v/>
      </c>
      <c r="X72" s="24" t="str">
        <f aca="false">IF($A72="","",IF(AND(X$2&gt;=09_ガント元データ!$G71,X$2&lt;=09_ガント元データ!$H71),"■",""))</f>
        <v/>
      </c>
      <c r="Y72" s="24" t="str">
        <f aca="false">IF($A72="","",IF(AND(Y$2&gt;=09_ガント元データ!$G71,Y$2&lt;=09_ガント元データ!$H71),"■",""))</f>
        <v/>
      </c>
      <c r="Z72" s="24" t="str">
        <f aca="false">IF($A72="","",IF(AND(Z$2&gt;=09_ガント元データ!$G71,Z$2&lt;=09_ガント元データ!$H71),"■",""))</f>
        <v/>
      </c>
      <c r="AA72" s="24" t="str">
        <f aca="false">IF($A72="","",IF(AND(AA$2&gt;=09_ガント元データ!$G71,AA$2&lt;=09_ガント元データ!$H71),"■",""))</f>
        <v/>
      </c>
      <c r="AB72" s="24" t="str">
        <f aca="false">IF($A72="","",IF(AND(AB$2&gt;=09_ガント元データ!$G71,AB$2&lt;=09_ガント元データ!$H71),"■",""))</f>
        <v/>
      </c>
      <c r="AC72" s="24" t="str">
        <f aca="false">IF($A72="","",IF(AND(AC$2&gt;=09_ガント元データ!$G71,AC$2&lt;=09_ガント元データ!$H71),"■",""))</f>
        <v/>
      </c>
      <c r="AD72" s="24" t="str">
        <f aca="false">IF($A72="","",IF(AND(AD$2&gt;=09_ガント元データ!$G71,AD$2&lt;=09_ガント元データ!$H71),"■",""))</f>
        <v/>
      </c>
      <c r="AE72" s="24" t="str">
        <f aca="false">IF($A72="","",IF(AND(AE$2&gt;=09_ガント元データ!$G71,AE$2&lt;=09_ガント元データ!$H71),"■",""))</f>
        <v/>
      </c>
      <c r="AF72" s="24" t="str">
        <f aca="false">IF($A72="","",IF(AND(AF$2&gt;=09_ガント元データ!$G71,AF$2&lt;=09_ガント元データ!$H71),"■",""))</f>
        <v/>
      </c>
      <c r="AG72" s="24" t="str">
        <f aca="false">IF($A72="","",IF(AND(AG$2&gt;=09_ガント元データ!$G71,AG$2&lt;=09_ガント元データ!$H71),"■",""))</f>
        <v/>
      </c>
      <c r="AH72" s="24" t="str">
        <f aca="false">IF($A72="","",IF(AND(AH$2&gt;=09_ガント元データ!$G71,AH$2&lt;=09_ガント元データ!$H71),"■",""))</f>
        <v/>
      </c>
      <c r="AI72" s="24" t="str">
        <f aca="false">IF($A72="","",IF(AND(AI$2&gt;=09_ガント元データ!$G71,AI$2&lt;=09_ガント元データ!$H71),"■",""))</f>
        <v/>
      </c>
      <c r="AJ72" s="24" t="str">
        <f aca="false">IF($A72="","",IF(AND(AJ$2&gt;=09_ガント元データ!$G71,AJ$2&lt;=09_ガント元データ!$H71),"■",""))</f>
        <v/>
      </c>
      <c r="AK72" s="24" t="str">
        <f aca="false">IF($A72="","",IF(AND(AK$2&gt;=09_ガント元データ!$G71,AK$2&lt;=09_ガント元データ!$H71),"■",""))</f>
        <v/>
      </c>
      <c r="AL72" s="24" t="str">
        <f aca="false">IF($A72="","",IF(AND(AL$2&gt;=09_ガント元データ!$G71,AL$2&lt;=09_ガント元データ!$H71),"■",""))</f>
        <v/>
      </c>
      <c r="AM72" s="24" t="str">
        <f aca="false">IF($A72="","",IF(AND(AM$2&gt;=09_ガント元データ!$G71,AM$2&lt;=09_ガント元データ!$H71),"■",""))</f>
        <v/>
      </c>
    </row>
    <row r="73" customFormat="false" ht="15" hidden="false" customHeight="false" outlineLevel="0" collapsed="false">
      <c r="A73" s="22" t="str">
        <f aca="false">09_ガント元データ!A72</f>
        <v/>
      </c>
      <c r="B73" s="22" t="str">
        <f aca="false">09_ガント元データ!B72</f>
        <v/>
      </c>
      <c r="C73" s="23" t="str">
        <f aca="false">09_ガント元データ!C72</f>
        <v/>
      </c>
      <c r="D73" s="24" t="str">
        <f aca="false">IF($A73="","",IF(AND(D$2&gt;=09_ガント元データ!$G72,D$2&lt;=09_ガント元データ!$H72),"■",""))</f>
        <v/>
      </c>
      <c r="E73" s="24" t="str">
        <f aca="false">IF($A73="","",IF(AND(E$2&gt;=09_ガント元データ!$G72,E$2&lt;=09_ガント元データ!$H72),"■",""))</f>
        <v/>
      </c>
      <c r="F73" s="24" t="str">
        <f aca="false">IF($A73="","",IF(AND(F$2&gt;=09_ガント元データ!$G72,F$2&lt;=09_ガント元データ!$H72),"■",""))</f>
        <v/>
      </c>
      <c r="G73" s="24" t="str">
        <f aca="false">IF($A73="","",IF(AND(G$2&gt;=09_ガント元データ!$G72,G$2&lt;=09_ガント元データ!$H72),"■",""))</f>
        <v/>
      </c>
      <c r="H73" s="24" t="str">
        <f aca="false">IF($A73="","",IF(AND(H$2&gt;=09_ガント元データ!$G72,H$2&lt;=09_ガント元データ!$H72),"■",""))</f>
        <v/>
      </c>
      <c r="I73" s="24" t="str">
        <f aca="false">IF($A73="","",IF(AND(I$2&gt;=09_ガント元データ!$G72,I$2&lt;=09_ガント元データ!$H72),"■",""))</f>
        <v/>
      </c>
      <c r="J73" s="24" t="str">
        <f aca="false">IF($A73="","",IF(AND(J$2&gt;=09_ガント元データ!$G72,J$2&lt;=09_ガント元データ!$H72),"■",""))</f>
        <v/>
      </c>
      <c r="K73" s="24" t="str">
        <f aca="false">IF($A73="","",IF(AND(K$2&gt;=09_ガント元データ!$G72,K$2&lt;=09_ガント元データ!$H72),"■",""))</f>
        <v/>
      </c>
      <c r="L73" s="24" t="str">
        <f aca="false">IF($A73="","",IF(AND(L$2&gt;=09_ガント元データ!$G72,L$2&lt;=09_ガント元データ!$H72),"■",""))</f>
        <v/>
      </c>
      <c r="M73" s="24" t="str">
        <f aca="false">IF($A73="","",IF(AND(M$2&gt;=09_ガント元データ!$G72,M$2&lt;=09_ガント元データ!$H72),"■",""))</f>
        <v/>
      </c>
      <c r="N73" s="24" t="str">
        <f aca="false">IF($A73="","",IF(AND(N$2&gt;=09_ガント元データ!$G72,N$2&lt;=09_ガント元データ!$H72),"■",""))</f>
        <v/>
      </c>
      <c r="O73" s="24" t="str">
        <f aca="false">IF($A73="","",IF(AND(O$2&gt;=09_ガント元データ!$G72,O$2&lt;=09_ガント元データ!$H72),"■",""))</f>
        <v/>
      </c>
      <c r="P73" s="24" t="str">
        <f aca="false">IF($A73="","",IF(AND(P$2&gt;=09_ガント元データ!$G72,P$2&lt;=09_ガント元データ!$H72),"■",""))</f>
        <v/>
      </c>
      <c r="Q73" s="24" t="str">
        <f aca="false">IF($A73="","",IF(AND(Q$2&gt;=09_ガント元データ!$G72,Q$2&lt;=09_ガント元データ!$H72),"■",""))</f>
        <v/>
      </c>
      <c r="R73" s="24" t="str">
        <f aca="false">IF($A73="","",IF(AND(R$2&gt;=09_ガント元データ!$G72,R$2&lt;=09_ガント元データ!$H72),"■",""))</f>
        <v/>
      </c>
      <c r="S73" s="24" t="str">
        <f aca="false">IF($A73="","",IF(AND(S$2&gt;=09_ガント元データ!$G72,S$2&lt;=09_ガント元データ!$H72),"■",""))</f>
        <v/>
      </c>
      <c r="T73" s="24" t="str">
        <f aca="false">IF($A73="","",IF(AND(T$2&gt;=09_ガント元データ!$G72,T$2&lt;=09_ガント元データ!$H72),"■",""))</f>
        <v/>
      </c>
      <c r="U73" s="24" t="str">
        <f aca="false">IF($A73="","",IF(AND(U$2&gt;=09_ガント元データ!$G72,U$2&lt;=09_ガント元データ!$H72),"■",""))</f>
        <v/>
      </c>
      <c r="V73" s="24" t="str">
        <f aca="false">IF($A73="","",IF(AND(V$2&gt;=09_ガント元データ!$G72,V$2&lt;=09_ガント元データ!$H72),"■",""))</f>
        <v/>
      </c>
      <c r="W73" s="24" t="str">
        <f aca="false">IF($A73="","",IF(AND(W$2&gt;=09_ガント元データ!$G72,W$2&lt;=09_ガント元データ!$H72),"■",""))</f>
        <v/>
      </c>
      <c r="X73" s="24" t="str">
        <f aca="false">IF($A73="","",IF(AND(X$2&gt;=09_ガント元データ!$G72,X$2&lt;=09_ガント元データ!$H72),"■",""))</f>
        <v/>
      </c>
      <c r="Y73" s="24" t="str">
        <f aca="false">IF($A73="","",IF(AND(Y$2&gt;=09_ガント元データ!$G72,Y$2&lt;=09_ガント元データ!$H72),"■",""))</f>
        <v/>
      </c>
      <c r="Z73" s="24" t="str">
        <f aca="false">IF($A73="","",IF(AND(Z$2&gt;=09_ガント元データ!$G72,Z$2&lt;=09_ガント元データ!$H72),"■",""))</f>
        <v/>
      </c>
      <c r="AA73" s="24" t="str">
        <f aca="false">IF($A73="","",IF(AND(AA$2&gt;=09_ガント元データ!$G72,AA$2&lt;=09_ガント元データ!$H72),"■",""))</f>
        <v/>
      </c>
      <c r="AB73" s="24" t="str">
        <f aca="false">IF($A73="","",IF(AND(AB$2&gt;=09_ガント元データ!$G72,AB$2&lt;=09_ガント元データ!$H72),"■",""))</f>
        <v/>
      </c>
      <c r="AC73" s="24" t="str">
        <f aca="false">IF($A73="","",IF(AND(AC$2&gt;=09_ガント元データ!$G72,AC$2&lt;=09_ガント元データ!$H72),"■",""))</f>
        <v/>
      </c>
      <c r="AD73" s="24" t="str">
        <f aca="false">IF($A73="","",IF(AND(AD$2&gt;=09_ガント元データ!$G72,AD$2&lt;=09_ガント元データ!$H72),"■",""))</f>
        <v/>
      </c>
      <c r="AE73" s="24" t="str">
        <f aca="false">IF($A73="","",IF(AND(AE$2&gt;=09_ガント元データ!$G72,AE$2&lt;=09_ガント元データ!$H72),"■",""))</f>
        <v/>
      </c>
      <c r="AF73" s="24" t="str">
        <f aca="false">IF($A73="","",IF(AND(AF$2&gt;=09_ガント元データ!$G72,AF$2&lt;=09_ガント元データ!$H72),"■",""))</f>
        <v/>
      </c>
      <c r="AG73" s="24" t="str">
        <f aca="false">IF($A73="","",IF(AND(AG$2&gt;=09_ガント元データ!$G72,AG$2&lt;=09_ガント元データ!$H72),"■",""))</f>
        <v/>
      </c>
      <c r="AH73" s="24" t="str">
        <f aca="false">IF($A73="","",IF(AND(AH$2&gt;=09_ガント元データ!$G72,AH$2&lt;=09_ガント元データ!$H72),"■",""))</f>
        <v/>
      </c>
      <c r="AI73" s="24" t="str">
        <f aca="false">IF($A73="","",IF(AND(AI$2&gt;=09_ガント元データ!$G72,AI$2&lt;=09_ガント元データ!$H72),"■",""))</f>
        <v/>
      </c>
      <c r="AJ73" s="24" t="str">
        <f aca="false">IF($A73="","",IF(AND(AJ$2&gt;=09_ガント元データ!$G72,AJ$2&lt;=09_ガント元データ!$H72),"■",""))</f>
        <v/>
      </c>
      <c r="AK73" s="24" t="str">
        <f aca="false">IF($A73="","",IF(AND(AK$2&gt;=09_ガント元データ!$G72,AK$2&lt;=09_ガント元データ!$H72),"■",""))</f>
        <v/>
      </c>
      <c r="AL73" s="24" t="str">
        <f aca="false">IF($A73="","",IF(AND(AL$2&gt;=09_ガント元データ!$G72,AL$2&lt;=09_ガント元データ!$H72),"■",""))</f>
        <v/>
      </c>
      <c r="AM73" s="24" t="str">
        <f aca="false">IF($A73="","",IF(AND(AM$2&gt;=09_ガント元データ!$G72,AM$2&lt;=09_ガント元データ!$H72),"■",""))</f>
        <v/>
      </c>
    </row>
    <row r="74" customFormat="false" ht="15" hidden="false" customHeight="false" outlineLevel="0" collapsed="false">
      <c r="A74" s="22" t="str">
        <f aca="false">09_ガント元データ!A73</f>
        <v/>
      </c>
      <c r="B74" s="22" t="str">
        <f aca="false">09_ガント元データ!B73</f>
        <v/>
      </c>
      <c r="C74" s="23" t="str">
        <f aca="false">09_ガント元データ!C73</f>
        <v/>
      </c>
      <c r="D74" s="24" t="str">
        <f aca="false">IF($A74="","",IF(AND(D$2&gt;=09_ガント元データ!$G73,D$2&lt;=09_ガント元データ!$H73),"■",""))</f>
        <v/>
      </c>
      <c r="E74" s="24" t="str">
        <f aca="false">IF($A74="","",IF(AND(E$2&gt;=09_ガント元データ!$G73,E$2&lt;=09_ガント元データ!$H73),"■",""))</f>
        <v/>
      </c>
      <c r="F74" s="24" t="str">
        <f aca="false">IF($A74="","",IF(AND(F$2&gt;=09_ガント元データ!$G73,F$2&lt;=09_ガント元データ!$H73),"■",""))</f>
        <v/>
      </c>
      <c r="G74" s="24" t="str">
        <f aca="false">IF($A74="","",IF(AND(G$2&gt;=09_ガント元データ!$G73,G$2&lt;=09_ガント元データ!$H73),"■",""))</f>
        <v/>
      </c>
      <c r="H74" s="24" t="str">
        <f aca="false">IF($A74="","",IF(AND(H$2&gt;=09_ガント元データ!$G73,H$2&lt;=09_ガント元データ!$H73),"■",""))</f>
        <v/>
      </c>
      <c r="I74" s="24" t="str">
        <f aca="false">IF($A74="","",IF(AND(I$2&gt;=09_ガント元データ!$G73,I$2&lt;=09_ガント元データ!$H73),"■",""))</f>
        <v/>
      </c>
      <c r="J74" s="24" t="str">
        <f aca="false">IF($A74="","",IF(AND(J$2&gt;=09_ガント元データ!$G73,J$2&lt;=09_ガント元データ!$H73),"■",""))</f>
        <v/>
      </c>
      <c r="K74" s="24" t="str">
        <f aca="false">IF($A74="","",IF(AND(K$2&gt;=09_ガント元データ!$G73,K$2&lt;=09_ガント元データ!$H73),"■",""))</f>
        <v/>
      </c>
      <c r="L74" s="24" t="str">
        <f aca="false">IF($A74="","",IF(AND(L$2&gt;=09_ガント元データ!$G73,L$2&lt;=09_ガント元データ!$H73),"■",""))</f>
        <v/>
      </c>
      <c r="M74" s="24" t="str">
        <f aca="false">IF($A74="","",IF(AND(M$2&gt;=09_ガント元データ!$G73,M$2&lt;=09_ガント元データ!$H73),"■",""))</f>
        <v/>
      </c>
      <c r="N74" s="24" t="str">
        <f aca="false">IF($A74="","",IF(AND(N$2&gt;=09_ガント元データ!$G73,N$2&lt;=09_ガント元データ!$H73),"■",""))</f>
        <v/>
      </c>
      <c r="O74" s="24" t="str">
        <f aca="false">IF($A74="","",IF(AND(O$2&gt;=09_ガント元データ!$G73,O$2&lt;=09_ガント元データ!$H73),"■",""))</f>
        <v/>
      </c>
      <c r="P74" s="24" t="str">
        <f aca="false">IF($A74="","",IF(AND(P$2&gt;=09_ガント元データ!$G73,P$2&lt;=09_ガント元データ!$H73),"■",""))</f>
        <v/>
      </c>
      <c r="Q74" s="24" t="str">
        <f aca="false">IF($A74="","",IF(AND(Q$2&gt;=09_ガント元データ!$G73,Q$2&lt;=09_ガント元データ!$H73),"■",""))</f>
        <v/>
      </c>
      <c r="R74" s="24" t="str">
        <f aca="false">IF($A74="","",IF(AND(R$2&gt;=09_ガント元データ!$G73,R$2&lt;=09_ガント元データ!$H73),"■",""))</f>
        <v/>
      </c>
      <c r="S74" s="24" t="str">
        <f aca="false">IF($A74="","",IF(AND(S$2&gt;=09_ガント元データ!$G73,S$2&lt;=09_ガント元データ!$H73),"■",""))</f>
        <v/>
      </c>
      <c r="T74" s="24" t="str">
        <f aca="false">IF($A74="","",IF(AND(T$2&gt;=09_ガント元データ!$G73,T$2&lt;=09_ガント元データ!$H73),"■",""))</f>
        <v/>
      </c>
      <c r="U74" s="24" t="str">
        <f aca="false">IF($A74="","",IF(AND(U$2&gt;=09_ガント元データ!$G73,U$2&lt;=09_ガント元データ!$H73),"■",""))</f>
        <v/>
      </c>
      <c r="V74" s="24" t="str">
        <f aca="false">IF($A74="","",IF(AND(V$2&gt;=09_ガント元データ!$G73,V$2&lt;=09_ガント元データ!$H73),"■",""))</f>
        <v/>
      </c>
      <c r="W74" s="24" t="str">
        <f aca="false">IF($A74="","",IF(AND(W$2&gt;=09_ガント元データ!$G73,W$2&lt;=09_ガント元データ!$H73),"■",""))</f>
        <v/>
      </c>
      <c r="X74" s="24" t="str">
        <f aca="false">IF($A74="","",IF(AND(X$2&gt;=09_ガント元データ!$G73,X$2&lt;=09_ガント元データ!$H73),"■",""))</f>
        <v/>
      </c>
      <c r="Y74" s="24" t="str">
        <f aca="false">IF($A74="","",IF(AND(Y$2&gt;=09_ガント元データ!$G73,Y$2&lt;=09_ガント元データ!$H73),"■",""))</f>
        <v/>
      </c>
      <c r="Z74" s="24" t="str">
        <f aca="false">IF($A74="","",IF(AND(Z$2&gt;=09_ガント元データ!$G73,Z$2&lt;=09_ガント元データ!$H73),"■",""))</f>
        <v/>
      </c>
      <c r="AA74" s="24" t="str">
        <f aca="false">IF($A74="","",IF(AND(AA$2&gt;=09_ガント元データ!$G73,AA$2&lt;=09_ガント元データ!$H73),"■",""))</f>
        <v/>
      </c>
      <c r="AB74" s="24" t="str">
        <f aca="false">IF($A74="","",IF(AND(AB$2&gt;=09_ガント元データ!$G73,AB$2&lt;=09_ガント元データ!$H73),"■",""))</f>
        <v/>
      </c>
      <c r="AC74" s="24" t="str">
        <f aca="false">IF($A74="","",IF(AND(AC$2&gt;=09_ガント元データ!$G73,AC$2&lt;=09_ガント元データ!$H73),"■",""))</f>
        <v/>
      </c>
      <c r="AD74" s="24" t="str">
        <f aca="false">IF($A74="","",IF(AND(AD$2&gt;=09_ガント元データ!$G73,AD$2&lt;=09_ガント元データ!$H73),"■",""))</f>
        <v/>
      </c>
      <c r="AE74" s="24" t="str">
        <f aca="false">IF($A74="","",IF(AND(AE$2&gt;=09_ガント元データ!$G73,AE$2&lt;=09_ガント元データ!$H73),"■",""))</f>
        <v/>
      </c>
      <c r="AF74" s="24" t="str">
        <f aca="false">IF($A74="","",IF(AND(AF$2&gt;=09_ガント元データ!$G73,AF$2&lt;=09_ガント元データ!$H73),"■",""))</f>
        <v/>
      </c>
      <c r="AG74" s="24" t="str">
        <f aca="false">IF($A74="","",IF(AND(AG$2&gt;=09_ガント元データ!$G73,AG$2&lt;=09_ガント元データ!$H73),"■",""))</f>
        <v/>
      </c>
      <c r="AH74" s="24" t="str">
        <f aca="false">IF($A74="","",IF(AND(AH$2&gt;=09_ガント元データ!$G73,AH$2&lt;=09_ガント元データ!$H73),"■",""))</f>
        <v/>
      </c>
      <c r="AI74" s="24" t="str">
        <f aca="false">IF($A74="","",IF(AND(AI$2&gt;=09_ガント元データ!$G73,AI$2&lt;=09_ガント元データ!$H73),"■",""))</f>
        <v/>
      </c>
      <c r="AJ74" s="24" t="str">
        <f aca="false">IF($A74="","",IF(AND(AJ$2&gt;=09_ガント元データ!$G73,AJ$2&lt;=09_ガント元データ!$H73),"■",""))</f>
        <v/>
      </c>
      <c r="AK74" s="24" t="str">
        <f aca="false">IF($A74="","",IF(AND(AK$2&gt;=09_ガント元データ!$G73,AK$2&lt;=09_ガント元データ!$H73),"■",""))</f>
        <v/>
      </c>
      <c r="AL74" s="24" t="str">
        <f aca="false">IF($A74="","",IF(AND(AL$2&gt;=09_ガント元データ!$G73,AL$2&lt;=09_ガント元データ!$H73),"■",""))</f>
        <v/>
      </c>
      <c r="AM74" s="24" t="str">
        <f aca="false">IF($A74="","",IF(AND(AM$2&gt;=09_ガント元データ!$G73,AM$2&lt;=09_ガント元データ!$H73),"■",""))</f>
        <v/>
      </c>
    </row>
    <row r="75" customFormat="false" ht="15" hidden="false" customHeight="false" outlineLevel="0" collapsed="false">
      <c r="A75" s="22" t="str">
        <f aca="false">09_ガント元データ!A74</f>
        <v/>
      </c>
      <c r="B75" s="22" t="str">
        <f aca="false">09_ガント元データ!B74</f>
        <v/>
      </c>
      <c r="C75" s="23" t="str">
        <f aca="false">09_ガント元データ!C74</f>
        <v/>
      </c>
      <c r="D75" s="24" t="str">
        <f aca="false">IF($A75="","",IF(AND(D$2&gt;=09_ガント元データ!$G74,D$2&lt;=09_ガント元データ!$H74),"■",""))</f>
        <v/>
      </c>
      <c r="E75" s="24" t="str">
        <f aca="false">IF($A75="","",IF(AND(E$2&gt;=09_ガント元データ!$G74,E$2&lt;=09_ガント元データ!$H74),"■",""))</f>
        <v/>
      </c>
      <c r="F75" s="24" t="str">
        <f aca="false">IF($A75="","",IF(AND(F$2&gt;=09_ガント元データ!$G74,F$2&lt;=09_ガント元データ!$H74),"■",""))</f>
        <v/>
      </c>
      <c r="G75" s="24" t="str">
        <f aca="false">IF($A75="","",IF(AND(G$2&gt;=09_ガント元データ!$G74,G$2&lt;=09_ガント元データ!$H74),"■",""))</f>
        <v/>
      </c>
      <c r="H75" s="24" t="str">
        <f aca="false">IF($A75="","",IF(AND(H$2&gt;=09_ガント元データ!$G74,H$2&lt;=09_ガント元データ!$H74),"■",""))</f>
        <v/>
      </c>
      <c r="I75" s="24" t="str">
        <f aca="false">IF($A75="","",IF(AND(I$2&gt;=09_ガント元データ!$G74,I$2&lt;=09_ガント元データ!$H74),"■",""))</f>
        <v/>
      </c>
      <c r="J75" s="24" t="str">
        <f aca="false">IF($A75="","",IF(AND(J$2&gt;=09_ガント元データ!$G74,J$2&lt;=09_ガント元データ!$H74),"■",""))</f>
        <v/>
      </c>
      <c r="K75" s="24" t="str">
        <f aca="false">IF($A75="","",IF(AND(K$2&gt;=09_ガント元データ!$G74,K$2&lt;=09_ガント元データ!$H74),"■",""))</f>
        <v/>
      </c>
      <c r="L75" s="24" t="str">
        <f aca="false">IF($A75="","",IF(AND(L$2&gt;=09_ガント元データ!$G74,L$2&lt;=09_ガント元データ!$H74),"■",""))</f>
        <v/>
      </c>
      <c r="M75" s="24" t="str">
        <f aca="false">IF($A75="","",IF(AND(M$2&gt;=09_ガント元データ!$G74,M$2&lt;=09_ガント元データ!$H74),"■",""))</f>
        <v/>
      </c>
      <c r="N75" s="24" t="str">
        <f aca="false">IF($A75="","",IF(AND(N$2&gt;=09_ガント元データ!$G74,N$2&lt;=09_ガント元データ!$H74),"■",""))</f>
        <v/>
      </c>
      <c r="O75" s="24" t="str">
        <f aca="false">IF($A75="","",IF(AND(O$2&gt;=09_ガント元データ!$G74,O$2&lt;=09_ガント元データ!$H74),"■",""))</f>
        <v/>
      </c>
      <c r="P75" s="24" t="str">
        <f aca="false">IF($A75="","",IF(AND(P$2&gt;=09_ガント元データ!$G74,P$2&lt;=09_ガント元データ!$H74),"■",""))</f>
        <v/>
      </c>
      <c r="Q75" s="24" t="str">
        <f aca="false">IF($A75="","",IF(AND(Q$2&gt;=09_ガント元データ!$G74,Q$2&lt;=09_ガント元データ!$H74),"■",""))</f>
        <v/>
      </c>
      <c r="R75" s="24" t="str">
        <f aca="false">IF($A75="","",IF(AND(R$2&gt;=09_ガント元データ!$G74,R$2&lt;=09_ガント元データ!$H74),"■",""))</f>
        <v/>
      </c>
      <c r="S75" s="24" t="str">
        <f aca="false">IF($A75="","",IF(AND(S$2&gt;=09_ガント元データ!$G74,S$2&lt;=09_ガント元データ!$H74),"■",""))</f>
        <v/>
      </c>
      <c r="T75" s="24" t="str">
        <f aca="false">IF($A75="","",IF(AND(T$2&gt;=09_ガント元データ!$G74,T$2&lt;=09_ガント元データ!$H74),"■",""))</f>
        <v/>
      </c>
      <c r="U75" s="24" t="str">
        <f aca="false">IF($A75="","",IF(AND(U$2&gt;=09_ガント元データ!$G74,U$2&lt;=09_ガント元データ!$H74),"■",""))</f>
        <v/>
      </c>
      <c r="V75" s="24" t="str">
        <f aca="false">IF($A75="","",IF(AND(V$2&gt;=09_ガント元データ!$G74,V$2&lt;=09_ガント元データ!$H74),"■",""))</f>
        <v/>
      </c>
      <c r="W75" s="24" t="str">
        <f aca="false">IF($A75="","",IF(AND(W$2&gt;=09_ガント元データ!$G74,W$2&lt;=09_ガント元データ!$H74),"■",""))</f>
        <v/>
      </c>
      <c r="X75" s="24" t="str">
        <f aca="false">IF($A75="","",IF(AND(X$2&gt;=09_ガント元データ!$G74,X$2&lt;=09_ガント元データ!$H74),"■",""))</f>
        <v/>
      </c>
      <c r="Y75" s="24" t="str">
        <f aca="false">IF($A75="","",IF(AND(Y$2&gt;=09_ガント元データ!$G74,Y$2&lt;=09_ガント元データ!$H74),"■",""))</f>
        <v/>
      </c>
      <c r="Z75" s="24" t="str">
        <f aca="false">IF($A75="","",IF(AND(Z$2&gt;=09_ガント元データ!$G74,Z$2&lt;=09_ガント元データ!$H74),"■",""))</f>
        <v/>
      </c>
      <c r="AA75" s="24" t="str">
        <f aca="false">IF($A75="","",IF(AND(AA$2&gt;=09_ガント元データ!$G74,AA$2&lt;=09_ガント元データ!$H74),"■",""))</f>
        <v/>
      </c>
      <c r="AB75" s="24" t="str">
        <f aca="false">IF($A75="","",IF(AND(AB$2&gt;=09_ガント元データ!$G74,AB$2&lt;=09_ガント元データ!$H74),"■",""))</f>
        <v/>
      </c>
      <c r="AC75" s="24" t="str">
        <f aca="false">IF($A75="","",IF(AND(AC$2&gt;=09_ガント元データ!$G74,AC$2&lt;=09_ガント元データ!$H74),"■",""))</f>
        <v/>
      </c>
      <c r="AD75" s="24" t="str">
        <f aca="false">IF($A75="","",IF(AND(AD$2&gt;=09_ガント元データ!$G74,AD$2&lt;=09_ガント元データ!$H74),"■",""))</f>
        <v/>
      </c>
      <c r="AE75" s="24" t="str">
        <f aca="false">IF($A75="","",IF(AND(AE$2&gt;=09_ガント元データ!$G74,AE$2&lt;=09_ガント元データ!$H74),"■",""))</f>
        <v/>
      </c>
      <c r="AF75" s="24" t="str">
        <f aca="false">IF($A75="","",IF(AND(AF$2&gt;=09_ガント元データ!$G74,AF$2&lt;=09_ガント元データ!$H74),"■",""))</f>
        <v/>
      </c>
      <c r="AG75" s="24" t="str">
        <f aca="false">IF($A75="","",IF(AND(AG$2&gt;=09_ガント元データ!$G74,AG$2&lt;=09_ガント元データ!$H74),"■",""))</f>
        <v/>
      </c>
      <c r="AH75" s="24" t="str">
        <f aca="false">IF($A75="","",IF(AND(AH$2&gt;=09_ガント元データ!$G74,AH$2&lt;=09_ガント元データ!$H74),"■",""))</f>
        <v/>
      </c>
      <c r="AI75" s="24" t="str">
        <f aca="false">IF($A75="","",IF(AND(AI$2&gt;=09_ガント元データ!$G74,AI$2&lt;=09_ガント元データ!$H74),"■",""))</f>
        <v/>
      </c>
      <c r="AJ75" s="24" t="str">
        <f aca="false">IF($A75="","",IF(AND(AJ$2&gt;=09_ガント元データ!$G74,AJ$2&lt;=09_ガント元データ!$H74),"■",""))</f>
        <v/>
      </c>
      <c r="AK75" s="24" t="str">
        <f aca="false">IF($A75="","",IF(AND(AK$2&gt;=09_ガント元データ!$G74,AK$2&lt;=09_ガント元データ!$H74),"■",""))</f>
        <v/>
      </c>
      <c r="AL75" s="24" t="str">
        <f aca="false">IF($A75="","",IF(AND(AL$2&gt;=09_ガント元データ!$G74,AL$2&lt;=09_ガント元データ!$H74),"■",""))</f>
        <v/>
      </c>
      <c r="AM75" s="24" t="str">
        <f aca="false">IF($A75="","",IF(AND(AM$2&gt;=09_ガント元データ!$G74,AM$2&lt;=09_ガント元データ!$H74),"■",""))</f>
        <v/>
      </c>
    </row>
    <row r="76" customFormat="false" ht="15" hidden="false" customHeight="false" outlineLevel="0" collapsed="false">
      <c r="A76" s="22" t="str">
        <f aca="false">09_ガント元データ!A75</f>
        <v/>
      </c>
      <c r="B76" s="22" t="str">
        <f aca="false">09_ガント元データ!B75</f>
        <v/>
      </c>
      <c r="C76" s="23" t="str">
        <f aca="false">09_ガント元データ!C75</f>
        <v/>
      </c>
      <c r="D76" s="24" t="str">
        <f aca="false">IF($A76="","",IF(AND(D$2&gt;=09_ガント元データ!$G75,D$2&lt;=09_ガント元データ!$H75),"■",""))</f>
        <v/>
      </c>
      <c r="E76" s="24" t="str">
        <f aca="false">IF($A76="","",IF(AND(E$2&gt;=09_ガント元データ!$G75,E$2&lt;=09_ガント元データ!$H75),"■",""))</f>
        <v/>
      </c>
      <c r="F76" s="24" t="str">
        <f aca="false">IF($A76="","",IF(AND(F$2&gt;=09_ガント元データ!$G75,F$2&lt;=09_ガント元データ!$H75),"■",""))</f>
        <v/>
      </c>
      <c r="G76" s="24" t="str">
        <f aca="false">IF($A76="","",IF(AND(G$2&gt;=09_ガント元データ!$G75,G$2&lt;=09_ガント元データ!$H75),"■",""))</f>
        <v/>
      </c>
      <c r="H76" s="24" t="str">
        <f aca="false">IF($A76="","",IF(AND(H$2&gt;=09_ガント元データ!$G75,H$2&lt;=09_ガント元データ!$H75),"■",""))</f>
        <v/>
      </c>
      <c r="I76" s="24" t="str">
        <f aca="false">IF($A76="","",IF(AND(I$2&gt;=09_ガント元データ!$G75,I$2&lt;=09_ガント元データ!$H75),"■",""))</f>
        <v/>
      </c>
      <c r="J76" s="24" t="str">
        <f aca="false">IF($A76="","",IF(AND(J$2&gt;=09_ガント元データ!$G75,J$2&lt;=09_ガント元データ!$H75),"■",""))</f>
        <v/>
      </c>
      <c r="K76" s="24" t="str">
        <f aca="false">IF($A76="","",IF(AND(K$2&gt;=09_ガント元データ!$G75,K$2&lt;=09_ガント元データ!$H75),"■",""))</f>
        <v/>
      </c>
      <c r="L76" s="24" t="str">
        <f aca="false">IF($A76="","",IF(AND(L$2&gt;=09_ガント元データ!$G75,L$2&lt;=09_ガント元データ!$H75),"■",""))</f>
        <v/>
      </c>
      <c r="M76" s="24" t="str">
        <f aca="false">IF($A76="","",IF(AND(M$2&gt;=09_ガント元データ!$G75,M$2&lt;=09_ガント元データ!$H75),"■",""))</f>
        <v/>
      </c>
      <c r="N76" s="24" t="str">
        <f aca="false">IF($A76="","",IF(AND(N$2&gt;=09_ガント元データ!$G75,N$2&lt;=09_ガント元データ!$H75),"■",""))</f>
        <v/>
      </c>
      <c r="O76" s="24" t="str">
        <f aca="false">IF($A76="","",IF(AND(O$2&gt;=09_ガント元データ!$G75,O$2&lt;=09_ガント元データ!$H75),"■",""))</f>
        <v/>
      </c>
      <c r="P76" s="24" t="str">
        <f aca="false">IF($A76="","",IF(AND(P$2&gt;=09_ガント元データ!$G75,P$2&lt;=09_ガント元データ!$H75),"■",""))</f>
        <v/>
      </c>
      <c r="Q76" s="24" t="str">
        <f aca="false">IF($A76="","",IF(AND(Q$2&gt;=09_ガント元データ!$G75,Q$2&lt;=09_ガント元データ!$H75),"■",""))</f>
        <v/>
      </c>
      <c r="R76" s="24" t="str">
        <f aca="false">IF($A76="","",IF(AND(R$2&gt;=09_ガント元データ!$G75,R$2&lt;=09_ガント元データ!$H75),"■",""))</f>
        <v/>
      </c>
      <c r="S76" s="24" t="str">
        <f aca="false">IF($A76="","",IF(AND(S$2&gt;=09_ガント元データ!$G75,S$2&lt;=09_ガント元データ!$H75),"■",""))</f>
        <v/>
      </c>
      <c r="T76" s="24" t="str">
        <f aca="false">IF($A76="","",IF(AND(T$2&gt;=09_ガント元データ!$G75,T$2&lt;=09_ガント元データ!$H75),"■",""))</f>
        <v/>
      </c>
      <c r="U76" s="24" t="str">
        <f aca="false">IF($A76="","",IF(AND(U$2&gt;=09_ガント元データ!$G75,U$2&lt;=09_ガント元データ!$H75),"■",""))</f>
        <v/>
      </c>
      <c r="V76" s="24" t="str">
        <f aca="false">IF($A76="","",IF(AND(V$2&gt;=09_ガント元データ!$G75,V$2&lt;=09_ガント元データ!$H75),"■",""))</f>
        <v/>
      </c>
      <c r="W76" s="24" t="str">
        <f aca="false">IF($A76="","",IF(AND(W$2&gt;=09_ガント元データ!$G75,W$2&lt;=09_ガント元データ!$H75),"■",""))</f>
        <v/>
      </c>
      <c r="X76" s="24" t="str">
        <f aca="false">IF($A76="","",IF(AND(X$2&gt;=09_ガント元データ!$G75,X$2&lt;=09_ガント元データ!$H75),"■",""))</f>
        <v/>
      </c>
      <c r="Y76" s="24" t="str">
        <f aca="false">IF($A76="","",IF(AND(Y$2&gt;=09_ガント元データ!$G75,Y$2&lt;=09_ガント元データ!$H75),"■",""))</f>
        <v/>
      </c>
      <c r="Z76" s="24" t="str">
        <f aca="false">IF($A76="","",IF(AND(Z$2&gt;=09_ガント元データ!$G75,Z$2&lt;=09_ガント元データ!$H75),"■",""))</f>
        <v/>
      </c>
      <c r="AA76" s="24" t="str">
        <f aca="false">IF($A76="","",IF(AND(AA$2&gt;=09_ガント元データ!$G75,AA$2&lt;=09_ガント元データ!$H75),"■",""))</f>
        <v/>
      </c>
      <c r="AB76" s="24" t="str">
        <f aca="false">IF($A76="","",IF(AND(AB$2&gt;=09_ガント元データ!$G75,AB$2&lt;=09_ガント元データ!$H75),"■",""))</f>
        <v/>
      </c>
      <c r="AC76" s="24" t="str">
        <f aca="false">IF($A76="","",IF(AND(AC$2&gt;=09_ガント元データ!$G75,AC$2&lt;=09_ガント元データ!$H75),"■",""))</f>
        <v/>
      </c>
      <c r="AD76" s="24" t="str">
        <f aca="false">IF($A76="","",IF(AND(AD$2&gt;=09_ガント元データ!$G75,AD$2&lt;=09_ガント元データ!$H75),"■",""))</f>
        <v/>
      </c>
      <c r="AE76" s="24" t="str">
        <f aca="false">IF($A76="","",IF(AND(AE$2&gt;=09_ガント元データ!$G75,AE$2&lt;=09_ガント元データ!$H75),"■",""))</f>
        <v/>
      </c>
      <c r="AF76" s="24" t="str">
        <f aca="false">IF($A76="","",IF(AND(AF$2&gt;=09_ガント元データ!$G75,AF$2&lt;=09_ガント元データ!$H75),"■",""))</f>
        <v/>
      </c>
      <c r="AG76" s="24" t="str">
        <f aca="false">IF($A76="","",IF(AND(AG$2&gt;=09_ガント元データ!$G75,AG$2&lt;=09_ガント元データ!$H75),"■",""))</f>
        <v/>
      </c>
      <c r="AH76" s="24" t="str">
        <f aca="false">IF($A76="","",IF(AND(AH$2&gt;=09_ガント元データ!$G75,AH$2&lt;=09_ガント元データ!$H75),"■",""))</f>
        <v/>
      </c>
      <c r="AI76" s="24" t="str">
        <f aca="false">IF($A76="","",IF(AND(AI$2&gt;=09_ガント元データ!$G75,AI$2&lt;=09_ガント元データ!$H75),"■",""))</f>
        <v/>
      </c>
      <c r="AJ76" s="24" t="str">
        <f aca="false">IF($A76="","",IF(AND(AJ$2&gt;=09_ガント元データ!$G75,AJ$2&lt;=09_ガント元データ!$H75),"■",""))</f>
        <v/>
      </c>
      <c r="AK76" s="24" t="str">
        <f aca="false">IF($A76="","",IF(AND(AK$2&gt;=09_ガント元データ!$G75,AK$2&lt;=09_ガント元データ!$H75),"■",""))</f>
        <v/>
      </c>
      <c r="AL76" s="24" t="str">
        <f aca="false">IF($A76="","",IF(AND(AL$2&gt;=09_ガント元データ!$G75,AL$2&lt;=09_ガント元データ!$H75),"■",""))</f>
        <v/>
      </c>
      <c r="AM76" s="24" t="str">
        <f aca="false">IF($A76="","",IF(AND(AM$2&gt;=09_ガント元データ!$G75,AM$2&lt;=09_ガント元データ!$H75),"■",""))</f>
        <v/>
      </c>
    </row>
    <row r="77" customFormat="false" ht="15" hidden="false" customHeight="false" outlineLevel="0" collapsed="false">
      <c r="A77" s="22" t="str">
        <f aca="false">09_ガント元データ!A76</f>
        <v/>
      </c>
      <c r="B77" s="22" t="str">
        <f aca="false">09_ガント元データ!B76</f>
        <v/>
      </c>
      <c r="C77" s="23" t="str">
        <f aca="false">09_ガント元データ!C76</f>
        <v/>
      </c>
      <c r="D77" s="24" t="str">
        <f aca="false">IF($A77="","",IF(AND(D$2&gt;=09_ガント元データ!$G76,D$2&lt;=09_ガント元データ!$H76),"■",""))</f>
        <v/>
      </c>
      <c r="E77" s="24" t="str">
        <f aca="false">IF($A77="","",IF(AND(E$2&gt;=09_ガント元データ!$G76,E$2&lt;=09_ガント元データ!$H76),"■",""))</f>
        <v/>
      </c>
      <c r="F77" s="24" t="str">
        <f aca="false">IF($A77="","",IF(AND(F$2&gt;=09_ガント元データ!$G76,F$2&lt;=09_ガント元データ!$H76),"■",""))</f>
        <v/>
      </c>
      <c r="G77" s="24" t="str">
        <f aca="false">IF($A77="","",IF(AND(G$2&gt;=09_ガント元データ!$G76,G$2&lt;=09_ガント元データ!$H76),"■",""))</f>
        <v/>
      </c>
      <c r="H77" s="24" t="str">
        <f aca="false">IF($A77="","",IF(AND(H$2&gt;=09_ガント元データ!$G76,H$2&lt;=09_ガント元データ!$H76),"■",""))</f>
        <v/>
      </c>
      <c r="I77" s="24" t="str">
        <f aca="false">IF($A77="","",IF(AND(I$2&gt;=09_ガント元データ!$G76,I$2&lt;=09_ガント元データ!$H76),"■",""))</f>
        <v/>
      </c>
      <c r="J77" s="24" t="str">
        <f aca="false">IF($A77="","",IF(AND(J$2&gt;=09_ガント元データ!$G76,J$2&lt;=09_ガント元データ!$H76),"■",""))</f>
        <v/>
      </c>
      <c r="K77" s="24" t="str">
        <f aca="false">IF($A77="","",IF(AND(K$2&gt;=09_ガント元データ!$G76,K$2&lt;=09_ガント元データ!$H76),"■",""))</f>
        <v/>
      </c>
      <c r="L77" s="24" t="str">
        <f aca="false">IF($A77="","",IF(AND(L$2&gt;=09_ガント元データ!$G76,L$2&lt;=09_ガント元データ!$H76),"■",""))</f>
        <v/>
      </c>
      <c r="M77" s="24" t="str">
        <f aca="false">IF($A77="","",IF(AND(M$2&gt;=09_ガント元データ!$G76,M$2&lt;=09_ガント元データ!$H76),"■",""))</f>
        <v/>
      </c>
      <c r="N77" s="24" t="str">
        <f aca="false">IF($A77="","",IF(AND(N$2&gt;=09_ガント元データ!$G76,N$2&lt;=09_ガント元データ!$H76),"■",""))</f>
        <v/>
      </c>
      <c r="O77" s="24" t="str">
        <f aca="false">IF($A77="","",IF(AND(O$2&gt;=09_ガント元データ!$G76,O$2&lt;=09_ガント元データ!$H76),"■",""))</f>
        <v/>
      </c>
      <c r="P77" s="24" t="str">
        <f aca="false">IF($A77="","",IF(AND(P$2&gt;=09_ガント元データ!$G76,P$2&lt;=09_ガント元データ!$H76),"■",""))</f>
        <v/>
      </c>
      <c r="Q77" s="24" t="str">
        <f aca="false">IF($A77="","",IF(AND(Q$2&gt;=09_ガント元データ!$G76,Q$2&lt;=09_ガント元データ!$H76),"■",""))</f>
        <v/>
      </c>
      <c r="R77" s="24" t="str">
        <f aca="false">IF($A77="","",IF(AND(R$2&gt;=09_ガント元データ!$G76,R$2&lt;=09_ガント元データ!$H76),"■",""))</f>
        <v/>
      </c>
      <c r="S77" s="24" t="str">
        <f aca="false">IF($A77="","",IF(AND(S$2&gt;=09_ガント元データ!$G76,S$2&lt;=09_ガント元データ!$H76),"■",""))</f>
        <v/>
      </c>
      <c r="T77" s="24" t="str">
        <f aca="false">IF($A77="","",IF(AND(T$2&gt;=09_ガント元データ!$G76,T$2&lt;=09_ガント元データ!$H76),"■",""))</f>
        <v/>
      </c>
      <c r="U77" s="24" t="str">
        <f aca="false">IF($A77="","",IF(AND(U$2&gt;=09_ガント元データ!$G76,U$2&lt;=09_ガント元データ!$H76),"■",""))</f>
        <v/>
      </c>
      <c r="V77" s="24" t="str">
        <f aca="false">IF($A77="","",IF(AND(V$2&gt;=09_ガント元データ!$G76,V$2&lt;=09_ガント元データ!$H76),"■",""))</f>
        <v/>
      </c>
      <c r="W77" s="24" t="str">
        <f aca="false">IF($A77="","",IF(AND(W$2&gt;=09_ガント元データ!$G76,W$2&lt;=09_ガント元データ!$H76),"■",""))</f>
        <v/>
      </c>
      <c r="X77" s="24" t="str">
        <f aca="false">IF($A77="","",IF(AND(X$2&gt;=09_ガント元データ!$G76,X$2&lt;=09_ガント元データ!$H76),"■",""))</f>
        <v/>
      </c>
      <c r="Y77" s="24" t="str">
        <f aca="false">IF($A77="","",IF(AND(Y$2&gt;=09_ガント元データ!$G76,Y$2&lt;=09_ガント元データ!$H76),"■",""))</f>
        <v/>
      </c>
      <c r="Z77" s="24" t="str">
        <f aca="false">IF($A77="","",IF(AND(Z$2&gt;=09_ガント元データ!$G76,Z$2&lt;=09_ガント元データ!$H76),"■",""))</f>
        <v/>
      </c>
      <c r="AA77" s="24" t="str">
        <f aca="false">IF($A77="","",IF(AND(AA$2&gt;=09_ガント元データ!$G76,AA$2&lt;=09_ガント元データ!$H76),"■",""))</f>
        <v/>
      </c>
      <c r="AB77" s="24" t="str">
        <f aca="false">IF($A77="","",IF(AND(AB$2&gt;=09_ガント元データ!$G76,AB$2&lt;=09_ガント元データ!$H76),"■",""))</f>
        <v/>
      </c>
      <c r="AC77" s="24" t="str">
        <f aca="false">IF($A77="","",IF(AND(AC$2&gt;=09_ガント元データ!$G76,AC$2&lt;=09_ガント元データ!$H76),"■",""))</f>
        <v/>
      </c>
      <c r="AD77" s="24" t="str">
        <f aca="false">IF($A77="","",IF(AND(AD$2&gt;=09_ガント元データ!$G76,AD$2&lt;=09_ガント元データ!$H76),"■",""))</f>
        <v/>
      </c>
      <c r="AE77" s="24" t="str">
        <f aca="false">IF($A77="","",IF(AND(AE$2&gt;=09_ガント元データ!$G76,AE$2&lt;=09_ガント元データ!$H76),"■",""))</f>
        <v/>
      </c>
      <c r="AF77" s="24" t="str">
        <f aca="false">IF($A77="","",IF(AND(AF$2&gt;=09_ガント元データ!$G76,AF$2&lt;=09_ガント元データ!$H76),"■",""))</f>
        <v/>
      </c>
      <c r="AG77" s="24" t="str">
        <f aca="false">IF($A77="","",IF(AND(AG$2&gt;=09_ガント元データ!$G76,AG$2&lt;=09_ガント元データ!$H76),"■",""))</f>
        <v/>
      </c>
      <c r="AH77" s="24" t="str">
        <f aca="false">IF($A77="","",IF(AND(AH$2&gt;=09_ガント元データ!$G76,AH$2&lt;=09_ガント元データ!$H76),"■",""))</f>
        <v/>
      </c>
      <c r="AI77" s="24" t="str">
        <f aca="false">IF($A77="","",IF(AND(AI$2&gt;=09_ガント元データ!$G76,AI$2&lt;=09_ガント元データ!$H76),"■",""))</f>
        <v/>
      </c>
      <c r="AJ77" s="24" t="str">
        <f aca="false">IF($A77="","",IF(AND(AJ$2&gt;=09_ガント元データ!$G76,AJ$2&lt;=09_ガント元データ!$H76),"■",""))</f>
        <v/>
      </c>
      <c r="AK77" s="24" t="str">
        <f aca="false">IF($A77="","",IF(AND(AK$2&gt;=09_ガント元データ!$G76,AK$2&lt;=09_ガント元データ!$H76),"■",""))</f>
        <v/>
      </c>
      <c r="AL77" s="24" t="str">
        <f aca="false">IF($A77="","",IF(AND(AL$2&gt;=09_ガント元データ!$G76,AL$2&lt;=09_ガント元データ!$H76),"■",""))</f>
        <v/>
      </c>
      <c r="AM77" s="24" t="str">
        <f aca="false">IF($A77="","",IF(AND(AM$2&gt;=09_ガント元データ!$G76,AM$2&lt;=09_ガント元データ!$H76),"■",""))</f>
        <v/>
      </c>
    </row>
    <row r="78" customFormat="false" ht="15" hidden="false" customHeight="false" outlineLevel="0" collapsed="false">
      <c r="A78" s="22" t="str">
        <f aca="false">09_ガント元データ!A77</f>
        <v/>
      </c>
      <c r="B78" s="22" t="str">
        <f aca="false">09_ガント元データ!B77</f>
        <v/>
      </c>
      <c r="C78" s="23" t="str">
        <f aca="false">09_ガント元データ!C77</f>
        <v/>
      </c>
      <c r="D78" s="24" t="str">
        <f aca="false">IF($A78="","",IF(AND(D$2&gt;=09_ガント元データ!$G77,D$2&lt;=09_ガント元データ!$H77),"■",""))</f>
        <v/>
      </c>
      <c r="E78" s="24" t="str">
        <f aca="false">IF($A78="","",IF(AND(E$2&gt;=09_ガント元データ!$G77,E$2&lt;=09_ガント元データ!$H77),"■",""))</f>
        <v/>
      </c>
      <c r="F78" s="24" t="str">
        <f aca="false">IF($A78="","",IF(AND(F$2&gt;=09_ガント元データ!$G77,F$2&lt;=09_ガント元データ!$H77),"■",""))</f>
        <v/>
      </c>
      <c r="G78" s="24" t="str">
        <f aca="false">IF($A78="","",IF(AND(G$2&gt;=09_ガント元データ!$G77,G$2&lt;=09_ガント元データ!$H77),"■",""))</f>
        <v/>
      </c>
      <c r="H78" s="24" t="str">
        <f aca="false">IF($A78="","",IF(AND(H$2&gt;=09_ガント元データ!$G77,H$2&lt;=09_ガント元データ!$H77),"■",""))</f>
        <v/>
      </c>
      <c r="I78" s="24" t="str">
        <f aca="false">IF($A78="","",IF(AND(I$2&gt;=09_ガント元データ!$G77,I$2&lt;=09_ガント元データ!$H77),"■",""))</f>
        <v/>
      </c>
      <c r="J78" s="24" t="str">
        <f aca="false">IF($A78="","",IF(AND(J$2&gt;=09_ガント元データ!$G77,J$2&lt;=09_ガント元データ!$H77),"■",""))</f>
        <v/>
      </c>
      <c r="K78" s="24" t="str">
        <f aca="false">IF($A78="","",IF(AND(K$2&gt;=09_ガント元データ!$G77,K$2&lt;=09_ガント元データ!$H77),"■",""))</f>
        <v/>
      </c>
      <c r="L78" s="24" t="str">
        <f aca="false">IF($A78="","",IF(AND(L$2&gt;=09_ガント元データ!$G77,L$2&lt;=09_ガント元データ!$H77),"■",""))</f>
        <v/>
      </c>
      <c r="M78" s="24" t="str">
        <f aca="false">IF($A78="","",IF(AND(M$2&gt;=09_ガント元データ!$G77,M$2&lt;=09_ガント元データ!$H77),"■",""))</f>
        <v/>
      </c>
      <c r="N78" s="24" t="str">
        <f aca="false">IF($A78="","",IF(AND(N$2&gt;=09_ガント元データ!$G77,N$2&lt;=09_ガント元データ!$H77),"■",""))</f>
        <v/>
      </c>
      <c r="O78" s="24" t="str">
        <f aca="false">IF($A78="","",IF(AND(O$2&gt;=09_ガント元データ!$G77,O$2&lt;=09_ガント元データ!$H77),"■",""))</f>
        <v/>
      </c>
      <c r="P78" s="24" t="str">
        <f aca="false">IF($A78="","",IF(AND(P$2&gt;=09_ガント元データ!$G77,P$2&lt;=09_ガント元データ!$H77),"■",""))</f>
        <v/>
      </c>
      <c r="Q78" s="24" t="str">
        <f aca="false">IF($A78="","",IF(AND(Q$2&gt;=09_ガント元データ!$G77,Q$2&lt;=09_ガント元データ!$H77),"■",""))</f>
        <v/>
      </c>
      <c r="R78" s="24" t="str">
        <f aca="false">IF($A78="","",IF(AND(R$2&gt;=09_ガント元データ!$G77,R$2&lt;=09_ガント元データ!$H77),"■",""))</f>
        <v/>
      </c>
      <c r="S78" s="24" t="str">
        <f aca="false">IF($A78="","",IF(AND(S$2&gt;=09_ガント元データ!$G77,S$2&lt;=09_ガント元データ!$H77),"■",""))</f>
        <v/>
      </c>
      <c r="T78" s="24" t="str">
        <f aca="false">IF($A78="","",IF(AND(T$2&gt;=09_ガント元データ!$G77,T$2&lt;=09_ガント元データ!$H77),"■",""))</f>
        <v/>
      </c>
      <c r="U78" s="24" t="str">
        <f aca="false">IF($A78="","",IF(AND(U$2&gt;=09_ガント元データ!$G77,U$2&lt;=09_ガント元データ!$H77),"■",""))</f>
        <v/>
      </c>
      <c r="V78" s="24" t="str">
        <f aca="false">IF($A78="","",IF(AND(V$2&gt;=09_ガント元データ!$G77,V$2&lt;=09_ガント元データ!$H77),"■",""))</f>
        <v/>
      </c>
      <c r="W78" s="24" t="str">
        <f aca="false">IF($A78="","",IF(AND(W$2&gt;=09_ガント元データ!$G77,W$2&lt;=09_ガント元データ!$H77),"■",""))</f>
        <v/>
      </c>
      <c r="X78" s="24" t="str">
        <f aca="false">IF($A78="","",IF(AND(X$2&gt;=09_ガント元データ!$G77,X$2&lt;=09_ガント元データ!$H77),"■",""))</f>
        <v/>
      </c>
      <c r="Y78" s="24" t="str">
        <f aca="false">IF($A78="","",IF(AND(Y$2&gt;=09_ガント元データ!$G77,Y$2&lt;=09_ガント元データ!$H77),"■",""))</f>
        <v/>
      </c>
      <c r="Z78" s="24" t="str">
        <f aca="false">IF($A78="","",IF(AND(Z$2&gt;=09_ガント元データ!$G77,Z$2&lt;=09_ガント元データ!$H77),"■",""))</f>
        <v/>
      </c>
      <c r="AA78" s="24" t="str">
        <f aca="false">IF($A78="","",IF(AND(AA$2&gt;=09_ガント元データ!$G77,AA$2&lt;=09_ガント元データ!$H77),"■",""))</f>
        <v/>
      </c>
      <c r="AB78" s="24" t="str">
        <f aca="false">IF($A78="","",IF(AND(AB$2&gt;=09_ガント元データ!$G77,AB$2&lt;=09_ガント元データ!$H77),"■",""))</f>
        <v/>
      </c>
      <c r="AC78" s="24" t="str">
        <f aca="false">IF($A78="","",IF(AND(AC$2&gt;=09_ガント元データ!$G77,AC$2&lt;=09_ガント元データ!$H77),"■",""))</f>
        <v/>
      </c>
      <c r="AD78" s="24" t="str">
        <f aca="false">IF($A78="","",IF(AND(AD$2&gt;=09_ガント元データ!$G77,AD$2&lt;=09_ガント元データ!$H77),"■",""))</f>
        <v/>
      </c>
      <c r="AE78" s="24" t="str">
        <f aca="false">IF($A78="","",IF(AND(AE$2&gt;=09_ガント元データ!$G77,AE$2&lt;=09_ガント元データ!$H77),"■",""))</f>
        <v/>
      </c>
      <c r="AF78" s="24" t="str">
        <f aca="false">IF($A78="","",IF(AND(AF$2&gt;=09_ガント元データ!$G77,AF$2&lt;=09_ガント元データ!$H77),"■",""))</f>
        <v/>
      </c>
      <c r="AG78" s="24" t="str">
        <f aca="false">IF($A78="","",IF(AND(AG$2&gt;=09_ガント元データ!$G77,AG$2&lt;=09_ガント元データ!$H77),"■",""))</f>
        <v/>
      </c>
      <c r="AH78" s="24" t="str">
        <f aca="false">IF($A78="","",IF(AND(AH$2&gt;=09_ガント元データ!$G77,AH$2&lt;=09_ガント元データ!$H77),"■",""))</f>
        <v/>
      </c>
      <c r="AI78" s="24" t="str">
        <f aca="false">IF($A78="","",IF(AND(AI$2&gt;=09_ガント元データ!$G77,AI$2&lt;=09_ガント元データ!$H77),"■",""))</f>
        <v/>
      </c>
      <c r="AJ78" s="24" t="str">
        <f aca="false">IF($A78="","",IF(AND(AJ$2&gt;=09_ガント元データ!$G77,AJ$2&lt;=09_ガント元データ!$H77),"■",""))</f>
        <v/>
      </c>
      <c r="AK78" s="24" t="str">
        <f aca="false">IF($A78="","",IF(AND(AK$2&gt;=09_ガント元データ!$G77,AK$2&lt;=09_ガント元データ!$H77),"■",""))</f>
        <v/>
      </c>
      <c r="AL78" s="24" t="str">
        <f aca="false">IF($A78="","",IF(AND(AL$2&gt;=09_ガント元データ!$G77,AL$2&lt;=09_ガント元データ!$H77),"■",""))</f>
        <v/>
      </c>
      <c r="AM78" s="24" t="str">
        <f aca="false">IF($A78="","",IF(AND(AM$2&gt;=09_ガント元データ!$G77,AM$2&lt;=09_ガント元データ!$H77),"■",""))</f>
        <v/>
      </c>
    </row>
    <row r="79" customFormat="false" ht="15" hidden="false" customHeight="false" outlineLevel="0" collapsed="false">
      <c r="A79" s="22" t="str">
        <f aca="false">09_ガント元データ!A78</f>
        <v/>
      </c>
      <c r="B79" s="22" t="str">
        <f aca="false">09_ガント元データ!B78</f>
        <v/>
      </c>
      <c r="C79" s="23" t="str">
        <f aca="false">09_ガント元データ!C78</f>
        <v/>
      </c>
      <c r="D79" s="24" t="str">
        <f aca="false">IF($A79="","",IF(AND(D$2&gt;=09_ガント元データ!$G78,D$2&lt;=09_ガント元データ!$H78),"■",""))</f>
        <v/>
      </c>
      <c r="E79" s="24" t="str">
        <f aca="false">IF($A79="","",IF(AND(E$2&gt;=09_ガント元データ!$G78,E$2&lt;=09_ガント元データ!$H78),"■",""))</f>
        <v/>
      </c>
      <c r="F79" s="24" t="str">
        <f aca="false">IF($A79="","",IF(AND(F$2&gt;=09_ガント元データ!$G78,F$2&lt;=09_ガント元データ!$H78),"■",""))</f>
        <v/>
      </c>
      <c r="G79" s="24" t="str">
        <f aca="false">IF($A79="","",IF(AND(G$2&gt;=09_ガント元データ!$G78,G$2&lt;=09_ガント元データ!$H78),"■",""))</f>
        <v/>
      </c>
      <c r="H79" s="24" t="str">
        <f aca="false">IF($A79="","",IF(AND(H$2&gt;=09_ガント元データ!$G78,H$2&lt;=09_ガント元データ!$H78),"■",""))</f>
        <v/>
      </c>
      <c r="I79" s="24" t="str">
        <f aca="false">IF($A79="","",IF(AND(I$2&gt;=09_ガント元データ!$G78,I$2&lt;=09_ガント元データ!$H78),"■",""))</f>
        <v/>
      </c>
      <c r="J79" s="24" t="str">
        <f aca="false">IF($A79="","",IF(AND(J$2&gt;=09_ガント元データ!$G78,J$2&lt;=09_ガント元データ!$H78),"■",""))</f>
        <v/>
      </c>
      <c r="K79" s="24" t="str">
        <f aca="false">IF($A79="","",IF(AND(K$2&gt;=09_ガント元データ!$G78,K$2&lt;=09_ガント元データ!$H78),"■",""))</f>
        <v/>
      </c>
      <c r="L79" s="24" t="str">
        <f aca="false">IF($A79="","",IF(AND(L$2&gt;=09_ガント元データ!$G78,L$2&lt;=09_ガント元データ!$H78),"■",""))</f>
        <v/>
      </c>
      <c r="M79" s="24" t="str">
        <f aca="false">IF($A79="","",IF(AND(M$2&gt;=09_ガント元データ!$G78,M$2&lt;=09_ガント元データ!$H78),"■",""))</f>
        <v/>
      </c>
      <c r="N79" s="24" t="str">
        <f aca="false">IF($A79="","",IF(AND(N$2&gt;=09_ガント元データ!$G78,N$2&lt;=09_ガント元データ!$H78),"■",""))</f>
        <v/>
      </c>
      <c r="O79" s="24" t="str">
        <f aca="false">IF($A79="","",IF(AND(O$2&gt;=09_ガント元データ!$G78,O$2&lt;=09_ガント元データ!$H78),"■",""))</f>
        <v/>
      </c>
      <c r="P79" s="24" t="str">
        <f aca="false">IF($A79="","",IF(AND(P$2&gt;=09_ガント元データ!$G78,P$2&lt;=09_ガント元データ!$H78),"■",""))</f>
        <v/>
      </c>
      <c r="Q79" s="24" t="str">
        <f aca="false">IF($A79="","",IF(AND(Q$2&gt;=09_ガント元データ!$G78,Q$2&lt;=09_ガント元データ!$H78),"■",""))</f>
        <v/>
      </c>
      <c r="R79" s="24" t="str">
        <f aca="false">IF($A79="","",IF(AND(R$2&gt;=09_ガント元データ!$G78,R$2&lt;=09_ガント元データ!$H78),"■",""))</f>
        <v/>
      </c>
      <c r="S79" s="24" t="str">
        <f aca="false">IF($A79="","",IF(AND(S$2&gt;=09_ガント元データ!$G78,S$2&lt;=09_ガント元データ!$H78),"■",""))</f>
        <v/>
      </c>
      <c r="T79" s="24" t="str">
        <f aca="false">IF($A79="","",IF(AND(T$2&gt;=09_ガント元データ!$G78,T$2&lt;=09_ガント元データ!$H78),"■",""))</f>
        <v/>
      </c>
      <c r="U79" s="24" t="str">
        <f aca="false">IF($A79="","",IF(AND(U$2&gt;=09_ガント元データ!$G78,U$2&lt;=09_ガント元データ!$H78),"■",""))</f>
        <v/>
      </c>
      <c r="V79" s="24" t="str">
        <f aca="false">IF($A79="","",IF(AND(V$2&gt;=09_ガント元データ!$G78,V$2&lt;=09_ガント元データ!$H78),"■",""))</f>
        <v/>
      </c>
      <c r="W79" s="24" t="str">
        <f aca="false">IF($A79="","",IF(AND(W$2&gt;=09_ガント元データ!$G78,W$2&lt;=09_ガント元データ!$H78),"■",""))</f>
        <v/>
      </c>
      <c r="X79" s="24" t="str">
        <f aca="false">IF($A79="","",IF(AND(X$2&gt;=09_ガント元データ!$G78,X$2&lt;=09_ガント元データ!$H78),"■",""))</f>
        <v/>
      </c>
      <c r="Y79" s="24" t="str">
        <f aca="false">IF($A79="","",IF(AND(Y$2&gt;=09_ガント元データ!$G78,Y$2&lt;=09_ガント元データ!$H78),"■",""))</f>
        <v/>
      </c>
      <c r="Z79" s="24" t="str">
        <f aca="false">IF($A79="","",IF(AND(Z$2&gt;=09_ガント元データ!$G78,Z$2&lt;=09_ガント元データ!$H78),"■",""))</f>
        <v/>
      </c>
      <c r="AA79" s="24" t="str">
        <f aca="false">IF($A79="","",IF(AND(AA$2&gt;=09_ガント元データ!$G78,AA$2&lt;=09_ガント元データ!$H78),"■",""))</f>
        <v/>
      </c>
      <c r="AB79" s="24" t="str">
        <f aca="false">IF($A79="","",IF(AND(AB$2&gt;=09_ガント元データ!$G78,AB$2&lt;=09_ガント元データ!$H78),"■",""))</f>
        <v/>
      </c>
      <c r="AC79" s="24" t="str">
        <f aca="false">IF($A79="","",IF(AND(AC$2&gt;=09_ガント元データ!$G78,AC$2&lt;=09_ガント元データ!$H78),"■",""))</f>
        <v/>
      </c>
      <c r="AD79" s="24" t="str">
        <f aca="false">IF($A79="","",IF(AND(AD$2&gt;=09_ガント元データ!$G78,AD$2&lt;=09_ガント元データ!$H78),"■",""))</f>
        <v/>
      </c>
      <c r="AE79" s="24" t="str">
        <f aca="false">IF($A79="","",IF(AND(AE$2&gt;=09_ガント元データ!$G78,AE$2&lt;=09_ガント元データ!$H78),"■",""))</f>
        <v/>
      </c>
      <c r="AF79" s="24" t="str">
        <f aca="false">IF($A79="","",IF(AND(AF$2&gt;=09_ガント元データ!$G78,AF$2&lt;=09_ガント元データ!$H78),"■",""))</f>
        <v/>
      </c>
      <c r="AG79" s="24" t="str">
        <f aca="false">IF($A79="","",IF(AND(AG$2&gt;=09_ガント元データ!$G78,AG$2&lt;=09_ガント元データ!$H78),"■",""))</f>
        <v/>
      </c>
      <c r="AH79" s="24" t="str">
        <f aca="false">IF($A79="","",IF(AND(AH$2&gt;=09_ガント元データ!$G78,AH$2&lt;=09_ガント元データ!$H78),"■",""))</f>
        <v/>
      </c>
      <c r="AI79" s="24" t="str">
        <f aca="false">IF($A79="","",IF(AND(AI$2&gt;=09_ガント元データ!$G78,AI$2&lt;=09_ガント元データ!$H78),"■",""))</f>
        <v/>
      </c>
      <c r="AJ79" s="24" t="str">
        <f aca="false">IF($A79="","",IF(AND(AJ$2&gt;=09_ガント元データ!$G78,AJ$2&lt;=09_ガント元データ!$H78),"■",""))</f>
        <v/>
      </c>
      <c r="AK79" s="24" t="str">
        <f aca="false">IF($A79="","",IF(AND(AK$2&gt;=09_ガント元データ!$G78,AK$2&lt;=09_ガント元データ!$H78),"■",""))</f>
        <v/>
      </c>
      <c r="AL79" s="24" t="str">
        <f aca="false">IF($A79="","",IF(AND(AL$2&gt;=09_ガント元データ!$G78,AL$2&lt;=09_ガント元データ!$H78),"■",""))</f>
        <v/>
      </c>
      <c r="AM79" s="24" t="str">
        <f aca="false">IF($A79="","",IF(AND(AM$2&gt;=09_ガント元データ!$G78,AM$2&lt;=09_ガント元データ!$H78),"■",""))</f>
        <v/>
      </c>
    </row>
    <row r="80" customFormat="false" ht="15" hidden="false" customHeight="false" outlineLevel="0" collapsed="false">
      <c r="A80" s="22" t="str">
        <f aca="false">09_ガント元データ!A79</f>
        <v/>
      </c>
      <c r="B80" s="22" t="str">
        <f aca="false">09_ガント元データ!B79</f>
        <v/>
      </c>
      <c r="C80" s="23" t="str">
        <f aca="false">09_ガント元データ!C79</f>
        <v/>
      </c>
      <c r="D80" s="24" t="str">
        <f aca="false">IF($A80="","",IF(AND(D$2&gt;=09_ガント元データ!$G79,D$2&lt;=09_ガント元データ!$H79),"■",""))</f>
        <v/>
      </c>
      <c r="E80" s="24" t="str">
        <f aca="false">IF($A80="","",IF(AND(E$2&gt;=09_ガント元データ!$G79,E$2&lt;=09_ガント元データ!$H79),"■",""))</f>
        <v/>
      </c>
      <c r="F80" s="24" t="str">
        <f aca="false">IF($A80="","",IF(AND(F$2&gt;=09_ガント元データ!$G79,F$2&lt;=09_ガント元データ!$H79),"■",""))</f>
        <v/>
      </c>
      <c r="G80" s="24" t="str">
        <f aca="false">IF($A80="","",IF(AND(G$2&gt;=09_ガント元データ!$G79,G$2&lt;=09_ガント元データ!$H79),"■",""))</f>
        <v/>
      </c>
      <c r="H80" s="24" t="str">
        <f aca="false">IF($A80="","",IF(AND(H$2&gt;=09_ガント元データ!$G79,H$2&lt;=09_ガント元データ!$H79),"■",""))</f>
        <v/>
      </c>
      <c r="I80" s="24" t="str">
        <f aca="false">IF($A80="","",IF(AND(I$2&gt;=09_ガント元データ!$G79,I$2&lt;=09_ガント元データ!$H79),"■",""))</f>
        <v/>
      </c>
      <c r="J80" s="24" t="str">
        <f aca="false">IF($A80="","",IF(AND(J$2&gt;=09_ガント元データ!$G79,J$2&lt;=09_ガント元データ!$H79),"■",""))</f>
        <v/>
      </c>
      <c r="K80" s="24" t="str">
        <f aca="false">IF($A80="","",IF(AND(K$2&gt;=09_ガント元データ!$G79,K$2&lt;=09_ガント元データ!$H79),"■",""))</f>
        <v/>
      </c>
      <c r="L80" s="24" t="str">
        <f aca="false">IF($A80="","",IF(AND(L$2&gt;=09_ガント元データ!$G79,L$2&lt;=09_ガント元データ!$H79),"■",""))</f>
        <v/>
      </c>
      <c r="M80" s="24" t="str">
        <f aca="false">IF($A80="","",IF(AND(M$2&gt;=09_ガント元データ!$G79,M$2&lt;=09_ガント元データ!$H79),"■",""))</f>
        <v/>
      </c>
      <c r="N80" s="24" t="str">
        <f aca="false">IF($A80="","",IF(AND(N$2&gt;=09_ガント元データ!$G79,N$2&lt;=09_ガント元データ!$H79),"■",""))</f>
        <v/>
      </c>
      <c r="O80" s="24" t="str">
        <f aca="false">IF($A80="","",IF(AND(O$2&gt;=09_ガント元データ!$G79,O$2&lt;=09_ガント元データ!$H79),"■",""))</f>
        <v/>
      </c>
      <c r="P80" s="24" t="str">
        <f aca="false">IF($A80="","",IF(AND(P$2&gt;=09_ガント元データ!$G79,P$2&lt;=09_ガント元データ!$H79),"■",""))</f>
        <v/>
      </c>
      <c r="Q80" s="24" t="str">
        <f aca="false">IF($A80="","",IF(AND(Q$2&gt;=09_ガント元データ!$G79,Q$2&lt;=09_ガント元データ!$H79),"■",""))</f>
        <v/>
      </c>
      <c r="R80" s="24" t="str">
        <f aca="false">IF($A80="","",IF(AND(R$2&gt;=09_ガント元データ!$G79,R$2&lt;=09_ガント元データ!$H79),"■",""))</f>
        <v/>
      </c>
      <c r="S80" s="24" t="str">
        <f aca="false">IF($A80="","",IF(AND(S$2&gt;=09_ガント元データ!$G79,S$2&lt;=09_ガント元データ!$H79),"■",""))</f>
        <v/>
      </c>
      <c r="T80" s="24" t="str">
        <f aca="false">IF($A80="","",IF(AND(T$2&gt;=09_ガント元データ!$G79,T$2&lt;=09_ガント元データ!$H79),"■",""))</f>
        <v/>
      </c>
      <c r="U80" s="24" t="str">
        <f aca="false">IF($A80="","",IF(AND(U$2&gt;=09_ガント元データ!$G79,U$2&lt;=09_ガント元データ!$H79),"■",""))</f>
        <v/>
      </c>
      <c r="V80" s="24" t="str">
        <f aca="false">IF($A80="","",IF(AND(V$2&gt;=09_ガント元データ!$G79,V$2&lt;=09_ガント元データ!$H79),"■",""))</f>
        <v/>
      </c>
      <c r="W80" s="24" t="str">
        <f aca="false">IF($A80="","",IF(AND(W$2&gt;=09_ガント元データ!$G79,W$2&lt;=09_ガント元データ!$H79),"■",""))</f>
        <v/>
      </c>
      <c r="X80" s="24" t="str">
        <f aca="false">IF($A80="","",IF(AND(X$2&gt;=09_ガント元データ!$G79,X$2&lt;=09_ガント元データ!$H79),"■",""))</f>
        <v/>
      </c>
      <c r="Y80" s="24" t="str">
        <f aca="false">IF($A80="","",IF(AND(Y$2&gt;=09_ガント元データ!$G79,Y$2&lt;=09_ガント元データ!$H79),"■",""))</f>
        <v/>
      </c>
      <c r="Z80" s="24" t="str">
        <f aca="false">IF($A80="","",IF(AND(Z$2&gt;=09_ガント元データ!$G79,Z$2&lt;=09_ガント元データ!$H79),"■",""))</f>
        <v/>
      </c>
      <c r="AA80" s="24" t="str">
        <f aca="false">IF($A80="","",IF(AND(AA$2&gt;=09_ガント元データ!$G79,AA$2&lt;=09_ガント元データ!$H79),"■",""))</f>
        <v/>
      </c>
      <c r="AB80" s="24" t="str">
        <f aca="false">IF($A80="","",IF(AND(AB$2&gt;=09_ガント元データ!$G79,AB$2&lt;=09_ガント元データ!$H79),"■",""))</f>
        <v/>
      </c>
      <c r="AC80" s="24" t="str">
        <f aca="false">IF($A80="","",IF(AND(AC$2&gt;=09_ガント元データ!$G79,AC$2&lt;=09_ガント元データ!$H79),"■",""))</f>
        <v/>
      </c>
      <c r="AD80" s="24" t="str">
        <f aca="false">IF($A80="","",IF(AND(AD$2&gt;=09_ガント元データ!$G79,AD$2&lt;=09_ガント元データ!$H79),"■",""))</f>
        <v/>
      </c>
      <c r="AE80" s="24" t="str">
        <f aca="false">IF($A80="","",IF(AND(AE$2&gt;=09_ガント元データ!$G79,AE$2&lt;=09_ガント元データ!$H79),"■",""))</f>
        <v/>
      </c>
      <c r="AF80" s="24" t="str">
        <f aca="false">IF($A80="","",IF(AND(AF$2&gt;=09_ガント元データ!$G79,AF$2&lt;=09_ガント元データ!$H79),"■",""))</f>
        <v/>
      </c>
      <c r="AG80" s="24" t="str">
        <f aca="false">IF($A80="","",IF(AND(AG$2&gt;=09_ガント元データ!$G79,AG$2&lt;=09_ガント元データ!$H79),"■",""))</f>
        <v/>
      </c>
      <c r="AH80" s="24" t="str">
        <f aca="false">IF($A80="","",IF(AND(AH$2&gt;=09_ガント元データ!$G79,AH$2&lt;=09_ガント元データ!$H79),"■",""))</f>
        <v/>
      </c>
      <c r="AI80" s="24" t="str">
        <f aca="false">IF($A80="","",IF(AND(AI$2&gt;=09_ガント元データ!$G79,AI$2&lt;=09_ガント元データ!$H79),"■",""))</f>
        <v/>
      </c>
      <c r="AJ80" s="24" t="str">
        <f aca="false">IF($A80="","",IF(AND(AJ$2&gt;=09_ガント元データ!$G79,AJ$2&lt;=09_ガント元データ!$H79),"■",""))</f>
        <v/>
      </c>
      <c r="AK80" s="24" t="str">
        <f aca="false">IF($A80="","",IF(AND(AK$2&gt;=09_ガント元データ!$G79,AK$2&lt;=09_ガント元データ!$H79),"■",""))</f>
        <v/>
      </c>
      <c r="AL80" s="24" t="str">
        <f aca="false">IF($A80="","",IF(AND(AL$2&gt;=09_ガント元データ!$G79,AL$2&lt;=09_ガント元データ!$H79),"■",""))</f>
        <v/>
      </c>
      <c r="AM80" s="24" t="str">
        <f aca="false">IF($A80="","",IF(AND(AM$2&gt;=09_ガント元データ!$G79,AM$2&lt;=09_ガント元データ!$H79),"■",""))</f>
        <v/>
      </c>
    </row>
    <row r="81" customFormat="false" ht="15" hidden="false" customHeight="false" outlineLevel="0" collapsed="false">
      <c r="A81" s="22" t="str">
        <f aca="false">09_ガント元データ!A80</f>
        <v/>
      </c>
      <c r="B81" s="22" t="str">
        <f aca="false">09_ガント元データ!B80</f>
        <v/>
      </c>
      <c r="C81" s="23" t="str">
        <f aca="false">09_ガント元データ!C80</f>
        <v/>
      </c>
      <c r="D81" s="24" t="str">
        <f aca="false">IF($A81="","",IF(AND(D$2&gt;=09_ガント元データ!$G80,D$2&lt;=09_ガント元データ!$H80),"■",""))</f>
        <v/>
      </c>
      <c r="E81" s="24" t="str">
        <f aca="false">IF($A81="","",IF(AND(E$2&gt;=09_ガント元データ!$G80,E$2&lt;=09_ガント元データ!$H80),"■",""))</f>
        <v/>
      </c>
      <c r="F81" s="24" t="str">
        <f aca="false">IF($A81="","",IF(AND(F$2&gt;=09_ガント元データ!$G80,F$2&lt;=09_ガント元データ!$H80),"■",""))</f>
        <v/>
      </c>
      <c r="G81" s="24" t="str">
        <f aca="false">IF($A81="","",IF(AND(G$2&gt;=09_ガント元データ!$G80,G$2&lt;=09_ガント元データ!$H80),"■",""))</f>
        <v/>
      </c>
      <c r="H81" s="24" t="str">
        <f aca="false">IF($A81="","",IF(AND(H$2&gt;=09_ガント元データ!$G80,H$2&lt;=09_ガント元データ!$H80),"■",""))</f>
        <v/>
      </c>
      <c r="I81" s="24" t="str">
        <f aca="false">IF($A81="","",IF(AND(I$2&gt;=09_ガント元データ!$G80,I$2&lt;=09_ガント元データ!$H80),"■",""))</f>
        <v/>
      </c>
      <c r="J81" s="24" t="str">
        <f aca="false">IF($A81="","",IF(AND(J$2&gt;=09_ガント元データ!$G80,J$2&lt;=09_ガント元データ!$H80),"■",""))</f>
        <v/>
      </c>
      <c r="K81" s="24" t="str">
        <f aca="false">IF($A81="","",IF(AND(K$2&gt;=09_ガント元データ!$G80,K$2&lt;=09_ガント元データ!$H80),"■",""))</f>
        <v/>
      </c>
      <c r="L81" s="24" t="str">
        <f aca="false">IF($A81="","",IF(AND(L$2&gt;=09_ガント元データ!$G80,L$2&lt;=09_ガント元データ!$H80),"■",""))</f>
        <v/>
      </c>
      <c r="M81" s="24" t="str">
        <f aca="false">IF($A81="","",IF(AND(M$2&gt;=09_ガント元データ!$G80,M$2&lt;=09_ガント元データ!$H80),"■",""))</f>
        <v/>
      </c>
      <c r="N81" s="24" t="str">
        <f aca="false">IF($A81="","",IF(AND(N$2&gt;=09_ガント元データ!$G80,N$2&lt;=09_ガント元データ!$H80),"■",""))</f>
        <v/>
      </c>
      <c r="O81" s="24" t="str">
        <f aca="false">IF($A81="","",IF(AND(O$2&gt;=09_ガント元データ!$G80,O$2&lt;=09_ガント元データ!$H80),"■",""))</f>
        <v/>
      </c>
      <c r="P81" s="24" t="str">
        <f aca="false">IF($A81="","",IF(AND(P$2&gt;=09_ガント元データ!$G80,P$2&lt;=09_ガント元データ!$H80),"■",""))</f>
        <v/>
      </c>
      <c r="Q81" s="24" t="str">
        <f aca="false">IF($A81="","",IF(AND(Q$2&gt;=09_ガント元データ!$G80,Q$2&lt;=09_ガント元データ!$H80),"■",""))</f>
        <v/>
      </c>
      <c r="R81" s="24" t="str">
        <f aca="false">IF($A81="","",IF(AND(R$2&gt;=09_ガント元データ!$G80,R$2&lt;=09_ガント元データ!$H80),"■",""))</f>
        <v/>
      </c>
      <c r="S81" s="24" t="str">
        <f aca="false">IF($A81="","",IF(AND(S$2&gt;=09_ガント元データ!$G80,S$2&lt;=09_ガント元データ!$H80),"■",""))</f>
        <v/>
      </c>
      <c r="T81" s="24" t="str">
        <f aca="false">IF($A81="","",IF(AND(T$2&gt;=09_ガント元データ!$G80,T$2&lt;=09_ガント元データ!$H80),"■",""))</f>
        <v/>
      </c>
      <c r="U81" s="24" t="str">
        <f aca="false">IF($A81="","",IF(AND(U$2&gt;=09_ガント元データ!$G80,U$2&lt;=09_ガント元データ!$H80),"■",""))</f>
        <v/>
      </c>
      <c r="V81" s="24" t="str">
        <f aca="false">IF($A81="","",IF(AND(V$2&gt;=09_ガント元データ!$G80,V$2&lt;=09_ガント元データ!$H80),"■",""))</f>
        <v/>
      </c>
      <c r="W81" s="24" t="str">
        <f aca="false">IF($A81="","",IF(AND(W$2&gt;=09_ガント元データ!$G80,W$2&lt;=09_ガント元データ!$H80),"■",""))</f>
        <v/>
      </c>
      <c r="X81" s="24" t="str">
        <f aca="false">IF($A81="","",IF(AND(X$2&gt;=09_ガント元データ!$G80,X$2&lt;=09_ガント元データ!$H80),"■",""))</f>
        <v/>
      </c>
      <c r="Y81" s="24" t="str">
        <f aca="false">IF($A81="","",IF(AND(Y$2&gt;=09_ガント元データ!$G80,Y$2&lt;=09_ガント元データ!$H80),"■",""))</f>
        <v/>
      </c>
      <c r="Z81" s="24" t="str">
        <f aca="false">IF($A81="","",IF(AND(Z$2&gt;=09_ガント元データ!$G80,Z$2&lt;=09_ガント元データ!$H80),"■",""))</f>
        <v/>
      </c>
      <c r="AA81" s="24" t="str">
        <f aca="false">IF($A81="","",IF(AND(AA$2&gt;=09_ガント元データ!$G80,AA$2&lt;=09_ガント元データ!$H80),"■",""))</f>
        <v/>
      </c>
      <c r="AB81" s="24" t="str">
        <f aca="false">IF($A81="","",IF(AND(AB$2&gt;=09_ガント元データ!$G80,AB$2&lt;=09_ガント元データ!$H80),"■",""))</f>
        <v/>
      </c>
      <c r="AC81" s="24" t="str">
        <f aca="false">IF($A81="","",IF(AND(AC$2&gt;=09_ガント元データ!$G80,AC$2&lt;=09_ガント元データ!$H80),"■",""))</f>
        <v/>
      </c>
      <c r="AD81" s="24" t="str">
        <f aca="false">IF($A81="","",IF(AND(AD$2&gt;=09_ガント元データ!$G80,AD$2&lt;=09_ガント元データ!$H80),"■",""))</f>
        <v/>
      </c>
      <c r="AE81" s="24" t="str">
        <f aca="false">IF($A81="","",IF(AND(AE$2&gt;=09_ガント元データ!$G80,AE$2&lt;=09_ガント元データ!$H80),"■",""))</f>
        <v/>
      </c>
      <c r="AF81" s="24" t="str">
        <f aca="false">IF($A81="","",IF(AND(AF$2&gt;=09_ガント元データ!$G80,AF$2&lt;=09_ガント元データ!$H80),"■",""))</f>
        <v/>
      </c>
      <c r="AG81" s="24" t="str">
        <f aca="false">IF($A81="","",IF(AND(AG$2&gt;=09_ガント元データ!$G80,AG$2&lt;=09_ガント元データ!$H80),"■",""))</f>
        <v/>
      </c>
      <c r="AH81" s="24" t="str">
        <f aca="false">IF($A81="","",IF(AND(AH$2&gt;=09_ガント元データ!$G80,AH$2&lt;=09_ガント元データ!$H80),"■",""))</f>
        <v/>
      </c>
      <c r="AI81" s="24" t="str">
        <f aca="false">IF($A81="","",IF(AND(AI$2&gt;=09_ガント元データ!$G80,AI$2&lt;=09_ガント元データ!$H80),"■",""))</f>
        <v/>
      </c>
      <c r="AJ81" s="24" t="str">
        <f aca="false">IF($A81="","",IF(AND(AJ$2&gt;=09_ガント元データ!$G80,AJ$2&lt;=09_ガント元データ!$H80),"■",""))</f>
        <v/>
      </c>
      <c r="AK81" s="24" t="str">
        <f aca="false">IF($A81="","",IF(AND(AK$2&gt;=09_ガント元データ!$G80,AK$2&lt;=09_ガント元データ!$H80),"■",""))</f>
        <v/>
      </c>
      <c r="AL81" s="24" t="str">
        <f aca="false">IF($A81="","",IF(AND(AL$2&gt;=09_ガント元データ!$G80,AL$2&lt;=09_ガント元データ!$H80),"■",""))</f>
        <v/>
      </c>
      <c r="AM81" s="24" t="str">
        <f aca="false">IF($A81="","",IF(AND(AM$2&gt;=09_ガント元データ!$G80,AM$2&lt;=09_ガント元データ!$H80),"■",""))</f>
        <v/>
      </c>
    </row>
    <row r="82" customFormat="false" ht="15" hidden="false" customHeight="false" outlineLevel="0" collapsed="false">
      <c r="A82" s="22" t="str">
        <f aca="false">09_ガント元データ!A81</f>
        <v/>
      </c>
      <c r="B82" s="22" t="str">
        <f aca="false">09_ガント元データ!B81</f>
        <v/>
      </c>
      <c r="C82" s="23" t="str">
        <f aca="false">09_ガント元データ!C81</f>
        <v/>
      </c>
      <c r="D82" s="24" t="str">
        <f aca="false">IF($A82="","",IF(AND(D$2&gt;=09_ガント元データ!$G81,D$2&lt;=09_ガント元データ!$H81),"■",""))</f>
        <v/>
      </c>
      <c r="E82" s="24" t="str">
        <f aca="false">IF($A82="","",IF(AND(E$2&gt;=09_ガント元データ!$G81,E$2&lt;=09_ガント元データ!$H81),"■",""))</f>
        <v/>
      </c>
      <c r="F82" s="24" t="str">
        <f aca="false">IF($A82="","",IF(AND(F$2&gt;=09_ガント元データ!$G81,F$2&lt;=09_ガント元データ!$H81),"■",""))</f>
        <v/>
      </c>
      <c r="G82" s="24" t="str">
        <f aca="false">IF($A82="","",IF(AND(G$2&gt;=09_ガント元データ!$G81,G$2&lt;=09_ガント元データ!$H81),"■",""))</f>
        <v/>
      </c>
      <c r="H82" s="24" t="str">
        <f aca="false">IF($A82="","",IF(AND(H$2&gt;=09_ガント元データ!$G81,H$2&lt;=09_ガント元データ!$H81),"■",""))</f>
        <v/>
      </c>
      <c r="I82" s="24" t="str">
        <f aca="false">IF($A82="","",IF(AND(I$2&gt;=09_ガント元データ!$G81,I$2&lt;=09_ガント元データ!$H81),"■",""))</f>
        <v/>
      </c>
      <c r="J82" s="24" t="str">
        <f aca="false">IF($A82="","",IF(AND(J$2&gt;=09_ガント元データ!$G81,J$2&lt;=09_ガント元データ!$H81),"■",""))</f>
        <v/>
      </c>
      <c r="K82" s="24" t="str">
        <f aca="false">IF($A82="","",IF(AND(K$2&gt;=09_ガント元データ!$G81,K$2&lt;=09_ガント元データ!$H81),"■",""))</f>
        <v/>
      </c>
      <c r="L82" s="24" t="str">
        <f aca="false">IF($A82="","",IF(AND(L$2&gt;=09_ガント元データ!$G81,L$2&lt;=09_ガント元データ!$H81),"■",""))</f>
        <v/>
      </c>
      <c r="M82" s="24" t="str">
        <f aca="false">IF($A82="","",IF(AND(M$2&gt;=09_ガント元データ!$G81,M$2&lt;=09_ガント元データ!$H81),"■",""))</f>
        <v/>
      </c>
      <c r="N82" s="24" t="str">
        <f aca="false">IF($A82="","",IF(AND(N$2&gt;=09_ガント元データ!$G81,N$2&lt;=09_ガント元データ!$H81),"■",""))</f>
        <v/>
      </c>
      <c r="O82" s="24" t="str">
        <f aca="false">IF($A82="","",IF(AND(O$2&gt;=09_ガント元データ!$G81,O$2&lt;=09_ガント元データ!$H81),"■",""))</f>
        <v/>
      </c>
      <c r="P82" s="24" t="str">
        <f aca="false">IF($A82="","",IF(AND(P$2&gt;=09_ガント元データ!$G81,P$2&lt;=09_ガント元データ!$H81),"■",""))</f>
        <v/>
      </c>
      <c r="Q82" s="24" t="str">
        <f aca="false">IF($A82="","",IF(AND(Q$2&gt;=09_ガント元データ!$G81,Q$2&lt;=09_ガント元データ!$H81),"■",""))</f>
        <v/>
      </c>
      <c r="R82" s="24" t="str">
        <f aca="false">IF($A82="","",IF(AND(R$2&gt;=09_ガント元データ!$G81,R$2&lt;=09_ガント元データ!$H81),"■",""))</f>
        <v/>
      </c>
      <c r="S82" s="24" t="str">
        <f aca="false">IF($A82="","",IF(AND(S$2&gt;=09_ガント元データ!$G81,S$2&lt;=09_ガント元データ!$H81),"■",""))</f>
        <v/>
      </c>
      <c r="T82" s="24" t="str">
        <f aca="false">IF($A82="","",IF(AND(T$2&gt;=09_ガント元データ!$G81,T$2&lt;=09_ガント元データ!$H81),"■",""))</f>
        <v/>
      </c>
      <c r="U82" s="24" t="str">
        <f aca="false">IF($A82="","",IF(AND(U$2&gt;=09_ガント元データ!$G81,U$2&lt;=09_ガント元データ!$H81),"■",""))</f>
        <v/>
      </c>
      <c r="V82" s="24" t="str">
        <f aca="false">IF($A82="","",IF(AND(V$2&gt;=09_ガント元データ!$G81,V$2&lt;=09_ガント元データ!$H81),"■",""))</f>
        <v/>
      </c>
      <c r="W82" s="24" t="str">
        <f aca="false">IF($A82="","",IF(AND(W$2&gt;=09_ガント元データ!$G81,W$2&lt;=09_ガント元データ!$H81),"■",""))</f>
        <v/>
      </c>
      <c r="X82" s="24" t="str">
        <f aca="false">IF($A82="","",IF(AND(X$2&gt;=09_ガント元データ!$G81,X$2&lt;=09_ガント元データ!$H81),"■",""))</f>
        <v/>
      </c>
      <c r="Y82" s="24" t="str">
        <f aca="false">IF($A82="","",IF(AND(Y$2&gt;=09_ガント元データ!$G81,Y$2&lt;=09_ガント元データ!$H81),"■",""))</f>
        <v/>
      </c>
      <c r="Z82" s="24" t="str">
        <f aca="false">IF($A82="","",IF(AND(Z$2&gt;=09_ガント元データ!$G81,Z$2&lt;=09_ガント元データ!$H81),"■",""))</f>
        <v/>
      </c>
      <c r="AA82" s="24" t="str">
        <f aca="false">IF($A82="","",IF(AND(AA$2&gt;=09_ガント元データ!$G81,AA$2&lt;=09_ガント元データ!$H81),"■",""))</f>
        <v/>
      </c>
      <c r="AB82" s="24" t="str">
        <f aca="false">IF($A82="","",IF(AND(AB$2&gt;=09_ガント元データ!$G81,AB$2&lt;=09_ガント元データ!$H81),"■",""))</f>
        <v/>
      </c>
      <c r="AC82" s="24" t="str">
        <f aca="false">IF($A82="","",IF(AND(AC$2&gt;=09_ガント元データ!$G81,AC$2&lt;=09_ガント元データ!$H81),"■",""))</f>
        <v/>
      </c>
      <c r="AD82" s="24" t="str">
        <f aca="false">IF($A82="","",IF(AND(AD$2&gt;=09_ガント元データ!$G81,AD$2&lt;=09_ガント元データ!$H81),"■",""))</f>
        <v/>
      </c>
      <c r="AE82" s="24" t="str">
        <f aca="false">IF($A82="","",IF(AND(AE$2&gt;=09_ガント元データ!$G81,AE$2&lt;=09_ガント元データ!$H81),"■",""))</f>
        <v/>
      </c>
      <c r="AF82" s="24" t="str">
        <f aca="false">IF($A82="","",IF(AND(AF$2&gt;=09_ガント元データ!$G81,AF$2&lt;=09_ガント元データ!$H81),"■",""))</f>
        <v/>
      </c>
      <c r="AG82" s="24" t="str">
        <f aca="false">IF($A82="","",IF(AND(AG$2&gt;=09_ガント元データ!$G81,AG$2&lt;=09_ガント元データ!$H81),"■",""))</f>
        <v/>
      </c>
      <c r="AH82" s="24" t="str">
        <f aca="false">IF($A82="","",IF(AND(AH$2&gt;=09_ガント元データ!$G81,AH$2&lt;=09_ガント元データ!$H81),"■",""))</f>
        <v/>
      </c>
      <c r="AI82" s="24" t="str">
        <f aca="false">IF($A82="","",IF(AND(AI$2&gt;=09_ガント元データ!$G81,AI$2&lt;=09_ガント元データ!$H81),"■",""))</f>
        <v/>
      </c>
      <c r="AJ82" s="24" t="str">
        <f aca="false">IF($A82="","",IF(AND(AJ$2&gt;=09_ガント元データ!$G81,AJ$2&lt;=09_ガント元データ!$H81),"■",""))</f>
        <v/>
      </c>
      <c r="AK82" s="24" t="str">
        <f aca="false">IF($A82="","",IF(AND(AK$2&gt;=09_ガント元データ!$G81,AK$2&lt;=09_ガント元データ!$H81),"■",""))</f>
        <v/>
      </c>
      <c r="AL82" s="24" t="str">
        <f aca="false">IF($A82="","",IF(AND(AL$2&gt;=09_ガント元データ!$G81,AL$2&lt;=09_ガント元データ!$H81),"■",""))</f>
        <v/>
      </c>
      <c r="AM82" s="24" t="str">
        <f aca="false">IF($A82="","",IF(AND(AM$2&gt;=09_ガント元データ!$G81,AM$2&lt;=09_ガント元データ!$H81),"■",""))</f>
        <v/>
      </c>
    </row>
    <row r="83" customFormat="false" ht="15" hidden="false" customHeight="false" outlineLevel="0" collapsed="false">
      <c r="A83" s="22" t="str">
        <f aca="false">09_ガント元データ!A82</f>
        <v/>
      </c>
      <c r="B83" s="22" t="str">
        <f aca="false">09_ガント元データ!B82</f>
        <v/>
      </c>
      <c r="C83" s="23" t="str">
        <f aca="false">09_ガント元データ!C82</f>
        <v/>
      </c>
      <c r="D83" s="24" t="str">
        <f aca="false">IF($A83="","",IF(AND(D$2&gt;=09_ガント元データ!$G82,D$2&lt;=09_ガント元データ!$H82),"■",""))</f>
        <v/>
      </c>
      <c r="E83" s="24" t="str">
        <f aca="false">IF($A83="","",IF(AND(E$2&gt;=09_ガント元データ!$G82,E$2&lt;=09_ガント元データ!$H82),"■",""))</f>
        <v/>
      </c>
      <c r="F83" s="24" t="str">
        <f aca="false">IF($A83="","",IF(AND(F$2&gt;=09_ガント元データ!$G82,F$2&lt;=09_ガント元データ!$H82),"■",""))</f>
        <v/>
      </c>
      <c r="G83" s="24" t="str">
        <f aca="false">IF($A83="","",IF(AND(G$2&gt;=09_ガント元データ!$G82,G$2&lt;=09_ガント元データ!$H82),"■",""))</f>
        <v/>
      </c>
      <c r="H83" s="24" t="str">
        <f aca="false">IF($A83="","",IF(AND(H$2&gt;=09_ガント元データ!$G82,H$2&lt;=09_ガント元データ!$H82),"■",""))</f>
        <v/>
      </c>
      <c r="I83" s="24" t="str">
        <f aca="false">IF($A83="","",IF(AND(I$2&gt;=09_ガント元データ!$G82,I$2&lt;=09_ガント元データ!$H82),"■",""))</f>
        <v/>
      </c>
      <c r="J83" s="24" t="str">
        <f aca="false">IF($A83="","",IF(AND(J$2&gt;=09_ガント元データ!$G82,J$2&lt;=09_ガント元データ!$H82),"■",""))</f>
        <v/>
      </c>
      <c r="K83" s="24" t="str">
        <f aca="false">IF($A83="","",IF(AND(K$2&gt;=09_ガント元データ!$G82,K$2&lt;=09_ガント元データ!$H82),"■",""))</f>
        <v/>
      </c>
      <c r="L83" s="24" t="str">
        <f aca="false">IF($A83="","",IF(AND(L$2&gt;=09_ガント元データ!$G82,L$2&lt;=09_ガント元データ!$H82),"■",""))</f>
        <v/>
      </c>
      <c r="M83" s="24" t="str">
        <f aca="false">IF($A83="","",IF(AND(M$2&gt;=09_ガント元データ!$G82,M$2&lt;=09_ガント元データ!$H82),"■",""))</f>
        <v/>
      </c>
      <c r="N83" s="24" t="str">
        <f aca="false">IF($A83="","",IF(AND(N$2&gt;=09_ガント元データ!$G82,N$2&lt;=09_ガント元データ!$H82),"■",""))</f>
        <v/>
      </c>
      <c r="O83" s="24" t="str">
        <f aca="false">IF($A83="","",IF(AND(O$2&gt;=09_ガント元データ!$G82,O$2&lt;=09_ガント元データ!$H82),"■",""))</f>
        <v/>
      </c>
      <c r="P83" s="24" t="str">
        <f aca="false">IF($A83="","",IF(AND(P$2&gt;=09_ガント元データ!$G82,P$2&lt;=09_ガント元データ!$H82),"■",""))</f>
        <v/>
      </c>
      <c r="Q83" s="24" t="str">
        <f aca="false">IF($A83="","",IF(AND(Q$2&gt;=09_ガント元データ!$G82,Q$2&lt;=09_ガント元データ!$H82),"■",""))</f>
        <v/>
      </c>
      <c r="R83" s="24" t="str">
        <f aca="false">IF($A83="","",IF(AND(R$2&gt;=09_ガント元データ!$G82,R$2&lt;=09_ガント元データ!$H82),"■",""))</f>
        <v/>
      </c>
      <c r="S83" s="24" t="str">
        <f aca="false">IF($A83="","",IF(AND(S$2&gt;=09_ガント元データ!$G82,S$2&lt;=09_ガント元データ!$H82),"■",""))</f>
        <v/>
      </c>
      <c r="T83" s="24" t="str">
        <f aca="false">IF($A83="","",IF(AND(T$2&gt;=09_ガント元データ!$G82,T$2&lt;=09_ガント元データ!$H82),"■",""))</f>
        <v/>
      </c>
      <c r="U83" s="24" t="str">
        <f aca="false">IF($A83="","",IF(AND(U$2&gt;=09_ガント元データ!$G82,U$2&lt;=09_ガント元データ!$H82),"■",""))</f>
        <v/>
      </c>
      <c r="V83" s="24" t="str">
        <f aca="false">IF($A83="","",IF(AND(V$2&gt;=09_ガント元データ!$G82,V$2&lt;=09_ガント元データ!$H82),"■",""))</f>
        <v/>
      </c>
      <c r="W83" s="24" t="str">
        <f aca="false">IF($A83="","",IF(AND(W$2&gt;=09_ガント元データ!$G82,W$2&lt;=09_ガント元データ!$H82),"■",""))</f>
        <v/>
      </c>
      <c r="X83" s="24" t="str">
        <f aca="false">IF($A83="","",IF(AND(X$2&gt;=09_ガント元データ!$G82,X$2&lt;=09_ガント元データ!$H82),"■",""))</f>
        <v/>
      </c>
      <c r="Y83" s="24" t="str">
        <f aca="false">IF($A83="","",IF(AND(Y$2&gt;=09_ガント元データ!$G82,Y$2&lt;=09_ガント元データ!$H82),"■",""))</f>
        <v/>
      </c>
      <c r="Z83" s="24" t="str">
        <f aca="false">IF($A83="","",IF(AND(Z$2&gt;=09_ガント元データ!$G82,Z$2&lt;=09_ガント元データ!$H82),"■",""))</f>
        <v/>
      </c>
      <c r="AA83" s="24" t="str">
        <f aca="false">IF($A83="","",IF(AND(AA$2&gt;=09_ガント元データ!$G82,AA$2&lt;=09_ガント元データ!$H82),"■",""))</f>
        <v/>
      </c>
      <c r="AB83" s="24" t="str">
        <f aca="false">IF($A83="","",IF(AND(AB$2&gt;=09_ガント元データ!$G82,AB$2&lt;=09_ガント元データ!$H82),"■",""))</f>
        <v/>
      </c>
      <c r="AC83" s="24" t="str">
        <f aca="false">IF($A83="","",IF(AND(AC$2&gt;=09_ガント元データ!$G82,AC$2&lt;=09_ガント元データ!$H82),"■",""))</f>
        <v/>
      </c>
      <c r="AD83" s="24" t="str">
        <f aca="false">IF($A83="","",IF(AND(AD$2&gt;=09_ガント元データ!$G82,AD$2&lt;=09_ガント元データ!$H82),"■",""))</f>
        <v/>
      </c>
      <c r="AE83" s="24" t="str">
        <f aca="false">IF($A83="","",IF(AND(AE$2&gt;=09_ガント元データ!$G82,AE$2&lt;=09_ガント元データ!$H82),"■",""))</f>
        <v/>
      </c>
      <c r="AF83" s="24" t="str">
        <f aca="false">IF($A83="","",IF(AND(AF$2&gt;=09_ガント元データ!$G82,AF$2&lt;=09_ガント元データ!$H82),"■",""))</f>
        <v/>
      </c>
      <c r="AG83" s="24" t="str">
        <f aca="false">IF($A83="","",IF(AND(AG$2&gt;=09_ガント元データ!$G82,AG$2&lt;=09_ガント元データ!$H82),"■",""))</f>
        <v/>
      </c>
      <c r="AH83" s="24" t="str">
        <f aca="false">IF($A83="","",IF(AND(AH$2&gt;=09_ガント元データ!$G82,AH$2&lt;=09_ガント元データ!$H82),"■",""))</f>
        <v/>
      </c>
      <c r="AI83" s="24" t="str">
        <f aca="false">IF($A83="","",IF(AND(AI$2&gt;=09_ガント元データ!$G82,AI$2&lt;=09_ガント元データ!$H82),"■",""))</f>
        <v/>
      </c>
      <c r="AJ83" s="24" t="str">
        <f aca="false">IF($A83="","",IF(AND(AJ$2&gt;=09_ガント元データ!$G82,AJ$2&lt;=09_ガント元データ!$H82),"■",""))</f>
        <v/>
      </c>
      <c r="AK83" s="24" t="str">
        <f aca="false">IF($A83="","",IF(AND(AK$2&gt;=09_ガント元データ!$G82,AK$2&lt;=09_ガント元データ!$H82),"■",""))</f>
        <v/>
      </c>
      <c r="AL83" s="24" t="str">
        <f aca="false">IF($A83="","",IF(AND(AL$2&gt;=09_ガント元データ!$G82,AL$2&lt;=09_ガント元データ!$H82),"■",""))</f>
        <v/>
      </c>
      <c r="AM83" s="24" t="str">
        <f aca="false">IF($A83="","",IF(AND(AM$2&gt;=09_ガント元データ!$G82,AM$2&lt;=09_ガント元データ!$H82),"■",""))</f>
        <v/>
      </c>
    </row>
    <row r="84" customFormat="false" ht="15" hidden="false" customHeight="false" outlineLevel="0" collapsed="false">
      <c r="A84" s="22" t="str">
        <f aca="false">09_ガント元データ!A83</f>
        <v/>
      </c>
      <c r="B84" s="22" t="str">
        <f aca="false">09_ガント元データ!B83</f>
        <v/>
      </c>
      <c r="C84" s="23" t="str">
        <f aca="false">09_ガント元データ!C83</f>
        <v/>
      </c>
      <c r="D84" s="24" t="str">
        <f aca="false">IF($A84="","",IF(AND(D$2&gt;=09_ガント元データ!$G83,D$2&lt;=09_ガント元データ!$H83),"■",""))</f>
        <v/>
      </c>
      <c r="E84" s="24" t="str">
        <f aca="false">IF($A84="","",IF(AND(E$2&gt;=09_ガント元データ!$G83,E$2&lt;=09_ガント元データ!$H83),"■",""))</f>
        <v/>
      </c>
      <c r="F84" s="24" t="str">
        <f aca="false">IF($A84="","",IF(AND(F$2&gt;=09_ガント元データ!$G83,F$2&lt;=09_ガント元データ!$H83),"■",""))</f>
        <v/>
      </c>
      <c r="G84" s="24" t="str">
        <f aca="false">IF($A84="","",IF(AND(G$2&gt;=09_ガント元データ!$G83,G$2&lt;=09_ガント元データ!$H83),"■",""))</f>
        <v/>
      </c>
      <c r="H84" s="24" t="str">
        <f aca="false">IF($A84="","",IF(AND(H$2&gt;=09_ガント元データ!$G83,H$2&lt;=09_ガント元データ!$H83),"■",""))</f>
        <v/>
      </c>
      <c r="I84" s="24" t="str">
        <f aca="false">IF($A84="","",IF(AND(I$2&gt;=09_ガント元データ!$G83,I$2&lt;=09_ガント元データ!$H83),"■",""))</f>
        <v/>
      </c>
      <c r="J84" s="24" t="str">
        <f aca="false">IF($A84="","",IF(AND(J$2&gt;=09_ガント元データ!$G83,J$2&lt;=09_ガント元データ!$H83),"■",""))</f>
        <v/>
      </c>
      <c r="K84" s="24" t="str">
        <f aca="false">IF($A84="","",IF(AND(K$2&gt;=09_ガント元データ!$G83,K$2&lt;=09_ガント元データ!$H83),"■",""))</f>
        <v/>
      </c>
      <c r="L84" s="24" t="str">
        <f aca="false">IF($A84="","",IF(AND(L$2&gt;=09_ガント元データ!$G83,L$2&lt;=09_ガント元データ!$H83),"■",""))</f>
        <v/>
      </c>
      <c r="M84" s="24" t="str">
        <f aca="false">IF($A84="","",IF(AND(M$2&gt;=09_ガント元データ!$G83,M$2&lt;=09_ガント元データ!$H83),"■",""))</f>
        <v/>
      </c>
      <c r="N84" s="24" t="str">
        <f aca="false">IF($A84="","",IF(AND(N$2&gt;=09_ガント元データ!$G83,N$2&lt;=09_ガント元データ!$H83),"■",""))</f>
        <v/>
      </c>
      <c r="O84" s="24" t="str">
        <f aca="false">IF($A84="","",IF(AND(O$2&gt;=09_ガント元データ!$G83,O$2&lt;=09_ガント元データ!$H83),"■",""))</f>
        <v/>
      </c>
      <c r="P84" s="24" t="str">
        <f aca="false">IF($A84="","",IF(AND(P$2&gt;=09_ガント元データ!$G83,P$2&lt;=09_ガント元データ!$H83),"■",""))</f>
        <v/>
      </c>
      <c r="Q84" s="24" t="str">
        <f aca="false">IF($A84="","",IF(AND(Q$2&gt;=09_ガント元データ!$G83,Q$2&lt;=09_ガント元データ!$H83),"■",""))</f>
        <v/>
      </c>
      <c r="R84" s="24" t="str">
        <f aca="false">IF($A84="","",IF(AND(R$2&gt;=09_ガント元データ!$G83,R$2&lt;=09_ガント元データ!$H83),"■",""))</f>
        <v/>
      </c>
      <c r="S84" s="24" t="str">
        <f aca="false">IF($A84="","",IF(AND(S$2&gt;=09_ガント元データ!$G83,S$2&lt;=09_ガント元データ!$H83),"■",""))</f>
        <v/>
      </c>
      <c r="T84" s="24" t="str">
        <f aca="false">IF($A84="","",IF(AND(T$2&gt;=09_ガント元データ!$G83,T$2&lt;=09_ガント元データ!$H83),"■",""))</f>
        <v/>
      </c>
      <c r="U84" s="24" t="str">
        <f aca="false">IF($A84="","",IF(AND(U$2&gt;=09_ガント元データ!$G83,U$2&lt;=09_ガント元データ!$H83),"■",""))</f>
        <v/>
      </c>
      <c r="V84" s="24" t="str">
        <f aca="false">IF($A84="","",IF(AND(V$2&gt;=09_ガント元データ!$G83,V$2&lt;=09_ガント元データ!$H83),"■",""))</f>
        <v/>
      </c>
      <c r="W84" s="24" t="str">
        <f aca="false">IF($A84="","",IF(AND(W$2&gt;=09_ガント元データ!$G83,W$2&lt;=09_ガント元データ!$H83),"■",""))</f>
        <v/>
      </c>
      <c r="X84" s="24" t="str">
        <f aca="false">IF($A84="","",IF(AND(X$2&gt;=09_ガント元データ!$G83,X$2&lt;=09_ガント元データ!$H83),"■",""))</f>
        <v/>
      </c>
      <c r="Y84" s="24" t="str">
        <f aca="false">IF($A84="","",IF(AND(Y$2&gt;=09_ガント元データ!$G83,Y$2&lt;=09_ガント元データ!$H83),"■",""))</f>
        <v/>
      </c>
      <c r="Z84" s="24" t="str">
        <f aca="false">IF($A84="","",IF(AND(Z$2&gt;=09_ガント元データ!$G83,Z$2&lt;=09_ガント元データ!$H83),"■",""))</f>
        <v/>
      </c>
      <c r="AA84" s="24" t="str">
        <f aca="false">IF($A84="","",IF(AND(AA$2&gt;=09_ガント元データ!$G83,AA$2&lt;=09_ガント元データ!$H83),"■",""))</f>
        <v/>
      </c>
      <c r="AB84" s="24" t="str">
        <f aca="false">IF($A84="","",IF(AND(AB$2&gt;=09_ガント元データ!$G83,AB$2&lt;=09_ガント元データ!$H83),"■",""))</f>
        <v/>
      </c>
      <c r="AC84" s="24" t="str">
        <f aca="false">IF($A84="","",IF(AND(AC$2&gt;=09_ガント元データ!$G83,AC$2&lt;=09_ガント元データ!$H83),"■",""))</f>
        <v/>
      </c>
      <c r="AD84" s="24" t="str">
        <f aca="false">IF($A84="","",IF(AND(AD$2&gt;=09_ガント元データ!$G83,AD$2&lt;=09_ガント元データ!$H83),"■",""))</f>
        <v/>
      </c>
      <c r="AE84" s="24" t="str">
        <f aca="false">IF($A84="","",IF(AND(AE$2&gt;=09_ガント元データ!$G83,AE$2&lt;=09_ガント元データ!$H83),"■",""))</f>
        <v/>
      </c>
      <c r="AF84" s="24" t="str">
        <f aca="false">IF($A84="","",IF(AND(AF$2&gt;=09_ガント元データ!$G83,AF$2&lt;=09_ガント元データ!$H83),"■",""))</f>
        <v/>
      </c>
      <c r="AG84" s="24" t="str">
        <f aca="false">IF($A84="","",IF(AND(AG$2&gt;=09_ガント元データ!$G83,AG$2&lt;=09_ガント元データ!$H83),"■",""))</f>
        <v/>
      </c>
      <c r="AH84" s="24" t="str">
        <f aca="false">IF($A84="","",IF(AND(AH$2&gt;=09_ガント元データ!$G83,AH$2&lt;=09_ガント元データ!$H83),"■",""))</f>
        <v/>
      </c>
      <c r="AI84" s="24" t="str">
        <f aca="false">IF($A84="","",IF(AND(AI$2&gt;=09_ガント元データ!$G83,AI$2&lt;=09_ガント元データ!$H83),"■",""))</f>
        <v/>
      </c>
      <c r="AJ84" s="24" t="str">
        <f aca="false">IF($A84="","",IF(AND(AJ$2&gt;=09_ガント元データ!$G83,AJ$2&lt;=09_ガント元データ!$H83),"■",""))</f>
        <v/>
      </c>
      <c r="AK84" s="24" t="str">
        <f aca="false">IF($A84="","",IF(AND(AK$2&gt;=09_ガント元データ!$G83,AK$2&lt;=09_ガント元データ!$H83),"■",""))</f>
        <v/>
      </c>
      <c r="AL84" s="24" t="str">
        <f aca="false">IF($A84="","",IF(AND(AL$2&gt;=09_ガント元データ!$G83,AL$2&lt;=09_ガント元データ!$H83),"■",""))</f>
        <v/>
      </c>
      <c r="AM84" s="24" t="str">
        <f aca="false">IF($A84="","",IF(AND(AM$2&gt;=09_ガント元データ!$G83,AM$2&lt;=09_ガント元データ!$H83),"■",""))</f>
        <v/>
      </c>
    </row>
    <row r="85" customFormat="false" ht="15" hidden="false" customHeight="false" outlineLevel="0" collapsed="false">
      <c r="A85" s="22" t="str">
        <f aca="false">09_ガント元データ!A84</f>
        <v/>
      </c>
      <c r="B85" s="22" t="str">
        <f aca="false">09_ガント元データ!B84</f>
        <v/>
      </c>
      <c r="C85" s="23" t="str">
        <f aca="false">09_ガント元データ!C84</f>
        <v/>
      </c>
      <c r="D85" s="24" t="str">
        <f aca="false">IF($A85="","",IF(AND(D$2&gt;=09_ガント元データ!$G84,D$2&lt;=09_ガント元データ!$H84),"■",""))</f>
        <v/>
      </c>
      <c r="E85" s="24" t="str">
        <f aca="false">IF($A85="","",IF(AND(E$2&gt;=09_ガント元データ!$G84,E$2&lt;=09_ガント元データ!$H84),"■",""))</f>
        <v/>
      </c>
      <c r="F85" s="24" t="str">
        <f aca="false">IF($A85="","",IF(AND(F$2&gt;=09_ガント元データ!$G84,F$2&lt;=09_ガント元データ!$H84),"■",""))</f>
        <v/>
      </c>
      <c r="G85" s="24" t="str">
        <f aca="false">IF($A85="","",IF(AND(G$2&gt;=09_ガント元データ!$G84,G$2&lt;=09_ガント元データ!$H84),"■",""))</f>
        <v/>
      </c>
      <c r="H85" s="24" t="str">
        <f aca="false">IF($A85="","",IF(AND(H$2&gt;=09_ガント元データ!$G84,H$2&lt;=09_ガント元データ!$H84),"■",""))</f>
        <v/>
      </c>
      <c r="I85" s="24" t="str">
        <f aca="false">IF($A85="","",IF(AND(I$2&gt;=09_ガント元データ!$G84,I$2&lt;=09_ガント元データ!$H84),"■",""))</f>
        <v/>
      </c>
      <c r="J85" s="24" t="str">
        <f aca="false">IF($A85="","",IF(AND(J$2&gt;=09_ガント元データ!$G84,J$2&lt;=09_ガント元データ!$H84),"■",""))</f>
        <v/>
      </c>
      <c r="K85" s="24" t="str">
        <f aca="false">IF($A85="","",IF(AND(K$2&gt;=09_ガント元データ!$G84,K$2&lt;=09_ガント元データ!$H84),"■",""))</f>
        <v/>
      </c>
      <c r="L85" s="24" t="str">
        <f aca="false">IF($A85="","",IF(AND(L$2&gt;=09_ガント元データ!$G84,L$2&lt;=09_ガント元データ!$H84),"■",""))</f>
        <v/>
      </c>
      <c r="M85" s="24" t="str">
        <f aca="false">IF($A85="","",IF(AND(M$2&gt;=09_ガント元データ!$G84,M$2&lt;=09_ガント元データ!$H84),"■",""))</f>
        <v/>
      </c>
      <c r="N85" s="24" t="str">
        <f aca="false">IF($A85="","",IF(AND(N$2&gt;=09_ガント元データ!$G84,N$2&lt;=09_ガント元データ!$H84),"■",""))</f>
        <v/>
      </c>
      <c r="O85" s="24" t="str">
        <f aca="false">IF($A85="","",IF(AND(O$2&gt;=09_ガント元データ!$G84,O$2&lt;=09_ガント元データ!$H84),"■",""))</f>
        <v/>
      </c>
      <c r="P85" s="24" t="str">
        <f aca="false">IF($A85="","",IF(AND(P$2&gt;=09_ガント元データ!$G84,P$2&lt;=09_ガント元データ!$H84),"■",""))</f>
        <v/>
      </c>
      <c r="Q85" s="24" t="str">
        <f aca="false">IF($A85="","",IF(AND(Q$2&gt;=09_ガント元データ!$G84,Q$2&lt;=09_ガント元データ!$H84),"■",""))</f>
        <v/>
      </c>
      <c r="R85" s="24" t="str">
        <f aca="false">IF($A85="","",IF(AND(R$2&gt;=09_ガント元データ!$G84,R$2&lt;=09_ガント元データ!$H84),"■",""))</f>
        <v/>
      </c>
      <c r="S85" s="24" t="str">
        <f aca="false">IF($A85="","",IF(AND(S$2&gt;=09_ガント元データ!$G84,S$2&lt;=09_ガント元データ!$H84),"■",""))</f>
        <v/>
      </c>
      <c r="T85" s="24" t="str">
        <f aca="false">IF($A85="","",IF(AND(T$2&gt;=09_ガント元データ!$G84,T$2&lt;=09_ガント元データ!$H84),"■",""))</f>
        <v/>
      </c>
      <c r="U85" s="24" t="str">
        <f aca="false">IF($A85="","",IF(AND(U$2&gt;=09_ガント元データ!$G84,U$2&lt;=09_ガント元データ!$H84),"■",""))</f>
        <v/>
      </c>
      <c r="V85" s="24" t="str">
        <f aca="false">IF($A85="","",IF(AND(V$2&gt;=09_ガント元データ!$G84,V$2&lt;=09_ガント元データ!$H84),"■",""))</f>
        <v/>
      </c>
      <c r="W85" s="24" t="str">
        <f aca="false">IF($A85="","",IF(AND(W$2&gt;=09_ガント元データ!$G84,W$2&lt;=09_ガント元データ!$H84),"■",""))</f>
        <v/>
      </c>
      <c r="X85" s="24" t="str">
        <f aca="false">IF($A85="","",IF(AND(X$2&gt;=09_ガント元データ!$G84,X$2&lt;=09_ガント元データ!$H84),"■",""))</f>
        <v/>
      </c>
      <c r="Y85" s="24" t="str">
        <f aca="false">IF($A85="","",IF(AND(Y$2&gt;=09_ガント元データ!$G84,Y$2&lt;=09_ガント元データ!$H84),"■",""))</f>
        <v/>
      </c>
      <c r="Z85" s="24" t="str">
        <f aca="false">IF($A85="","",IF(AND(Z$2&gt;=09_ガント元データ!$G84,Z$2&lt;=09_ガント元データ!$H84),"■",""))</f>
        <v/>
      </c>
      <c r="AA85" s="24" t="str">
        <f aca="false">IF($A85="","",IF(AND(AA$2&gt;=09_ガント元データ!$G84,AA$2&lt;=09_ガント元データ!$H84),"■",""))</f>
        <v/>
      </c>
      <c r="AB85" s="24" t="str">
        <f aca="false">IF($A85="","",IF(AND(AB$2&gt;=09_ガント元データ!$G84,AB$2&lt;=09_ガント元データ!$H84),"■",""))</f>
        <v/>
      </c>
      <c r="AC85" s="24" t="str">
        <f aca="false">IF($A85="","",IF(AND(AC$2&gt;=09_ガント元データ!$G84,AC$2&lt;=09_ガント元データ!$H84),"■",""))</f>
        <v/>
      </c>
      <c r="AD85" s="24" t="str">
        <f aca="false">IF($A85="","",IF(AND(AD$2&gt;=09_ガント元データ!$G84,AD$2&lt;=09_ガント元データ!$H84),"■",""))</f>
        <v/>
      </c>
      <c r="AE85" s="24" t="str">
        <f aca="false">IF($A85="","",IF(AND(AE$2&gt;=09_ガント元データ!$G84,AE$2&lt;=09_ガント元データ!$H84),"■",""))</f>
        <v/>
      </c>
      <c r="AF85" s="24" t="str">
        <f aca="false">IF($A85="","",IF(AND(AF$2&gt;=09_ガント元データ!$G84,AF$2&lt;=09_ガント元データ!$H84),"■",""))</f>
        <v/>
      </c>
      <c r="AG85" s="24" t="str">
        <f aca="false">IF($A85="","",IF(AND(AG$2&gt;=09_ガント元データ!$G84,AG$2&lt;=09_ガント元データ!$H84),"■",""))</f>
        <v/>
      </c>
      <c r="AH85" s="24" t="str">
        <f aca="false">IF($A85="","",IF(AND(AH$2&gt;=09_ガント元データ!$G84,AH$2&lt;=09_ガント元データ!$H84),"■",""))</f>
        <v/>
      </c>
      <c r="AI85" s="24" t="str">
        <f aca="false">IF($A85="","",IF(AND(AI$2&gt;=09_ガント元データ!$G84,AI$2&lt;=09_ガント元データ!$H84),"■",""))</f>
        <v/>
      </c>
      <c r="AJ85" s="24" t="str">
        <f aca="false">IF($A85="","",IF(AND(AJ$2&gt;=09_ガント元データ!$G84,AJ$2&lt;=09_ガント元データ!$H84),"■",""))</f>
        <v/>
      </c>
      <c r="AK85" s="24" t="str">
        <f aca="false">IF($A85="","",IF(AND(AK$2&gt;=09_ガント元データ!$G84,AK$2&lt;=09_ガント元データ!$H84),"■",""))</f>
        <v/>
      </c>
      <c r="AL85" s="24" t="str">
        <f aca="false">IF($A85="","",IF(AND(AL$2&gt;=09_ガント元データ!$G84,AL$2&lt;=09_ガント元データ!$H84),"■",""))</f>
        <v/>
      </c>
      <c r="AM85" s="24" t="str">
        <f aca="false">IF($A85="","",IF(AND(AM$2&gt;=09_ガント元データ!$G84,AM$2&lt;=09_ガント元データ!$H84),"■",""))</f>
        <v/>
      </c>
    </row>
    <row r="86" customFormat="false" ht="15" hidden="false" customHeight="false" outlineLevel="0" collapsed="false">
      <c r="A86" s="22" t="str">
        <f aca="false">09_ガント元データ!A85</f>
        <v/>
      </c>
      <c r="B86" s="22" t="str">
        <f aca="false">09_ガント元データ!B85</f>
        <v/>
      </c>
      <c r="C86" s="23" t="str">
        <f aca="false">09_ガント元データ!C85</f>
        <v/>
      </c>
      <c r="D86" s="24" t="str">
        <f aca="false">IF($A86="","",IF(AND(D$2&gt;=09_ガント元データ!$G85,D$2&lt;=09_ガント元データ!$H85),"■",""))</f>
        <v/>
      </c>
      <c r="E86" s="24" t="str">
        <f aca="false">IF($A86="","",IF(AND(E$2&gt;=09_ガント元データ!$G85,E$2&lt;=09_ガント元データ!$H85),"■",""))</f>
        <v/>
      </c>
      <c r="F86" s="24" t="str">
        <f aca="false">IF($A86="","",IF(AND(F$2&gt;=09_ガント元データ!$G85,F$2&lt;=09_ガント元データ!$H85),"■",""))</f>
        <v/>
      </c>
      <c r="G86" s="24" t="str">
        <f aca="false">IF($A86="","",IF(AND(G$2&gt;=09_ガント元データ!$G85,G$2&lt;=09_ガント元データ!$H85),"■",""))</f>
        <v/>
      </c>
      <c r="H86" s="24" t="str">
        <f aca="false">IF($A86="","",IF(AND(H$2&gt;=09_ガント元データ!$G85,H$2&lt;=09_ガント元データ!$H85),"■",""))</f>
        <v/>
      </c>
      <c r="I86" s="24" t="str">
        <f aca="false">IF($A86="","",IF(AND(I$2&gt;=09_ガント元データ!$G85,I$2&lt;=09_ガント元データ!$H85),"■",""))</f>
        <v/>
      </c>
      <c r="J86" s="24" t="str">
        <f aca="false">IF($A86="","",IF(AND(J$2&gt;=09_ガント元データ!$G85,J$2&lt;=09_ガント元データ!$H85),"■",""))</f>
        <v/>
      </c>
      <c r="K86" s="24" t="str">
        <f aca="false">IF($A86="","",IF(AND(K$2&gt;=09_ガント元データ!$G85,K$2&lt;=09_ガント元データ!$H85),"■",""))</f>
        <v/>
      </c>
      <c r="L86" s="24" t="str">
        <f aca="false">IF($A86="","",IF(AND(L$2&gt;=09_ガント元データ!$G85,L$2&lt;=09_ガント元データ!$H85),"■",""))</f>
        <v/>
      </c>
      <c r="M86" s="24" t="str">
        <f aca="false">IF($A86="","",IF(AND(M$2&gt;=09_ガント元データ!$G85,M$2&lt;=09_ガント元データ!$H85),"■",""))</f>
        <v/>
      </c>
      <c r="N86" s="24" t="str">
        <f aca="false">IF($A86="","",IF(AND(N$2&gt;=09_ガント元データ!$G85,N$2&lt;=09_ガント元データ!$H85),"■",""))</f>
        <v/>
      </c>
      <c r="O86" s="24" t="str">
        <f aca="false">IF($A86="","",IF(AND(O$2&gt;=09_ガント元データ!$G85,O$2&lt;=09_ガント元データ!$H85),"■",""))</f>
        <v/>
      </c>
      <c r="P86" s="24" t="str">
        <f aca="false">IF($A86="","",IF(AND(P$2&gt;=09_ガント元データ!$G85,P$2&lt;=09_ガント元データ!$H85),"■",""))</f>
        <v/>
      </c>
      <c r="Q86" s="24" t="str">
        <f aca="false">IF($A86="","",IF(AND(Q$2&gt;=09_ガント元データ!$G85,Q$2&lt;=09_ガント元データ!$H85),"■",""))</f>
        <v/>
      </c>
      <c r="R86" s="24" t="str">
        <f aca="false">IF($A86="","",IF(AND(R$2&gt;=09_ガント元データ!$G85,R$2&lt;=09_ガント元データ!$H85),"■",""))</f>
        <v/>
      </c>
      <c r="S86" s="24" t="str">
        <f aca="false">IF($A86="","",IF(AND(S$2&gt;=09_ガント元データ!$G85,S$2&lt;=09_ガント元データ!$H85),"■",""))</f>
        <v/>
      </c>
      <c r="T86" s="24" t="str">
        <f aca="false">IF($A86="","",IF(AND(T$2&gt;=09_ガント元データ!$G85,T$2&lt;=09_ガント元データ!$H85),"■",""))</f>
        <v/>
      </c>
      <c r="U86" s="24" t="str">
        <f aca="false">IF($A86="","",IF(AND(U$2&gt;=09_ガント元データ!$G85,U$2&lt;=09_ガント元データ!$H85),"■",""))</f>
        <v/>
      </c>
      <c r="V86" s="24" t="str">
        <f aca="false">IF($A86="","",IF(AND(V$2&gt;=09_ガント元データ!$G85,V$2&lt;=09_ガント元データ!$H85),"■",""))</f>
        <v/>
      </c>
      <c r="W86" s="24" t="str">
        <f aca="false">IF($A86="","",IF(AND(W$2&gt;=09_ガント元データ!$G85,W$2&lt;=09_ガント元データ!$H85),"■",""))</f>
        <v/>
      </c>
      <c r="X86" s="24" t="str">
        <f aca="false">IF($A86="","",IF(AND(X$2&gt;=09_ガント元データ!$G85,X$2&lt;=09_ガント元データ!$H85),"■",""))</f>
        <v/>
      </c>
      <c r="Y86" s="24" t="str">
        <f aca="false">IF($A86="","",IF(AND(Y$2&gt;=09_ガント元データ!$G85,Y$2&lt;=09_ガント元データ!$H85),"■",""))</f>
        <v/>
      </c>
      <c r="Z86" s="24" t="str">
        <f aca="false">IF($A86="","",IF(AND(Z$2&gt;=09_ガント元データ!$G85,Z$2&lt;=09_ガント元データ!$H85),"■",""))</f>
        <v/>
      </c>
      <c r="AA86" s="24" t="str">
        <f aca="false">IF($A86="","",IF(AND(AA$2&gt;=09_ガント元データ!$G85,AA$2&lt;=09_ガント元データ!$H85),"■",""))</f>
        <v/>
      </c>
      <c r="AB86" s="24" t="str">
        <f aca="false">IF($A86="","",IF(AND(AB$2&gt;=09_ガント元データ!$G85,AB$2&lt;=09_ガント元データ!$H85),"■",""))</f>
        <v/>
      </c>
      <c r="AC86" s="24" t="str">
        <f aca="false">IF($A86="","",IF(AND(AC$2&gt;=09_ガント元データ!$G85,AC$2&lt;=09_ガント元データ!$H85),"■",""))</f>
        <v/>
      </c>
      <c r="AD86" s="24" t="str">
        <f aca="false">IF($A86="","",IF(AND(AD$2&gt;=09_ガント元データ!$G85,AD$2&lt;=09_ガント元データ!$H85),"■",""))</f>
        <v/>
      </c>
      <c r="AE86" s="24" t="str">
        <f aca="false">IF($A86="","",IF(AND(AE$2&gt;=09_ガント元データ!$G85,AE$2&lt;=09_ガント元データ!$H85),"■",""))</f>
        <v/>
      </c>
      <c r="AF86" s="24" t="str">
        <f aca="false">IF($A86="","",IF(AND(AF$2&gt;=09_ガント元データ!$G85,AF$2&lt;=09_ガント元データ!$H85),"■",""))</f>
        <v/>
      </c>
      <c r="AG86" s="24" t="str">
        <f aca="false">IF($A86="","",IF(AND(AG$2&gt;=09_ガント元データ!$G85,AG$2&lt;=09_ガント元データ!$H85),"■",""))</f>
        <v/>
      </c>
      <c r="AH86" s="24" t="str">
        <f aca="false">IF($A86="","",IF(AND(AH$2&gt;=09_ガント元データ!$G85,AH$2&lt;=09_ガント元データ!$H85),"■",""))</f>
        <v/>
      </c>
      <c r="AI86" s="24" t="str">
        <f aca="false">IF($A86="","",IF(AND(AI$2&gt;=09_ガント元データ!$G85,AI$2&lt;=09_ガント元データ!$H85),"■",""))</f>
        <v/>
      </c>
      <c r="AJ86" s="24" t="str">
        <f aca="false">IF($A86="","",IF(AND(AJ$2&gt;=09_ガント元データ!$G85,AJ$2&lt;=09_ガント元データ!$H85),"■",""))</f>
        <v/>
      </c>
      <c r="AK86" s="24" t="str">
        <f aca="false">IF($A86="","",IF(AND(AK$2&gt;=09_ガント元データ!$G85,AK$2&lt;=09_ガント元データ!$H85),"■",""))</f>
        <v/>
      </c>
      <c r="AL86" s="24" t="str">
        <f aca="false">IF($A86="","",IF(AND(AL$2&gt;=09_ガント元データ!$G85,AL$2&lt;=09_ガント元データ!$H85),"■",""))</f>
        <v/>
      </c>
      <c r="AM86" s="24" t="str">
        <f aca="false">IF($A86="","",IF(AND(AM$2&gt;=09_ガント元データ!$G85,AM$2&lt;=09_ガント元データ!$H85),"■",""))</f>
        <v/>
      </c>
    </row>
    <row r="87" customFormat="false" ht="15" hidden="false" customHeight="false" outlineLevel="0" collapsed="false">
      <c r="A87" s="22" t="str">
        <f aca="false">09_ガント元データ!A86</f>
        <v/>
      </c>
      <c r="B87" s="22" t="str">
        <f aca="false">09_ガント元データ!B86</f>
        <v/>
      </c>
      <c r="C87" s="23" t="str">
        <f aca="false">09_ガント元データ!C86</f>
        <v/>
      </c>
      <c r="D87" s="24" t="str">
        <f aca="false">IF($A87="","",IF(AND(D$2&gt;=09_ガント元データ!$G86,D$2&lt;=09_ガント元データ!$H86),"■",""))</f>
        <v/>
      </c>
      <c r="E87" s="24" t="str">
        <f aca="false">IF($A87="","",IF(AND(E$2&gt;=09_ガント元データ!$G86,E$2&lt;=09_ガント元データ!$H86),"■",""))</f>
        <v/>
      </c>
      <c r="F87" s="24" t="str">
        <f aca="false">IF($A87="","",IF(AND(F$2&gt;=09_ガント元データ!$G86,F$2&lt;=09_ガント元データ!$H86),"■",""))</f>
        <v/>
      </c>
      <c r="G87" s="24" t="str">
        <f aca="false">IF($A87="","",IF(AND(G$2&gt;=09_ガント元データ!$G86,G$2&lt;=09_ガント元データ!$H86),"■",""))</f>
        <v/>
      </c>
      <c r="H87" s="24" t="str">
        <f aca="false">IF($A87="","",IF(AND(H$2&gt;=09_ガント元データ!$G86,H$2&lt;=09_ガント元データ!$H86),"■",""))</f>
        <v/>
      </c>
      <c r="I87" s="24" t="str">
        <f aca="false">IF($A87="","",IF(AND(I$2&gt;=09_ガント元データ!$G86,I$2&lt;=09_ガント元データ!$H86),"■",""))</f>
        <v/>
      </c>
      <c r="J87" s="24" t="str">
        <f aca="false">IF($A87="","",IF(AND(J$2&gt;=09_ガント元データ!$G86,J$2&lt;=09_ガント元データ!$H86),"■",""))</f>
        <v/>
      </c>
      <c r="K87" s="24" t="str">
        <f aca="false">IF($A87="","",IF(AND(K$2&gt;=09_ガント元データ!$G86,K$2&lt;=09_ガント元データ!$H86),"■",""))</f>
        <v/>
      </c>
      <c r="L87" s="24" t="str">
        <f aca="false">IF($A87="","",IF(AND(L$2&gt;=09_ガント元データ!$G86,L$2&lt;=09_ガント元データ!$H86),"■",""))</f>
        <v/>
      </c>
      <c r="M87" s="24" t="str">
        <f aca="false">IF($A87="","",IF(AND(M$2&gt;=09_ガント元データ!$G86,M$2&lt;=09_ガント元データ!$H86),"■",""))</f>
        <v/>
      </c>
      <c r="N87" s="24" t="str">
        <f aca="false">IF($A87="","",IF(AND(N$2&gt;=09_ガント元データ!$G86,N$2&lt;=09_ガント元データ!$H86),"■",""))</f>
        <v/>
      </c>
      <c r="O87" s="24" t="str">
        <f aca="false">IF($A87="","",IF(AND(O$2&gt;=09_ガント元データ!$G86,O$2&lt;=09_ガント元データ!$H86),"■",""))</f>
        <v/>
      </c>
      <c r="P87" s="24" t="str">
        <f aca="false">IF($A87="","",IF(AND(P$2&gt;=09_ガント元データ!$G86,P$2&lt;=09_ガント元データ!$H86),"■",""))</f>
        <v/>
      </c>
      <c r="Q87" s="24" t="str">
        <f aca="false">IF($A87="","",IF(AND(Q$2&gt;=09_ガント元データ!$G86,Q$2&lt;=09_ガント元データ!$H86),"■",""))</f>
        <v/>
      </c>
      <c r="R87" s="24" t="str">
        <f aca="false">IF($A87="","",IF(AND(R$2&gt;=09_ガント元データ!$G86,R$2&lt;=09_ガント元データ!$H86),"■",""))</f>
        <v/>
      </c>
      <c r="S87" s="24" t="str">
        <f aca="false">IF($A87="","",IF(AND(S$2&gt;=09_ガント元データ!$G86,S$2&lt;=09_ガント元データ!$H86),"■",""))</f>
        <v/>
      </c>
      <c r="T87" s="24" t="str">
        <f aca="false">IF($A87="","",IF(AND(T$2&gt;=09_ガント元データ!$G86,T$2&lt;=09_ガント元データ!$H86),"■",""))</f>
        <v/>
      </c>
      <c r="U87" s="24" t="str">
        <f aca="false">IF($A87="","",IF(AND(U$2&gt;=09_ガント元データ!$G86,U$2&lt;=09_ガント元データ!$H86),"■",""))</f>
        <v/>
      </c>
      <c r="V87" s="24" t="str">
        <f aca="false">IF($A87="","",IF(AND(V$2&gt;=09_ガント元データ!$G86,V$2&lt;=09_ガント元データ!$H86),"■",""))</f>
        <v/>
      </c>
      <c r="W87" s="24" t="str">
        <f aca="false">IF($A87="","",IF(AND(W$2&gt;=09_ガント元データ!$G86,W$2&lt;=09_ガント元データ!$H86),"■",""))</f>
        <v/>
      </c>
      <c r="X87" s="24" t="str">
        <f aca="false">IF($A87="","",IF(AND(X$2&gt;=09_ガント元データ!$G86,X$2&lt;=09_ガント元データ!$H86),"■",""))</f>
        <v/>
      </c>
      <c r="Y87" s="24" t="str">
        <f aca="false">IF($A87="","",IF(AND(Y$2&gt;=09_ガント元データ!$G86,Y$2&lt;=09_ガント元データ!$H86),"■",""))</f>
        <v/>
      </c>
      <c r="Z87" s="24" t="str">
        <f aca="false">IF($A87="","",IF(AND(Z$2&gt;=09_ガント元データ!$G86,Z$2&lt;=09_ガント元データ!$H86),"■",""))</f>
        <v/>
      </c>
      <c r="AA87" s="24" t="str">
        <f aca="false">IF($A87="","",IF(AND(AA$2&gt;=09_ガント元データ!$G86,AA$2&lt;=09_ガント元データ!$H86),"■",""))</f>
        <v/>
      </c>
      <c r="AB87" s="24" t="str">
        <f aca="false">IF($A87="","",IF(AND(AB$2&gt;=09_ガント元データ!$G86,AB$2&lt;=09_ガント元データ!$H86),"■",""))</f>
        <v/>
      </c>
      <c r="AC87" s="24" t="str">
        <f aca="false">IF($A87="","",IF(AND(AC$2&gt;=09_ガント元データ!$G86,AC$2&lt;=09_ガント元データ!$H86),"■",""))</f>
        <v/>
      </c>
      <c r="AD87" s="24" t="str">
        <f aca="false">IF($A87="","",IF(AND(AD$2&gt;=09_ガント元データ!$G86,AD$2&lt;=09_ガント元データ!$H86),"■",""))</f>
        <v/>
      </c>
      <c r="AE87" s="24" t="str">
        <f aca="false">IF($A87="","",IF(AND(AE$2&gt;=09_ガント元データ!$G86,AE$2&lt;=09_ガント元データ!$H86),"■",""))</f>
        <v/>
      </c>
      <c r="AF87" s="24" t="str">
        <f aca="false">IF($A87="","",IF(AND(AF$2&gt;=09_ガント元データ!$G86,AF$2&lt;=09_ガント元データ!$H86),"■",""))</f>
        <v/>
      </c>
      <c r="AG87" s="24" t="str">
        <f aca="false">IF($A87="","",IF(AND(AG$2&gt;=09_ガント元データ!$G86,AG$2&lt;=09_ガント元データ!$H86),"■",""))</f>
        <v/>
      </c>
      <c r="AH87" s="24" t="str">
        <f aca="false">IF($A87="","",IF(AND(AH$2&gt;=09_ガント元データ!$G86,AH$2&lt;=09_ガント元データ!$H86),"■",""))</f>
        <v/>
      </c>
      <c r="AI87" s="24" t="str">
        <f aca="false">IF($A87="","",IF(AND(AI$2&gt;=09_ガント元データ!$G86,AI$2&lt;=09_ガント元データ!$H86),"■",""))</f>
        <v/>
      </c>
      <c r="AJ87" s="24" t="str">
        <f aca="false">IF($A87="","",IF(AND(AJ$2&gt;=09_ガント元データ!$G86,AJ$2&lt;=09_ガント元データ!$H86),"■",""))</f>
        <v/>
      </c>
      <c r="AK87" s="24" t="str">
        <f aca="false">IF($A87="","",IF(AND(AK$2&gt;=09_ガント元データ!$G86,AK$2&lt;=09_ガント元データ!$H86),"■",""))</f>
        <v/>
      </c>
      <c r="AL87" s="24" t="str">
        <f aca="false">IF($A87="","",IF(AND(AL$2&gt;=09_ガント元データ!$G86,AL$2&lt;=09_ガント元データ!$H86),"■",""))</f>
        <v/>
      </c>
      <c r="AM87" s="24" t="str">
        <f aca="false">IF($A87="","",IF(AND(AM$2&gt;=09_ガント元データ!$G86,AM$2&lt;=09_ガント元データ!$H86),"■",""))</f>
        <v/>
      </c>
    </row>
    <row r="88" customFormat="false" ht="15" hidden="false" customHeight="false" outlineLevel="0" collapsed="false">
      <c r="A88" s="22" t="str">
        <f aca="false">09_ガント元データ!A87</f>
        <v/>
      </c>
      <c r="B88" s="22" t="str">
        <f aca="false">09_ガント元データ!B87</f>
        <v/>
      </c>
      <c r="C88" s="23" t="str">
        <f aca="false">09_ガント元データ!C87</f>
        <v/>
      </c>
      <c r="D88" s="24" t="str">
        <f aca="false">IF($A88="","",IF(AND(D$2&gt;=09_ガント元データ!$G87,D$2&lt;=09_ガント元データ!$H87),"■",""))</f>
        <v/>
      </c>
      <c r="E88" s="24" t="str">
        <f aca="false">IF($A88="","",IF(AND(E$2&gt;=09_ガント元データ!$G87,E$2&lt;=09_ガント元データ!$H87),"■",""))</f>
        <v/>
      </c>
      <c r="F88" s="24" t="str">
        <f aca="false">IF($A88="","",IF(AND(F$2&gt;=09_ガント元データ!$G87,F$2&lt;=09_ガント元データ!$H87),"■",""))</f>
        <v/>
      </c>
      <c r="G88" s="24" t="str">
        <f aca="false">IF($A88="","",IF(AND(G$2&gt;=09_ガント元データ!$G87,G$2&lt;=09_ガント元データ!$H87),"■",""))</f>
        <v/>
      </c>
      <c r="H88" s="24" t="str">
        <f aca="false">IF($A88="","",IF(AND(H$2&gt;=09_ガント元データ!$G87,H$2&lt;=09_ガント元データ!$H87),"■",""))</f>
        <v/>
      </c>
      <c r="I88" s="24" t="str">
        <f aca="false">IF($A88="","",IF(AND(I$2&gt;=09_ガント元データ!$G87,I$2&lt;=09_ガント元データ!$H87),"■",""))</f>
        <v/>
      </c>
      <c r="J88" s="24" t="str">
        <f aca="false">IF($A88="","",IF(AND(J$2&gt;=09_ガント元データ!$G87,J$2&lt;=09_ガント元データ!$H87),"■",""))</f>
        <v/>
      </c>
      <c r="K88" s="24" t="str">
        <f aca="false">IF($A88="","",IF(AND(K$2&gt;=09_ガント元データ!$G87,K$2&lt;=09_ガント元データ!$H87),"■",""))</f>
        <v/>
      </c>
      <c r="L88" s="24" t="str">
        <f aca="false">IF($A88="","",IF(AND(L$2&gt;=09_ガント元データ!$G87,L$2&lt;=09_ガント元データ!$H87),"■",""))</f>
        <v/>
      </c>
      <c r="M88" s="24" t="str">
        <f aca="false">IF($A88="","",IF(AND(M$2&gt;=09_ガント元データ!$G87,M$2&lt;=09_ガント元データ!$H87),"■",""))</f>
        <v/>
      </c>
      <c r="N88" s="24" t="str">
        <f aca="false">IF($A88="","",IF(AND(N$2&gt;=09_ガント元データ!$G87,N$2&lt;=09_ガント元データ!$H87),"■",""))</f>
        <v/>
      </c>
      <c r="O88" s="24" t="str">
        <f aca="false">IF($A88="","",IF(AND(O$2&gt;=09_ガント元データ!$G87,O$2&lt;=09_ガント元データ!$H87),"■",""))</f>
        <v/>
      </c>
      <c r="P88" s="24" t="str">
        <f aca="false">IF($A88="","",IF(AND(P$2&gt;=09_ガント元データ!$G87,P$2&lt;=09_ガント元データ!$H87),"■",""))</f>
        <v/>
      </c>
      <c r="Q88" s="24" t="str">
        <f aca="false">IF($A88="","",IF(AND(Q$2&gt;=09_ガント元データ!$G87,Q$2&lt;=09_ガント元データ!$H87),"■",""))</f>
        <v/>
      </c>
      <c r="R88" s="24" t="str">
        <f aca="false">IF($A88="","",IF(AND(R$2&gt;=09_ガント元データ!$G87,R$2&lt;=09_ガント元データ!$H87),"■",""))</f>
        <v/>
      </c>
      <c r="S88" s="24" t="str">
        <f aca="false">IF($A88="","",IF(AND(S$2&gt;=09_ガント元データ!$G87,S$2&lt;=09_ガント元データ!$H87),"■",""))</f>
        <v/>
      </c>
      <c r="T88" s="24" t="str">
        <f aca="false">IF($A88="","",IF(AND(T$2&gt;=09_ガント元データ!$G87,T$2&lt;=09_ガント元データ!$H87),"■",""))</f>
        <v/>
      </c>
      <c r="U88" s="24" t="str">
        <f aca="false">IF($A88="","",IF(AND(U$2&gt;=09_ガント元データ!$G87,U$2&lt;=09_ガント元データ!$H87),"■",""))</f>
        <v/>
      </c>
      <c r="V88" s="24" t="str">
        <f aca="false">IF($A88="","",IF(AND(V$2&gt;=09_ガント元データ!$G87,V$2&lt;=09_ガント元データ!$H87),"■",""))</f>
        <v/>
      </c>
      <c r="W88" s="24" t="str">
        <f aca="false">IF($A88="","",IF(AND(W$2&gt;=09_ガント元データ!$G87,W$2&lt;=09_ガント元データ!$H87),"■",""))</f>
        <v/>
      </c>
      <c r="X88" s="24" t="str">
        <f aca="false">IF($A88="","",IF(AND(X$2&gt;=09_ガント元データ!$G87,X$2&lt;=09_ガント元データ!$H87),"■",""))</f>
        <v/>
      </c>
      <c r="Y88" s="24" t="str">
        <f aca="false">IF($A88="","",IF(AND(Y$2&gt;=09_ガント元データ!$G87,Y$2&lt;=09_ガント元データ!$H87),"■",""))</f>
        <v/>
      </c>
      <c r="Z88" s="24" t="str">
        <f aca="false">IF($A88="","",IF(AND(Z$2&gt;=09_ガント元データ!$G87,Z$2&lt;=09_ガント元データ!$H87),"■",""))</f>
        <v/>
      </c>
      <c r="AA88" s="24" t="str">
        <f aca="false">IF($A88="","",IF(AND(AA$2&gt;=09_ガント元データ!$G87,AA$2&lt;=09_ガント元データ!$H87),"■",""))</f>
        <v/>
      </c>
      <c r="AB88" s="24" t="str">
        <f aca="false">IF($A88="","",IF(AND(AB$2&gt;=09_ガント元データ!$G87,AB$2&lt;=09_ガント元データ!$H87),"■",""))</f>
        <v/>
      </c>
      <c r="AC88" s="24" t="str">
        <f aca="false">IF($A88="","",IF(AND(AC$2&gt;=09_ガント元データ!$G87,AC$2&lt;=09_ガント元データ!$H87),"■",""))</f>
        <v/>
      </c>
      <c r="AD88" s="24" t="str">
        <f aca="false">IF($A88="","",IF(AND(AD$2&gt;=09_ガント元データ!$G87,AD$2&lt;=09_ガント元データ!$H87),"■",""))</f>
        <v/>
      </c>
      <c r="AE88" s="24" t="str">
        <f aca="false">IF($A88="","",IF(AND(AE$2&gt;=09_ガント元データ!$G87,AE$2&lt;=09_ガント元データ!$H87),"■",""))</f>
        <v/>
      </c>
      <c r="AF88" s="24" t="str">
        <f aca="false">IF($A88="","",IF(AND(AF$2&gt;=09_ガント元データ!$G87,AF$2&lt;=09_ガント元データ!$H87),"■",""))</f>
        <v/>
      </c>
      <c r="AG88" s="24" t="str">
        <f aca="false">IF($A88="","",IF(AND(AG$2&gt;=09_ガント元データ!$G87,AG$2&lt;=09_ガント元データ!$H87),"■",""))</f>
        <v/>
      </c>
      <c r="AH88" s="24" t="str">
        <f aca="false">IF($A88="","",IF(AND(AH$2&gt;=09_ガント元データ!$G87,AH$2&lt;=09_ガント元データ!$H87),"■",""))</f>
        <v/>
      </c>
      <c r="AI88" s="24" t="str">
        <f aca="false">IF($A88="","",IF(AND(AI$2&gt;=09_ガント元データ!$G87,AI$2&lt;=09_ガント元データ!$H87),"■",""))</f>
        <v/>
      </c>
      <c r="AJ88" s="24" t="str">
        <f aca="false">IF($A88="","",IF(AND(AJ$2&gt;=09_ガント元データ!$G87,AJ$2&lt;=09_ガント元データ!$H87),"■",""))</f>
        <v/>
      </c>
      <c r="AK88" s="24" t="str">
        <f aca="false">IF($A88="","",IF(AND(AK$2&gt;=09_ガント元データ!$G87,AK$2&lt;=09_ガント元データ!$H87),"■",""))</f>
        <v/>
      </c>
      <c r="AL88" s="24" t="str">
        <f aca="false">IF($A88="","",IF(AND(AL$2&gt;=09_ガント元データ!$G87,AL$2&lt;=09_ガント元データ!$H87),"■",""))</f>
        <v/>
      </c>
      <c r="AM88" s="24" t="str">
        <f aca="false">IF($A88="","",IF(AND(AM$2&gt;=09_ガント元データ!$G87,AM$2&lt;=09_ガント元データ!$H87),"■",""))</f>
        <v/>
      </c>
    </row>
    <row r="89" customFormat="false" ht="15" hidden="false" customHeight="false" outlineLevel="0" collapsed="false">
      <c r="A89" s="22" t="str">
        <f aca="false">09_ガント元データ!A88</f>
        <v/>
      </c>
      <c r="B89" s="22" t="str">
        <f aca="false">09_ガント元データ!B88</f>
        <v/>
      </c>
      <c r="C89" s="23" t="str">
        <f aca="false">09_ガント元データ!C88</f>
        <v/>
      </c>
      <c r="D89" s="24" t="str">
        <f aca="false">IF($A89="","",IF(AND(D$2&gt;=09_ガント元データ!$G88,D$2&lt;=09_ガント元データ!$H88),"■",""))</f>
        <v/>
      </c>
      <c r="E89" s="24" t="str">
        <f aca="false">IF($A89="","",IF(AND(E$2&gt;=09_ガント元データ!$G88,E$2&lt;=09_ガント元データ!$H88),"■",""))</f>
        <v/>
      </c>
      <c r="F89" s="24" t="str">
        <f aca="false">IF($A89="","",IF(AND(F$2&gt;=09_ガント元データ!$G88,F$2&lt;=09_ガント元データ!$H88),"■",""))</f>
        <v/>
      </c>
      <c r="G89" s="24" t="str">
        <f aca="false">IF($A89="","",IF(AND(G$2&gt;=09_ガント元データ!$G88,G$2&lt;=09_ガント元データ!$H88),"■",""))</f>
        <v/>
      </c>
      <c r="H89" s="24" t="str">
        <f aca="false">IF($A89="","",IF(AND(H$2&gt;=09_ガント元データ!$G88,H$2&lt;=09_ガント元データ!$H88),"■",""))</f>
        <v/>
      </c>
      <c r="I89" s="24" t="str">
        <f aca="false">IF($A89="","",IF(AND(I$2&gt;=09_ガント元データ!$G88,I$2&lt;=09_ガント元データ!$H88),"■",""))</f>
        <v/>
      </c>
      <c r="J89" s="24" t="str">
        <f aca="false">IF($A89="","",IF(AND(J$2&gt;=09_ガント元データ!$G88,J$2&lt;=09_ガント元データ!$H88),"■",""))</f>
        <v/>
      </c>
      <c r="K89" s="24" t="str">
        <f aca="false">IF($A89="","",IF(AND(K$2&gt;=09_ガント元データ!$G88,K$2&lt;=09_ガント元データ!$H88),"■",""))</f>
        <v/>
      </c>
      <c r="L89" s="24" t="str">
        <f aca="false">IF($A89="","",IF(AND(L$2&gt;=09_ガント元データ!$G88,L$2&lt;=09_ガント元データ!$H88),"■",""))</f>
        <v/>
      </c>
      <c r="M89" s="24" t="str">
        <f aca="false">IF($A89="","",IF(AND(M$2&gt;=09_ガント元データ!$G88,M$2&lt;=09_ガント元データ!$H88),"■",""))</f>
        <v/>
      </c>
      <c r="N89" s="24" t="str">
        <f aca="false">IF($A89="","",IF(AND(N$2&gt;=09_ガント元データ!$G88,N$2&lt;=09_ガント元データ!$H88),"■",""))</f>
        <v/>
      </c>
      <c r="O89" s="24" t="str">
        <f aca="false">IF($A89="","",IF(AND(O$2&gt;=09_ガント元データ!$G88,O$2&lt;=09_ガント元データ!$H88),"■",""))</f>
        <v/>
      </c>
      <c r="P89" s="24" t="str">
        <f aca="false">IF($A89="","",IF(AND(P$2&gt;=09_ガント元データ!$G88,P$2&lt;=09_ガント元データ!$H88),"■",""))</f>
        <v/>
      </c>
      <c r="Q89" s="24" t="str">
        <f aca="false">IF($A89="","",IF(AND(Q$2&gt;=09_ガント元データ!$G88,Q$2&lt;=09_ガント元データ!$H88),"■",""))</f>
        <v/>
      </c>
      <c r="R89" s="24" t="str">
        <f aca="false">IF($A89="","",IF(AND(R$2&gt;=09_ガント元データ!$G88,R$2&lt;=09_ガント元データ!$H88),"■",""))</f>
        <v/>
      </c>
      <c r="S89" s="24" t="str">
        <f aca="false">IF($A89="","",IF(AND(S$2&gt;=09_ガント元データ!$G88,S$2&lt;=09_ガント元データ!$H88),"■",""))</f>
        <v/>
      </c>
      <c r="T89" s="24" t="str">
        <f aca="false">IF($A89="","",IF(AND(T$2&gt;=09_ガント元データ!$G88,T$2&lt;=09_ガント元データ!$H88),"■",""))</f>
        <v/>
      </c>
      <c r="U89" s="24" t="str">
        <f aca="false">IF($A89="","",IF(AND(U$2&gt;=09_ガント元データ!$G88,U$2&lt;=09_ガント元データ!$H88),"■",""))</f>
        <v/>
      </c>
      <c r="V89" s="24" t="str">
        <f aca="false">IF($A89="","",IF(AND(V$2&gt;=09_ガント元データ!$G88,V$2&lt;=09_ガント元データ!$H88),"■",""))</f>
        <v/>
      </c>
      <c r="W89" s="24" t="str">
        <f aca="false">IF($A89="","",IF(AND(W$2&gt;=09_ガント元データ!$G88,W$2&lt;=09_ガント元データ!$H88),"■",""))</f>
        <v/>
      </c>
      <c r="X89" s="24" t="str">
        <f aca="false">IF($A89="","",IF(AND(X$2&gt;=09_ガント元データ!$G88,X$2&lt;=09_ガント元データ!$H88),"■",""))</f>
        <v/>
      </c>
      <c r="Y89" s="24" t="str">
        <f aca="false">IF($A89="","",IF(AND(Y$2&gt;=09_ガント元データ!$G88,Y$2&lt;=09_ガント元データ!$H88),"■",""))</f>
        <v/>
      </c>
      <c r="Z89" s="24" t="str">
        <f aca="false">IF($A89="","",IF(AND(Z$2&gt;=09_ガント元データ!$G88,Z$2&lt;=09_ガント元データ!$H88),"■",""))</f>
        <v/>
      </c>
      <c r="AA89" s="24" t="str">
        <f aca="false">IF($A89="","",IF(AND(AA$2&gt;=09_ガント元データ!$G88,AA$2&lt;=09_ガント元データ!$H88),"■",""))</f>
        <v/>
      </c>
      <c r="AB89" s="24" t="str">
        <f aca="false">IF($A89="","",IF(AND(AB$2&gt;=09_ガント元データ!$G88,AB$2&lt;=09_ガント元データ!$H88),"■",""))</f>
        <v/>
      </c>
      <c r="AC89" s="24" t="str">
        <f aca="false">IF($A89="","",IF(AND(AC$2&gt;=09_ガント元データ!$G88,AC$2&lt;=09_ガント元データ!$H88),"■",""))</f>
        <v/>
      </c>
      <c r="AD89" s="24" t="str">
        <f aca="false">IF($A89="","",IF(AND(AD$2&gt;=09_ガント元データ!$G88,AD$2&lt;=09_ガント元データ!$H88),"■",""))</f>
        <v/>
      </c>
      <c r="AE89" s="24" t="str">
        <f aca="false">IF($A89="","",IF(AND(AE$2&gt;=09_ガント元データ!$G88,AE$2&lt;=09_ガント元データ!$H88),"■",""))</f>
        <v/>
      </c>
      <c r="AF89" s="24" t="str">
        <f aca="false">IF($A89="","",IF(AND(AF$2&gt;=09_ガント元データ!$G88,AF$2&lt;=09_ガント元データ!$H88),"■",""))</f>
        <v/>
      </c>
      <c r="AG89" s="24" t="str">
        <f aca="false">IF($A89="","",IF(AND(AG$2&gt;=09_ガント元データ!$G88,AG$2&lt;=09_ガント元データ!$H88),"■",""))</f>
        <v/>
      </c>
      <c r="AH89" s="24" t="str">
        <f aca="false">IF($A89="","",IF(AND(AH$2&gt;=09_ガント元データ!$G88,AH$2&lt;=09_ガント元データ!$H88),"■",""))</f>
        <v/>
      </c>
      <c r="AI89" s="24" t="str">
        <f aca="false">IF($A89="","",IF(AND(AI$2&gt;=09_ガント元データ!$G88,AI$2&lt;=09_ガント元データ!$H88),"■",""))</f>
        <v/>
      </c>
      <c r="AJ89" s="24" t="str">
        <f aca="false">IF($A89="","",IF(AND(AJ$2&gt;=09_ガント元データ!$G88,AJ$2&lt;=09_ガント元データ!$H88),"■",""))</f>
        <v/>
      </c>
      <c r="AK89" s="24" t="str">
        <f aca="false">IF($A89="","",IF(AND(AK$2&gt;=09_ガント元データ!$G88,AK$2&lt;=09_ガント元データ!$H88),"■",""))</f>
        <v/>
      </c>
      <c r="AL89" s="24" t="str">
        <f aca="false">IF($A89="","",IF(AND(AL$2&gt;=09_ガント元データ!$G88,AL$2&lt;=09_ガント元データ!$H88),"■",""))</f>
        <v/>
      </c>
      <c r="AM89" s="24" t="str">
        <f aca="false">IF($A89="","",IF(AND(AM$2&gt;=09_ガント元データ!$G88,AM$2&lt;=09_ガント元データ!$H88),"■",""))</f>
        <v/>
      </c>
    </row>
    <row r="90" customFormat="false" ht="15" hidden="false" customHeight="false" outlineLevel="0" collapsed="false">
      <c r="A90" s="22" t="str">
        <f aca="false">09_ガント元データ!A89</f>
        <v/>
      </c>
      <c r="B90" s="22" t="str">
        <f aca="false">09_ガント元データ!B89</f>
        <v/>
      </c>
      <c r="C90" s="23" t="str">
        <f aca="false">09_ガント元データ!C89</f>
        <v/>
      </c>
      <c r="D90" s="24" t="str">
        <f aca="false">IF($A90="","",IF(AND(D$2&gt;=09_ガント元データ!$G89,D$2&lt;=09_ガント元データ!$H89),"■",""))</f>
        <v/>
      </c>
      <c r="E90" s="24" t="str">
        <f aca="false">IF($A90="","",IF(AND(E$2&gt;=09_ガント元データ!$G89,E$2&lt;=09_ガント元データ!$H89),"■",""))</f>
        <v/>
      </c>
      <c r="F90" s="24" t="str">
        <f aca="false">IF($A90="","",IF(AND(F$2&gt;=09_ガント元データ!$G89,F$2&lt;=09_ガント元データ!$H89),"■",""))</f>
        <v/>
      </c>
      <c r="G90" s="24" t="str">
        <f aca="false">IF($A90="","",IF(AND(G$2&gt;=09_ガント元データ!$G89,G$2&lt;=09_ガント元データ!$H89),"■",""))</f>
        <v/>
      </c>
      <c r="H90" s="24" t="str">
        <f aca="false">IF($A90="","",IF(AND(H$2&gt;=09_ガント元データ!$G89,H$2&lt;=09_ガント元データ!$H89),"■",""))</f>
        <v/>
      </c>
      <c r="I90" s="24" t="str">
        <f aca="false">IF($A90="","",IF(AND(I$2&gt;=09_ガント元データ!$G89,I$2&lt;=09_ガント元データ!$H89),"■",""))</f>
        <v/>
      </c>
      <c r="J90" s="24" t="str">
        <f aca="false">IF($A90="","",IF(AND(J$2&gt;=09_ガント元データ!$G89,J$2&lt;=09_ガント元データ!$H89),"■",""))</f>
        <v/>
      </c>
      <c r="K90" s="24" t="str">
        <f aca="false">IF($A90="","",IF(AND(K$2&gt;=09_ガント元データ!$G89,K$2&lt;=09_ガント元データ!$H89),"■",""))</f>
        <v/>
      </c>
      <c r="L90" s="24" t="str">
        <f aca="false">IF($A90="","",IF(AND(L$2&gt;=09_ガント元データ!$G89,L$2&lt;=09_ガント元データ!$H89),"■",""))</f>
        <v/>
      </c>
      <c r="M90" s="24" t="str">
        <f aca="false">IF($A90="","",IF(AND(M$2&gt;=09_ガント元データ!$G89,M$2&lt;=09_ガント元データ!$H89),"■",""))</f>
        <v/>
      </c>
      <c r="N90" s="24" t="str">
        <f aca="false">IF($A90="","",IF(AND(N$2&gt;=09_ガント元データ!$G89,N$2&lt;=09_ガント元データ!$H89),"■",""))</f>
        <v/>
      </c>
      <c r="O90" s="24" t="str">
        <f aca="false">IF($A90="","",IF(AND(O$2&gt;=09_ガント元データ!$G89,O$2&lt;=09_ガント元データ!$H89),"■",""))</f>
        <v/>
      </c>
      <c r="P90" s="24" t="str">
        <f aca="false">IF($A90="","",IF(AND(P$2&gt;=09_ガント元データ!$G89,P$2&lt;=09_ガント元データ!$H89),"■",""))</f>
        <v/>
      </c>
      <c r="Q90" s="24" t="str">
        <f aca="false">IF($A90="","",IF(AND(Q$2&gt;=09_ガント元データ!$G89,Q$2&lt;=09_ガント元データ!$H89),"■",""))</f>
        <v/>
      </c>
      <c r="R90" s="24" t="str">
        <f aca="false">IF($A90="","",IF(AND(R$2&gt;=09_ガント元データ!$G89,R$2&lt;=09_ガント元データ!$H89),"■",""))</f>
        <v/>
      </c>
      <c r="S90" s="24" t="str">
        <f aca="false">IF($A90="","",IF(AND(S$2&gt;=09_ガント元データ!$G89,S$2&lt;=09_ガント元データ!$H89),"■",""))</f>
        <v/>
      </c>
      <c r="T90" s="24" t="str">
        <f aca="false">IF($A90="","",IF(AND(T$2&gt;=09_ガント元データ!$G89,T$2&lt;=09_ガント元データ!$H89),"■",""))</f>
        <v/>
      </c>
      <c r="U90" s="24" t="str">
        <f aca="false">IF($A90="","",IF(AND(U$2&gt;=09_ガント元データ!$G89,U$2&lt;=09_ガント元データ!$H89),"■",""))</f>
        <v/>
      </c>
      <c r="V90" s="24" t="str">
        <f aca="false">IF($A90="","",IF(AND(V$2&gt;=09_ガント元データ!$G89,V$2&lt;=09_ガント元データ!$H89),"■",""))</f>
        <v/>
      </c>
      <c r="W90" s="24" t="str">
        <f aca="false">IF($A90="","",IF(AND(W$2&gt;=09_ガント元データ!$G89,W$2&lt;=09_ガント元データ!$H89),"■",""))</f>
        <v/>
      </c>
      <c r="X90" s="24" t="str">
        <f aca="false">IF($A90="","",IF(AND(X$2&gt;=09_ガント元データ!$G89,X$2&lt;=09_ガント元データ!$H89),"■",""))</f>
        <v/>
      </c>
      <c r="Y90" s="24" t="str">
        <f aca="false">IF($A90="","",IF(AND(Y$2&gt;=09_ガント元データ!$G89,Y$2&lt;=09_ガント元データ!$H89),"■",""))</f>
        <v/>
      </c>
      <c r="Z90" s="24" t="str">
        <f aca="false">IF($A90="","",IF(AND(Z$2&gt;=09_ガント元データ!$G89,Z$2&lt;=09_ガント元データ!$H89),"■",""))</f>
        <v/>
      </c>
      <c r="AA90" s="24" t="str">
        <f aca="false">IF($A90="","",IF(AND(AA$2&gt;=09_ガント元データ!$G89,AA$2&lt;=09_ガント元データ!$H89),"■",""))</f>
        <v/>
      </c>
      <c r="AB90" s="24" t="str">
        <f aca="false">IF($A90="","",IF(AND(AB$2&gt;=09_ガント元データ!$G89,AB$2&lt;=09_ガント元データ!$H89),"■",""))</f>
        <v/>
      </c>
      <c r="AC90" s="24" t="str">
        <f aca="false">IF($A90="","",IF(AND(AC$2&gt;=09_ガント元データ!$G89,AC$2&lt;=09_ガント元データ!$H89),"■",""))</f>
        <v/>
      </c>
      <c r="AD90" s="24" t="str">
        <f aca="false">IF($A90="","",IF(AND(AD$2&gt;=09_ガント元データ!$G89,AD$2&lt;=09_ガント元データ!$H89),"■",""))</f>
        <v/>
      </c>
      <c r="AE90" s="24" t="str">
        <f aca="false">IF($A90="","",IF(AND(AE$2&gt;=09_ガント元データ!$G89,AE$2&lt;=09_ガント元データ!$H89),"■",""))</f>
        <v/>
      </c>
      <c r="AF90" s="24" t="str">
        <f aca="false">IF($A90="","",IF(AND(AF$2&gt;=09_ガント元データ!$G89,AF$2&lt;=09_ガント元データ!$H89),"■",""))</f>
        <v/>
      </c>
      <c r="AG90" s="24" t="str">
        <f aca="false">IF($A90="","",IF(AND(AG$2&gt;=09_ガント元データ!$G89,AG$2&lt;=09_ガント元データ!$H89),"■",""))</f>
        <v/>
      </c>
      <c r="AH90" s="24" t="str">
        <f aca="false">IF($A90="","",IF(AND(AH$2&gt;=09_ガント元データ!$G89,AH$2&lt;=09_ガント元データ!$H89),"■",""))</f>
        <v/>
      </c>
      <c r="AI90" s="24" t="str">
        <f aca="false">IF($A90="","",IF(AND(AI$2&gt;=09_ガント元データ!$G89,AI$2&lt;=09_ガント元データ!$H89),"■",""))</f>
        <v/>
      </c>
      <c r="AJ90" s="24" t="str">
        <f aca="false">IF($A90="","",IF(AND(AJ$2&gt;=09_ガント元データ!$G89,AJ$2&lt;=09_ガント元データ!$H89),"■",""))</f>
        <v/>
      </c>
      <c r="AK90" s="24" t="str">
        <f aca="false">IF($A90="","",IF(AND(AK$2&gt;=09_ガント元データ!$G89,AK$2&lt;=09_ガント元データ!$H89),"■",""))</f>
        <v/>
      </c>
      <c r="AL90" s="24" t="str">
        <f aca="false">IF($A90="","",IF(AND(AL$2&gt;=09_ガント元データ!$G89,AL$2&lt;=09_ガント元データ!$H89),"■",""))</f>
        <v/>
      </c>
      <c r="AM90" s="24" t="str">
        <f aca="false">IF($A90="","",IF(AND(AM$2&gt;=09_ガント元データ!$G89,AM$2&lt;=09_ガント元データ!$H89),"■",""))</f>
        <v/>
      </c>
    </row>
    <row r="91" customFormat="false" ht="15" hidden="false" customHeight="false" outlineLevel="0" collapsed="false">
      <c r="A91" s="22" t="str">
        <f aca="false">09_ガント元データ!A90</f>
        <v/>
      </c>
      <c r="B91" s="22" t="str">
        <f aca="false">09_ガント元データ!B90</f>
        <v/>
      </c>
      <c r="C91" s="23" t="str">
        <f aca="false">09_ガント元データ!C90</f>
        <v/>
      </c>
      <c r="D91" s="24" t="str">
        <f aca="false">IF($A91="","",IF(AND(D$2&gt;=09_ガント元データ!$G90,D$2&lt;=09_ガント元データ!$H90),"■",""))</f>
        <v/>
      </c>
      <c r="E91" s="24" t="str">
        <f aca="false">IF($A91="","",IF(AND(E$2&gt;=09_ガント元データ!$G90,E$2&lt;=09_ガント元データ!$H90),"■",""))</f>
        <v/>
      </c>
      <c r="F91" s="24" t="str">
        <f aca="false">IF($A91="","",IF(AND(F$2&gt;=09_ガント元データ!$G90,F$2&lt;=09_ガント元データ!$H90),"■",""))</f>
        <v/>
      </c>
      <c r="G91" s="24" t="str">
        <f aca="false">IF($A91="","",IF(AND(G$2&gt;=09_ガント元データ!$G90,G$2&lt;=09_ガント元データ!$H90),"■",""))</f>
        <v/>
      </c>
      <c r="H91" s="24" t="str">
        <f aca="false">IF($A91="","",IF(AND(H$2&gt;=09_ガント元データ!$G90,H$2&lt;=09_ガント元データ!$H90),"■",""))</f>
        <v/>
      </c>
      <c r="I91" s="24" t="str">
        <f aca="false">IF($A91="","",IF(AND(I$2&gt;=09_ガント元データ!$G90,I$2&lt;=09_ガント元データ!$H90),"■",""))</f>
        <v/>
      </c>
      <c r="J91" s="24" t="str">
        <f aca="false">IF($A91="","",IF(AND(J$2&gt;=09_ガント元データ!$G90,J$2&lt;=09_ガント元データ!$H90),"■",""))</f>
        <v/>
      </c>
      <c r="K91" s="24" t="str">
        <f aca="false">IF($A91="","",IF(AND(K$2&gt;=09_ガント元データ!$G90,K$2&lt;=09_ガント元データ!$H90),"■",""))</f>
        <v/>
      </c>
      <c r="L91" s="24" t="str">
        <f aca="false">IF($A91="","",IF(AND(L$2&gt;=09_ガント元データ!$G90,L$2&lt;=09_ガント元データ!$H90),"■",""))</f>
        <v/>
      </c>
      <c r="M91" s="24" t="str">
        <f aca="false">IF($A91="","",IF(AND(M$2&gt;=09_ガント元データ!$G90,M$2&lt;=09_ガント元データ!$H90),"■",""))</f>
        <v/>
      </c>
      <c r="N91" s="24" t="str">
        <f aca="false">IF($A91="","",IF(AND(N$2&gt;=09_ガント元データ!$G90,N$2&lt;=09_ガント元データ!$H90),"■",""))</f>
        <v/>
      </c>
      <c r="O91" s="24" t="str">
        <f aca="false">IF($A91="","",IF(AND(O$2&gt;=09_ガント元データ!$G90,O$2&lt;=09_ガント元データ!$H90),"■",""))</f>
        <v/>
      </c>
      <c r="P91" s="24" t="str">
        <f aca="false">IF($A91="","",IF(AND(P$2&gt;=09_ガント元データ!$G90,P$2&lt;=09_ガント元データ!$H90),"■",""))</f>
        <v/>
      </c>
      <c r="Q91" s="24" t="str">
        <f aca="false">IF($A91="","",IF(AND(Q$2&gt;=09_ガント元データ!$G90,Q$2&lt;=09_ガント元データ!$H90),"■",""))</f>
        <v/>
      </c>
      <c r="R91" s="24" t="str">
        <f aca="false">IF($A91="","",IF(AND(R$2&gt;=09_ガント元データ!$G90,R$2&lt;=09_ガント元データ!$H90),"■",""))</f>
        <v/>
      </c>
      <c r="S91" s="24" t="str">
        <f aca="false">IF($A91="","",IF(AND(S$2&gt;=09_ガント元データ!$G90,S$2&lt;=09_ガント元データ!$H90),"■",""))</f>
        <v/>
      </c>
      <c r="T91" s="24" t="str">
        <f aca="false">IF($A91="","",IF(AND(T$2&gt;=09_ガント元データ!$G90,T$2&lt;=09_ガント元データ!$H90),"■",""))</f>
        <v/>
      </c>
      <c r="U91" s="24" t="str">
        <f aca="false">IF($A91="","",IF(AND(U$2&gt;=09_ガント元データ!$G90,U$2&lt;=09_ガント元データ!$H90),"■",""))</f>
        <v/>
      </c>
      <c r="V91" s="24" t="str">
        <f aca="false">IF($A91="","",IF(AND(V$2&gt;=09_ガント元データ!$G90,V$2&lt;=09_ガント元データ!$H90),"■",""))</f>
        <v/>
      </c>
      <c r="W91" s="24" t="str">
        <f aca="false">IF($A91="","",IF(AND(W$2&gt;=09_ガント元データ!$G90,W$2&lt;=09_ガント元データ!$H90),"■",""))</f>
        <v/>
      </c>
      <c r="X91" s="24" t="str">
        <f aca="false">IF($A91="","",IF(AND(X$2&gt;=09_ガント元データ!$G90,X$2&lt;=09_ガント元データ!$H90),"■",""))</f>
        <v/>
      </c>
      <c r="Y91" s="24" t="str">
        <f aca="false">IF($A91="","",IF(AND(Y$2&gt;=09_ガント元データ!$G90,Y$2&lt;=09_ガント元データ!$H90),"■",""))</f>
        <v/>
      </c>
      <c r="Z91" s="24" t="str">
        <f aca="false">IF($A91="","",IF(AND(Z$2&gt;=09_ガント元データ!$G90,Z$2&lt;=09_ガント元データ!$H90),"■",""))</f>
        <v/>
      </c>
      <c r="AA91" s="24" t="str">
        <f aca="false">IF($A91="","",IF(AND(AA$2&gt;=09_ガント元データ!$G90,AA$2&lt;=09_ガント元データ!$H90),"■",""))</f>
        <v/>
      </c>
      <c r="AB91" s="24" t="str">
        <f aca="false">IF($A91="","",IF(AND(AB$2&gt;=09_ガント元データ!$G90,AB$2&lt;=09_ガント元データ!$H90),"■",""))</f>
        <v/>
      </c>
      <c r="AC91" s="24" t="str">
        <f aca="false">IF($A91="","",IF(AND(AC$2&gt;=09_ガント元データ!$G90,AC$2&lt;=09_ガント元データ!$H90),"■",""))</f>
        <v/>
      </c>
      <c r="AD91" s="24" t="str">
        <f aca="false">IF($A91="","",IF(AND(AD$2&gt;=09_ガント元データ!$G90,AD$2&lt;=09_ガント元データ!$H90),"■",""))</f>
        <v/>
      </c>
      <c r="AE91" s="24" t="str">
        <f aca="false">IF($A91="","",IF(AND(AE$2&gt;=09_ガント元データ!$G90,AE$2&lt;=09_ガント元データ!$H90),"■",""))</f>
        <v/>
      </c>
      <c r="AF91" s="24" t="str">
        <f aca="false">IF($A91="","",IF(AND(AF$2&gt;=09_ガント元データ!$G90,AF$2&lt;=09_ガント元データ!$H90),"■",""))</f>
        <v/>
      </c>
      <c r="AG91" s="24" t="str">
        <f aca="false">IF($A91="","",IF(AND(AG$2&gt;=09_ガント元データ!$G90,AG$2&lt;=09_ガント元データ!$H90),"■",""))</f>
        <v/>
      </c>
      <c r="AH91" s="24" t="str">
        <f aca="false">IF($A91="","",IF(AND(AH$2&gt;=09_ガント元データ!$G90,AH$2&lt;=09_ガント元データ!$H90),"■",""))</f>
        <v/>
      </c>
      <c r="AI91" s="24" t="str">
        <f aca="false">IF($A91="","",IF(AND(AI$2&gt;=09_ガント元データ!$G90,AI$2&lt;=09_ガント元データ!$H90),"■",""))</f>
        <v/>
      </c>
      <c r="AJ91" s="24" t="str">
        <f aca="false">IF($A91="","",IF(AND(AJ$2&gt;=09_ガント元データ!$G90,AJ$2&lt;=09_ガント元データ!$H90),"■",""))</f>
        <v/>
      </c>
      <c r="AK91" s="24" t="str">
        <f aca="false">IF($A91="","",IF(AND(AK$2&gt;=09_ガント元データ!$G90,AK$2&lt;=09_ガント元データ!$H90),"■",""))</f>
        <v/>
      </c>
      <c r="AL91" s="24" t="str">
        <f aca="false">IF($A91="","",IF(AND(AL$2&gt;=09_ガント元データ!$G90,AL$2&lt;=09_ガント元データ!$H90),"■",""))</f>
        <v/>
      </c>
      <c r="AM91" s="24" t="str">
        <f aca="false">IF($A91="","",IF(AND(AM$2&gt;=09_ガント元データ!$G90,AM$2&lt;=09_ガント元データ!$H90),"■",""))</f>
        <v/>
      </c>
    </row>
    <row r="92" customFormat="false" ht="15" hidden="false" customHeight="false" outlineLevel="0" collapsed="false">
      <c r="A92" s="22" t="str">
        <f aca="false">09_ガント元データ!A91</f>
        <v/>
      </c>
      <c r="B92" s="22" t="str">
        <f aca="false">09_ガント元データ!B91</f>
        <v/>
      </c>
      <c r="C92" s="23" t="str">
        <f aca="false">09_ガント元データ!C91</f>
        <v/>
      </c>
      <c r="D92" s="24" t="str">
        <f aca="false">IF($A92="","",IF(AND(D$2&gt;=09_ガント元データ!$G91,D$2&lt;=09_ガント元データ!$H91),"■",""))</f>
        <v/>
      </c>
      <c r="E92" s="24" t="str">
        <f aca="false">IF($A92="","",IF(AND(E$2&gt;=09_ガント元データ!$G91,E$2&lt;=09_ガント元データ!$H91),"■",""))</f>
        <v/>
      </c>
      <c r="F92" s="24" t="str">
        <f aca="false">IF($A92="","",IF(AND(F$2&gt;=09_ガント元データ!$G91,F$2&lt;=09_ガント元データ!$H91),"■",""))</f>
        <v/>
      </c>
      <c r="G92" s="24" t="str">
        <f aca="false">IF($A92="","",IF(AND(G$2&gt;=09_ガント元データ!$G91,G$2&lt;=09_ガント元データ!$H91),"■",""))</f>
        <v/>
      </c>
      <c r="H92" s="24" t="str">
        <f aca="false">IF($A92="","",IF(AND(H$2&gt;=09_ガント元データ!$G91,H$2&lt;=09_ガント元データ!$H91),"■",""))</f>
        <v/>
      </c>
      <c r="I92" s="24" t="str">
        <f aca="false">IF($A92="","",IF(AND(I$2&gt;=09_ガント元データ!$G91,I$2&lt;=09_ガント元データ!$H91),"■",""))</f>
        <v/>
      </c>
      <c r="J92" s="24" t="str">
        <f aca="false">IF($A92="","",IF(AND(J$2&gt;=09_ガント元データ!$G91,J$2&lt;=09_ガント元データ!$H91),"■",""))</f>
        <v/>
      </c>
      <c r="K92" s="24" t="str">
        <f aca="false">IF($A92="","",IF(AND(K$2&gt;=09_ガント元データ!$G91,K$2&lt;=09_ガント元データ!$H91),"■",""))</f>
        <v/>
      </c>
      <c r="L92" s="24" t="str">
        <f aca="false">IF($A92="","",IF(AND(L$2&gt;=09_ガント元データ!$G91,L$2&lt;=09_ガント元データ!$H91),"■",""))</f>
        <v/>
      </c>
      <c r="M92" s="24" t="str">
        <f aca="false">IF($A92="","",IF(AND(M$2&gt;=09_ガント元データ!$G91,M$2&lt;=09_ガント元データ!$H91),"■",""))</f>
        <v/>
      </c>
      <c r="N92" s="24" t="str">
        <f aca="false">IF($A92="","",IF(AND(N$2&gt;=09_ガント元データ!$G91,N$2&lt;=09_ガント元データ!$H91),"■",""))</f>
        <v/>
      </c>
      <c r="O92" s="24" t="str">
        <f aca="false">IF($A92="","",IF(AND(O$2&gt;=09_ガント元データ!$G91,O$2&lt;=09_ガント元データ!$H91),"■",""))</f>
        <v/>
      </c>
      <c r="P92" s="24" t="str">
        <f aca="false">IF($A92="","",IF(AND(P$2&gt;=09_ガント元データ!$G91,P$2&lt;=09_ガント元データ!$H91),"■",""))</f>
        <v/>
      </c>
      <c r="Q92" s="24" t="str">
        <f aca="false">IF($A92="","",IF(AND(Q$2&gt;=09_ガント元データ!$G91,Q$2&lt;=09_ガント元データ!$H91),"■",""))</f>
        <v/>
      </c>
      <c r="R92" s="24" t="str">
        <f aca="false">IF($A92="","",IF(AND(R$2&gt;=09_ガント元データ!$G91,R$2&lt;=09_ガント元データ!$H91),"■",""))</f>
        <v/>
      </c>
      <c r="S92" s="24" t="str">
        <f aca="false">IF($A92="","",IF(AND(S$2&gt;=09_ガント元データ!$G91,S$2&lt;=09_ガント元データ!$H91),"■",""))</f>
        <v/>
      </c>
      <c r="T92" s="24" t="str">
        <f aca="false">IF($A92="","",IF(AND(T$2&gt;=09_ガント元データ!$G91,T$2&lt;=09_ガント元データ!$H91),"■",""))</f>
        <v/>
      </c>
      <c r="U92" s="24" t="str">
        <f aca="false">IF($A92="","",IF(AND(U$2&gt;=09_ガント元データ!$G91,U$2&lt;=09_ガント元データ!$H91),"■",""))</f>
        <v/>
      </c>
      <c r="V92" s="24" t="str">
        <f aca="false">IF($A92="","",IF(AND(V$2&gt;=09_ガント元データ!$G91,V$2&lt;=09_ガント元データ!$H91),"■",""))</f>
        <v/>
      </c>
      <c r="W92" s="24" t="str">
        <f aca="false">IF($A92="","",IF(AND(W$2&gt;=09_ガント元データ!$G91,W$2&lt;=09_ガント元データ!$H91),"■",""))</f>
        <v/>
      </c>
      <c r="X92" s="24" t="str">
        <f aca="false">IF($A92="","",IF(AND(X$2&gt;=09_ガント元データ!$G91,X$2&lt;=09_ガント元データ!$H91),"■",""))</f>
        <v/>
      </c>
      <c r="Y92" s="24" t="str">
        <f aca="false">IF($A92="","",IF(AND(Y$2&gt;=09_ガント元データ!$G91,Y$2&lt;=09_ガント元データ!$H91),"■",""))</f>
        <v/>
      </c>
      <c r="Z92" s="24" t="str">
        <f aca="false">IF($A92="","",IF(AND(Z$2&gt;=09_ガント元データ!$G91,Z$2&lt;=09_ガント元データ!$H91),"■",""))</f>
        <v/>
      </c>
      <c r="AA92" s="24" t="str">
        <f aca="false">IF($A92="","",IF(AND(AA$2&gt;=09_ガント元データ!$G91,AA$2&lt;=09_ガント元データ!$H91),"■",""))</f>
        <v/>
      </c>
      <c r="AB92" s="24" t="str">
        <f aca="false">IF($A92="","",IF(AND(AB$2&gt;=09_ガント元データ!$G91,AB$2&lt;=09_ガント元データ!$H91),"■",""))</f>
        <v/>
      </c>
      <c r="AC92" s="24" t="str">
        <f aca="false">IF($A92="","",IF(AND(AC$2&gt;=09_ガント元データ!$G91,AC$2&lt;=09_ガント元データ!$H91),"■",""))</f>
        <v/>
      </c>
      <c r="AD92" s="24" t="str">
        <f aca="false">IF($A92="","",IF(AND(AD$2&gt;=09_ガント元データ!$G91,AD$2&lt;=09_ガント元データ!$H91),"■",""))</f>
        <v/>
      </c>
      <c r="AE92" s="24" t="str">
        <f aca="false">IF($A92="","",IF(AND(AE$2&gt;=09_ガント元データ!$G91,AE$2&lt;=09_ガント元データ!$H91),"■",""))</f>
        <v/>
      </c>
      <c r="AF92" s="24" t="str">
        <f aca="false">IF($A92="","",IF(AND(AF$2&gt;=09_ガント元データ!$G91,AF$2&lt;=09_ガント元データ!$H91),"■",""))</f>
        <v/>
      </c>
      <c r="AG92" s="24" t="str">
        <f aca="false">IF($A92="","",IF(AND(AG$2&gt;=09_ガント元データ!$G91,AG$2&lt;=09_ガント元データ!$H91),"■",""))</f>
        <v/>
      </c>
      <c r="AH92" s="24" t="str">
        <f aca="false">IF($A92="","",IF(AND(AH$2&gt;=09_ガント元データ!$G91,AH$2&lt;=09_ガント元データ!$H91),"■",""))</f>
        <v/>
      </c>
      <c r="AI92" s="24" t="str">
        <f aca="false">IF($A92="","",IF(AND(AI$2&gt;=09_ガント元データ!$G91,AI$2&lt;=09_ガント元データ!$H91),"■",""))</f>
        <v/>
      </c>
      <c r="AJ92" s="24" t="str">
        <f aca="false">IF($A92="","",IF(AND(AJ$2&gt;=09_ガント元データ!$G91,AJ$2&lt;=09_ガント元データ!$H91),"■",""))</f>
        <v/>
      </c>
      <c r="AK92" s="24" t="str">
        <f aca="false">IF($A92="","",IF(AND(AK$2&gt;=09_ガント元データ!$G91,AK$2&lt;=09_ガント元データ!$H91),"■",""))</f>
        <v/>
      </c>
      <c r="AL92" s="24" t="str">
        <f aca="false">IF($A92="","",IF(AND(AL$2&gt;=09_ガント元データ!$G91,AL$2&lt;=09_ガント元データ!$H91),"■",""))</f>
        <v/>
      </c>
      <c r="AM92" s="24" t="str">
        <f aca="false">IF($A92="","",IF(AND(AM$2&gt;=09_ガント元データ!$G91,AM$2&lt;=09_ガント元データ!$H91),"■",""))</f>
        <v/>
      </c>
    </row>
    <row r="93" customFormat="false" ht="15" hidden="false" customHeight="false" outlineLevel="0" collapsed="false">
      <c r="A93" s="22" t="str">
        <f aca="false">09_ガント元データ!A92</f>
        <v/>
      </c>
      <c r="B93" s="22" t="str">
        <f aca="false">09_ガント元データ!B92</f>
        <v/>
      </c>
      <c r="C93" s="23" t="str">
        <f aca="false">09_ガント元データ!C92</f>
        <v/>
      </c>
      <c r="D93" s="24" t="str">
        <f aca="false">IF($A93="","",IF(AND(D$2&gt;=09_ガント元データ!$G92,D$2&lt;=09_ガント元データ!$H92),"■",""))</f>
        <v/>
      </c>
      <c r="E93" s="24" t="str">
        <f aca="false">IF($A93="","",IF(AND(E$2&gt;=09_ガント元データ!$G92,E$2&lt;=09_ガント元データ!$H92),"■",""))</f>
        <v/>
      </c>
      <c r="F93" s="24" t="str">
        <f aca="false">IF($A93="","",IF(AND(F$2&gt;=09_ガント元データ!$G92,F$2&lt;=09_ガント元データ!$H92),"■",""))</f>
        <v/>
      </c>
      <c r="G93" s="24" t="str">
        <f aca="false">IF($A93="","",IF(AND(G$2&gt;=09_ガント元データ!$G92,G$2&lt;=09_ガント元データ!$H92),"■",""))</f>
        <v/>
      </c>
      <c r="H93" s="24" t="str">
        <f aca="false">IF($A93="","",IF(AND(H$2&gt;=09_ガント元データ!$G92,H$2&lt;=09_ガント元データ!$H92),"■",""))</f>
        <v/>
      </c>
      <c r="I93" s="24" t="str">
        <f aca="false">IF($A93="","",IF(AND(I$2&gt;=09_ガント元データ!$G92,I$2&lt;=09_ガント元データ!$H92),"■",""))</f>
        <v/>
      </c>
      <c r="J93" s="24" t="str">
        <f aca="false">IF($A93="","",IF(AND(J$2&gt;=09_ガント元データ!$G92,J$2&lt;=09_ガント元データ!$H92),"■",""))</f>
        <v/>
      </c>
      <c r="K93" s="24" t="str">
        <f aca="false">IF($A93="","",IF(AND(K$2&gt;=09_ガント元データ!$G92,K$2&lt;=09_ガント元データ!$H92),"■",""))</f>
        <v/>
      </c>
      <c r="L93" s="24" t="str">
        <f aca="false">IF($A93="","",IF(AND(L$2&gt;=09_ガント元データ!$G92,L$2&lt;=09_ガント元データ!$H92),"■",""))</f>
        <v/>
      </c>
      <c r="M93" s="24" t="str">
        <f aca="false">IF($A93="","",IF(AND(M$2&gt;=09_ガント元データ!$G92,M$2&lt;=09_ガント元データ!$H92),"■",""))</f>
        <v/>
      </c>
      <c r="N93" s="24" t="str">
        <f aca="false">IF($A93="","",IF(AND(N$2&gt;=09_ガント元データ!$G92,N$2&lt;=09_ガント元データ!$H92),"■",""))</f>
        <v/>
      </c>
      <c r="O93" s="24" t="str">
        <f aca="false">IF($A93="","",IF(AND(O$2&gt;=09_ガント元データ!$G92,O$2&lt;=09_ガント元データ!$H92),"■",""))</f>
        <v/>
      </c>
      <c r="P93" s="24" t="str">
        <f aca="false">IF($A93="","",IF(AND(P$2&gt;=09_ガント元データ!$G92,P$2&lt;=09_ガント元データ!$H92),"■",""))</f>
        <v/>
      </c>
      <c r="Q93" s="24" t="str">
        <f aca="false">IF($A93="","",IF(AND(Q$2&gt;=09_ガント元データ!$G92,Q$2&lt;=09_ガント元データ!$H92),"■",""))</f>
        <v/>
      </c>
      <c r="R93" s="24" t="str">
        <f aca="false">IF($A93="","",IF(AND(R$2&gt;=09_ガント元データ!$G92,R$2&lt;=09_ガント元データ!$H92),"■",""))</f>
        <v/>
      </c>
      <c r="S93" s="24" t="str">
        <f aca="false">IF($A93="","",IF(AND(S$2&gt;=09_ガント元データ!$G92,S$2&lt;=09_ガント元データ!$H92),"■",""))</f>
        <v/>
      </c>
      <c r="T93" s="24" t="str">
        <f aca="false">IF($A93="","",IF(AND(T$2&gt;=09_ガント元データ!$G92,T$2&lt;=09_ガント元データ!$H92),"■",""))</f>
        <v/>
      </c>
      <c r="U93" s="24" t="str">
        <f aca="false">IF($A93="","",IF(AND(U$2&gt;=09_ガント元データ!$G92,U$2&lt;=09_ガント元データ!$H92),"■",""))</f>
        <v/>
      </c>
      <c r="V93" s="24" t="str">
        <f aca="false">IF($A93="","",IF(AND(V$2&gt;=09_ガント元データ!$G92,V$2&lt;=09_ガント元データ!$H92),"■",""))</f>
        <v/>
      </c>
      <c r="W93" s="24" t="str">
        <f aca="false">IF($A93="","",IF(AND(W$2&gt;=09_ガント元データ!$G92,W$2&lt;=09_ガント元データ!$H92),"■",""))</f>
        <v/>
      </c>
      <c r="X93" s="24" t="str">
        <f aca="false">IF($A93="","",IF(AND(X$2&gt;=09_ガント元データ!$G92,X$2&lt;=09_ガント元データ!$H92),"■",""))</f>
        <v/>
      </c>
      <c r="Y93" s="24" t="str">
        <f aca="false">IF($A93="","",IF(AND(Y$2&gt;=09_ガント元データ!$G92,Y$2&lt;=09_ガント元データ!$H92),"■",""))</f>
        <v/>
      </c>
      <c r="Z93" s="24" t="str">
        <f aca="false">IF($A93="","",IF(AND(Z$2&gt;=09_ガント元データ!$G92,Z$2&lt;=09_ガント元データ!$H92),"■",""))</f>
        <v/>
      </c>
      <c r="AA93" s="24" t="str">
        <f aca="false">IF($A93="","",IF(AND(AA$2&gt;=09_ガント元データ!$G92,AA$2&lt;=09_ガント元データ!$H92),"■",""))</f>
        <v/>
      </c>
      <c r="AB93" s="24" t="str">
        <f aca="false">IF($A93="","",IF(AND(AB$2&gt;=09_ガント元データ!$G92,AB$2&lt;=09_ガント元データ!$H92),"■",""))</f>
        <v/>
      </c>
      <c r="AC93" s="24" t="str">
        <f aca="false">IF($A93="","",IF(AND(AC$2&gt;=09_ガント元データ!$G92,AC$2&lt;=09_ガント元データ!$H92),"■",""))</f>
        <v/>
      </c>
      <c r="AD93" s="24" t="str">
        <f aca="false">IF($A93="","",IF(AND(AD$2&gt;=09_ガント元データ!$G92,AD$2&lt;=09_ガント元データ!$H92),"■",""))</f>
        <v/>
      </c>
      <c r="AE93" s="24" t="str">
        <f aca="false">IF($A93="","",IF(AND(AE$2&gt;=09_ガント元データ!$G92,AE$2&lt;=09_ガント元データ!$H92),"■",""))</f>
        <v/>
      </c>
      <c r="AF93" s="24" t="str">
        <f aca="false">IF($A93="","",IF(AND(AF$2&gt;=09_ガント元データ!$G92,AF$2&lt;=09_ガント元データ!$H92),"■",""))</f>
        <v/>
      </c>
      <c r="AG93" s="24" t="str">
        <f aca="false">IF($A93="","",IF(AND(AG$2&gt;=09_ガント元データ!$G92,AG$2&lt;=09_ガント元データ!$H92),"■",""))</f>
        <v/>
      </c>
      <c r="AH93" s="24" t="str">
        <f aca="false">IF($A93="","",IF(AND(AH$2&gt;=09_ガント元データ!$G92,AH$2&lt;=09_ガント元データ!$H92),"■",""))</f>
        <v/>
      </c>
      <c r="AI93" s="24" t="str">
        <f aca="false">IF($A93="","",IF(AND(AI$2&gt;=09_ガント元データ!$G92,AI$2&lt;=09_ガント元データ!$H92),"■",""))</f>
        <v/>
      </c>
      <c r="AJ93" s="24" t="str">
        <f aca="false">IF($A93="","",IF(AND(AJ$2&gt;=09_ガント元データ!$G92,AJ$2&lt;=09_ガント元データ!$H92),"■",""))</f>
        <v/>
      </c>
      <c r="AK93" s="24" t="str">
        <f aca="false">IF($A93="","",IF(AND(AK$2&gt;=09_ガント元データ!$G92,AK$2&lt;=09_ガント元データ!$H92),"■",""))</f>
        <v/>
      </c>
      <c r="AL93" s="24" t="str">
        <f aca="false">IF($A93="","",IF(AND(AL$2&gt;=09_ガント元データ!$G92,AL$2&lt;=09_ガント元データ!$H92),"■",""))</f>
        <v/>
      </c>
      <c r="AM93" s="24" t="str">
        <f aca="false">IF($A93="","",IF(AND(AM$2&gt;=09_ガント元データ!$G92,AM$2&lt;=09_ガント元データ!$H92),"■",""))</f>
        <v/>
      </c>
    </row>
    <row r="94" customFormat="false" ht="15" hidden="false" customHeight="false" outlineLevel="0" collapsed="false">
      <c r="A94" s="22" t="str">
        <f aca="false">09_ガント元データ!A93</f>
        <v/>
      </c>
      <c r="B94" s="22" t="str">
        <f aca="false">09_ガント元データ!B93</f>
        <v/>
      </c>
      <c r="C94" s="23" t="str">
        <f aca="false">09_ガント元データ!C93</f>
        <v/>
      </c>
      <c r="D94" s="24" t="str">
        <f aca="false">IF($A94="","",IF(AND(D$2&gt;=09_ガント元データ!$G93,D$2&lt;=09_ガント元データ!$H93),"■",""))</f>
        <v/>
      </c>
      <c r="E94" s="24" t="str">
        <f aca="false">IF($A94="","",IF(AND(E$2&gt;=09_ガント元データ!$G93,E$2&lt;=09_ガント元データ!$H93),"■",""))</f>
        <v/>
      </c>
      <c r="F94" s="24" t="str">
        <f aca="false">IF($A94="","",IF(AND(F$2&gt;=09_ガント元データ!$G93,F$2&lt;=09_ガント元データ!$H93),"■",""))</f>
        <v/>
      </c>
      <c r="G94" s="24" t="str">
        <f aca="false">IF($A94="","",IF(AND(G$2&gt;=09_ガント元データ!$G93,G$2&lt;=09_ガント元データ!$H93),"■",""))</f>
        <v/>
      </c>
      <c r="H94" s="24" t="str">
        <f aca="false">IF($A94="","",IF(AND(H$2&gt;=09_ガント元データ!$G93,H$2&lt;=09_ガント元データ!$H93),"■",""))</f>
        <v/>
      </c>
      <c r="I94" s="24" t="str">
        <f aca="false">IF($A94="","",IF(AND(I$2&gt;=09_ガント元データ!$G93,I$2&lt;=09_ガント元データ!$H93),"■",""))</f>
        <v/>
      </c>
      <c r="J94" s="24" t="str">
        <f aca="false">IF($A94="","",IF(AND(J$2&gt;=09_ガント元データ!$G93,J$2&lt;=09_ガント元データ!$H93),"■",""))</f>
        <v/>
      </c>
      <c r="K94" s="24" t="str">
        <f aca="false">IF($A94="","",IF(AND(K$2&gt;=09_ガント元データ!$G93,K$2&lt;=09_ガント元データ!$H93),"■",""))</f>
        <v/>
      </c>
      <c r="L94" s="24" t="str">
        <f aca="false">IF($A94="","",IF(AND(L$2&gt;=09_ガント元データ!$G93,L$2&lt;=09_ガント元データ!$H93),"■",""))</f>
        <v/>
      </c>
      <c r="M94" s="24" t="str">
        <f aca="false">IF($A94="","",IF(AND(M$2&gt;=09_ガント元データ!$G93,M$2&lt;=09_ガント元データ!$H93),"■",""))</f>
        <v/>
      </c>
      <c r="N94" s="24" t="str">
        <f aca="false">IF($A94="","",IF(AND(N$2&gt;=09_ガント元データ!$G93,N$2&lt;=09_ガント元データ!$H93),"■",""))</f>
        <v/>
      </c>
      <c r="O94" s="24" t="str">
        <f aca="false">IF($A94="","",IF(AND(O$2&gt;=09_ガント元データ!$G93,O$2&lt;=09_ガント元データ!$H93),"■",""))</f>
        <v/>
      </c>
      <c r="P94" s="24" t="str">
        <f aca="false">IF($A94="","",IF(AND(P$2&gt;=09_ガント元データ!$G93,P$2&lt;=09_ガント元データ!$H93),"■",""))</f>
        <v/>
      </c>
      <c r="Q94" s="24" t="str">
        <f aca="false">IF($A94="","",IF(AND(Q$2&gt;=09_ガント元データ!$G93,Q$2&lt;=09_ガント元データ!$H93),"■",""))</f>
        <v/>
      </c>
      <c r="R94" s="24" t="str">
        <f aca="false">IF($A94="","",IF(AND(R$2&gt;=09_ガント元データ!$G93,R$2&lt;=09_ガント元データ!$H93),"■",""))</f>
        <v/>
      </c>
      <c r="S94" s="24" t="str">
        <f aca="false">IF($A94="","",IF(AND(S$2&gt;=09_ガント元データ!$G93,S$2&lt;=09_ガント元データ!$H93),"■",""))</f>
        <v/>
      </c>
      <c r="T94" s="24" t="str">
        <f aca="false">IF($A94="","",IF(AND(T$2&gt;=09_ガント元データ!$G93,T$2&lt;=09_ガント元データ!$H93),"■",""))</f>
        <v/>
      </c>
      <c r="U94" s="24" t="str">
        <f aca="false">IF($A94="","",IF(AND(U$2&gt;=09_ガント元データ!$G93,U$2&lt;=09_ガント元データ!$H93),"■",""))</f>
        <v/>
      </c>
      <c r="V94" s="24" t="str">
        <f aca="false">IF($A94="","",IF(AND(V$2&gt;=09_ガント元データ!$G93,V$2&lt;=09_ガント元データ!$H93),"■",""))</f>
        <v/>
      </c>
      <c r="W94" s="24" t="str">
        <f aca="false">IF($A94="","",IF(AND(W$2&gt;=09_ガント元データ!$G93,W$2&lt;=09_ガント元データ!$H93),"■",""))</f>
        <v/>
      </c>
      <c r="X94" s="24" t="str">
        <f aca="false">IF($A94="","",IF(AND(X$2&gt;=09_ガント元データ!$G93,X$2&lt;=09_ガント元データ!$H93),"■",""))</f>
        <v/>
      </c>
      <c r="Y94" s="24" t="str">
        <f aca="false">IF($A94="","",IF(AND(Y$2&gt;=09_ガント元データ!$G93,Y$2&lt;=09_ガント元データ!$H93),"■",""))</f>
        <v/>
      </c>
      <c r="Z94" s="24" t="str">
        <f aca="false">IF($A94="","",IF(AND(Z$2&gt;=09_ガント元データ!$G93,Z$2&lt;=09_ガント元データ!$H93),"■",""))</f>
        <v/>
      </c>
      <c r="AA94" s="24" t="str">
        <f aca="false">IF($A94="","",IF(AND(AA$2&gt;=09_ガント元データ!$G93,AA$2&lt;=09_ガント元データ!$H93),"■",""))</f>
        <v/>
      </c>
      <c r="AB94" s="24" t="str">
        <f aca="false">IF($A94="","",IF(AND(AB$2&gt;=09_ガント元データ!$G93,AB$2&lt;=09_ガント元データ!$H93),"■",""))</f>
        <v/>
      </c>
      <c r="AC94" s="24" t="str">
        <f aca="false">IF($A94="","",IF(AND(AC$2&gt;=09_ガント元データ!$G93,AC$2&lt;=09_ガント元データ!$H93),"■",""))</f>
        <v/>
      </c>
      <c r="AD94" s="24" t="str">
        <f aca="false">IF($A94="","",IF(AND(AD$2&gt;=09_ガント元データ!$G93,AD$2&lt;=09_ガント元データ!$H93),"■",""))</f>
        <v/>
      </c>
      <c r="AE94" s="24" t="str">
        <f aca="false">IF($A94="","",IF(AND(AE$2&gt;=09_ガント元データ!$G93,AE$2&lt;=09_ガント元データ!$H93),"■",""))</f>
        <v/>
      </c>
      <c r="AF94" s="24" t="str">
        <f aca="false">IF($A94="","",IF(AND(AF$2&gt;=09_ガント元データ!$G93,AF$2&lt;=09_ガント元データ!$H93),"■",""))</f>
        <v/>
      </c>
      <c r="AG94" s="24" t="str">
        <f aca="false">IF($A94="","",IF(AND(AG$2&gt;=09_ガント元データ!$G93,AG$2&lt;=09_ガント元データ!$H93),"■",""))</f>
        <v/>
      </c>
      <c r="AH94" s="24" t="str">
        <f aca="false">IF($A94="","",IF(AND(AH$2&gt;=09_ガント元データ!$G93,AH$2&lt;=09_ガント元データ!$H93),"■",""))</f>
        <v/>
      </c>
      <c r="AI94" s="24" t="str">
        <f aca="false">IF($A94="","",IF(AND(AI$2&gt;=09_ガント元データ!$G93,AI$2&lt;=09_ガント元データ!$H93),"■",""))</f>
        <v/>
      </c>
      <c r="AJ94" s="24" t="str">
        <f aca="false">IF($A94="","",IF(AND(AJ$2&gt;=09_ガント元データ!$G93,AJ$2&lt;=09_ガント元データ!$H93),"■",""))</f>
        <v/>
      </c>
      <c r="AK94" s="24" t="str">
        <f aca="false">IF($A94="","",IF(AND(AK$2&gt;=09_ガント元データ!$G93,AK$2&lt;=09_ガント元データ!$H93),"■",""))</f>
        <v/>
      </c>
      <c r="AL94" s="24" t="str">
        <f aca="false">IF($A94="","",IF(AND(AL$2&gt;=09_ガント元データ!$G93,AL$2&lt;=09_ガント元データ!$H93),"■",""))</f>
        <v/>
      </c>
      <c r="AM94" s="24" t="str">
        <f aca="false">IF($A94="","",IF(AND(AM$2&gt;=09_ガント元データ!$G93,AM$2&lt;=09_ガント元データ!$H93),"■",""))</f>
        <v/>
      </c>
    </row>
    <row r="95" customFormat="false" ht="15" hidden="false" customHeight="false" outlineLevel="0" collapsed="false">
      <c r="A95" s="22" t="str">
        <f aca="false">09_ガント元データ!A94</f>
        <v/>
      </c>
      <c r="B95" s="22" t="str">
        <f aca="false">09_ガント元データ!B94</f>
        <v/>
      </c>
      <c r="C95" s="23" t="str">
        <f aca="false">09_ガント元データ!C94</f>
        <v/>
      </c>
      <c r="D95" s="24" t="str">
        <f aca="false">IF($A95="","",IF(AND(D$2&gt;=09_ガント元データ!$G94,D$2&lt;=09_ガント元データ!$H94),"■",""))</f>
        <v/>
      </c>
      <c r="E95" s="24" t="str">
        <f aca="false">IF($A95="","",IF(AND(E$2&gt;=09_ガント元データ!$G94,E$2&lt;=09_ガント元データ!$H94),"■",""))</f>
        <v/>
      </c>
      <c r="F95" s="24" t="str">
        <f aca="false">IF($A95="","",IF(AND(F$2&gt;=09_ガント元データ!$G94,F$2&lt;=09_ガント元データ!$H94),"■",""))</f>
        <v/>
      </c>
      <c r="G95" s="24" t="str">
        <f aca="false">IF($A95="","",IF(AND(G$2&gt;=09_ガント元データ!$G94,G$2&lt;=09_ガント元データ!$H94),"■",""))</f>
        <v/>
      </c>
      <c r="H95" s="24" t="str">
        <f aca="false">IF($A95="","",IF(AND(H$2&gt;=09_ガント元データ!$G94,H$2&lt;=09_ガント元データ!$H94),"■",""))</f>
        <v/>
      </c>
      <c r="I95" s="24" t="str">
        <f aca="false">IF($A95="","",IF(AND(I$2&gt;=09_ガント元データ!$G94,I$2&lt;=09_ガント元データ!$H94),"■",""))</f>
        <v/>
      </c>
      <c r="J95" s="24" t="str">
        <f aca="false">IF($A95="","",IF(AND(J$2&gt;=09_ガント元データ!$G94,J$2&lt;=09_ガント元データ!$H94),"■",""))</f>
        <v/>
      </c>
      <c r="K95" s="24" t="str">
        <f aca="false">IF($A95="","",IF(AND(K$2&gt;=09_ガント元データ!$G94,K$2&lt;=09_ガント元データ!$H94),"■",""))</f>
        <v/>
      </c>
      <c r="L95" s="24" t="str">
        <f aca="false">IF($A95="","",IF(AND(L$2&gt;=09_ガント元データ!$G94,L$2&lt;=09_ガント元データ!$H94),"■",""))</f>
        <v/>
      </c>
      <c r="M95" s="24" t="str">
        <f aca="false">IF($A95="","",IF(AND(M$2&gt;=09_ガント元データ!$G94,M$2&lt;=09_ガント元データ!$H94),"■",""))</f>
        <v/>
      </c>
      <c r="N95" s="24" t="str">
        <f aca="false">IF($A95="","",IF(AND(N$2&gt;=09_ガント元データ!$G94,N$2&lt;=09_ガント元データ!$H94),"■",""))</f>
        <v/>
      </c>
      <c r="O95" s="24" t="str">
        <f aca="false">IF($A95="","",IF(AND(O$2&gt;=09_ガント元データ!$G94,O$2&lt;=09_ガント元データ!$H94),"■",""))</f>
        <v/>
      </c>
      <c r="P95" s="24" t="str">
        <f aca="false">IF($A95="","",IF(AND(P$2&gt;=09_ガント元データ!$G94,P$2&lt;=09_ガント元データ!$H94),"■",""))</f>
        <v/>
      </c>
      <c r="Q95" s="24" t="str">
        <f aca="false">IF($A95="","",IF(AND(Q$2&gt;=09_ガント元データ!$G94,Q$2&lt;=09_ガント元データ!$H94),"■",""))</f>
        <v/>
      </c>
      <c r="R95" s="24" t="str">
        <f aca="false">IF($A95="","",IF(AND(R$2&gt;=09_ガント元データ!$G94,R$2&lt;=09_ガント元データ!$H94),"■",""))</f>
        <v/>
      </c>
      <c r="S95" s="24" t="str">
        <f aca="false">IF($A95="","",IF(AND(S$2&gt;=09_ガント元データ!$G94,S$2&lt;=09_ガント元データ!$H94),"■",""))</f>
        <v/>
      </c>
      <c r="T95" s="24" t="str">
        <f aca="false">IF($A95="","",IF(AND(T$2&gt;=09_ガント元データ!$G94,T$2&lt;=09_ガント元データ!$H94),"■",""))</f>
        <v/>
      </c>
      <c r="U95" s="24" t="str">
        <f aca="false">IF($A95="","",IF(AND(U$2&gt;=09_ガント元データ!$G94,U$2&lt;=09_ガント元データ!$H94),"■",""))</f>
        <v/>
      </c>
      <c r="V95" s="24" t="str">
        <f aca="false">IF($A95="","",IF(AND(V$2&gt;=09_ガント元データ!$G94,V$2&lt;=09_ガント元データ!$H94),"■",""))</f>
        <v/>
      </c>
      <c r="W95" s="24" t="str">
        <f aca="false">IF($A95="","",IF(AND(W$2&gt;=09_ガント元データ!$G94,W$2&lt;=09_ガント元データ!$H94),"■",""))</f>
        <v/>
      </c>
      <c r="X95" s="24" t="str">
        <f aca="false">IF($A95="","",IF(AND(X$2&gt;=09_ガント元データ!$G94,X$2&lt;=09_ガント元データ!$H94),"■",""))</f>
        <v/>
      </c>
      <c r="Y95" s="24" t="str">
        <f aca="false">IF($A95="","",IF(AND(Y$2&gt;=09_ガント元データ!$G94,Y$2&lt;=09_ガント元データ!$H94),"■",""))</f>
        <v/>
      </c>
      <c r="Z95" s="24" t="str">
        <f aca="false">IF($A95="","",IF(AND(Z$2&gt;=09_ガント元データ!$G94,Z$2&lt;=09_ガント元データ!$H94),"■",""))</f>
        <v/>
      </c>
      <c r="AA95" s="24" t="str">
        <f aca="false">IF($A95="","",IF(AND(AA$2&gt;=09_ガント元データ!$G94,AA$2&lt;=09_ガント元データ!$H94),"■",""))</f>
        <v/>
      </c>
      <c r="AB95" s="24" t="str">
        <f aca="false">IF($A95="","",IF(AND(AB$2&gt;=09_ガント元データ!$G94,AB$2&lt;=09_ガント元データ!$H94),"■",""))</f>
        <v/>
      </c>
      <c r="AC95" s="24" t="str">
        <f aca="false">IF($A95="","",IF(AND(AC$2&gt;=09_ガント元データ!$G94,AC$2&lt;=09_ガント元データ!$H94),"■",""))</f>
        <v/>
      </c>
      <c r="AD95" s="24" t="str">
        <f aca="false">IF($A95="","",IF(AND(AD$2&gt;=09_ガント元データ!$G94,AD$2&lt;=09_ガント元データ!$H94),"■",""))</f>
        <v/>
      </c>
      <c r="AE95" s="24" t="str">
        <f aca="false">IF($A95="","",IF(AND(AE$2&gt;=09_ガント元データ!$G94,AE$2&lt;=09_ガント元データ!$H94),"■",""))</f>
        <v/>
      </c>
      <c r="AF95" s="24" t="str">
        <f aca="false">IF($A95="","",IF(AND(AF$2&gt;=09_ガント元データ!$G94,AF$2&lt;=09_ガント元データ!$H94),"■",""))</f>
        <v/>
      </c>
      <c r="AG95" s="24" t="str">
        <f aca="false">IF($A95="","",IF(AND(AG$2&gt;=09_ガント元データ!$G94,AG$2&lt;=09_ガント元データ!$H94),"■",""))</f>
        <v/>
      </c>
      <c r="AH95" s="24" t="str">
        <f aca="false">IF($A95="","",IF(AND(AH$2&gt;=09_ガント元データ!$G94,AH$2&lt;=09_ガント元データ!$H94),"■",""))</f>
        <v/>
      </c>
      <c r="AI95" s="24" t="str">
        <f aca="false">IF($A95="","",IF(AND(AI$2&gt;=09_ガント元データ!$G94,AI$2&lt;=09_ガント元データ!$H94),"■",""))</f>
        <v/>
      </c>
      <c r="AJ95" s="24" t="str">
        <f aca="false">IF($A95="","",IF(AND(AJ$2&gt;=09_ガント元データ!$G94,AJ$2&lt;=09_ガント元データ!$H94),"■",""))</f>
        <v/>
      </c>
      <c r="AK95" s="24" t="str">
        <f aca="false">IF($A95="","",IF(AND(AK$2&gt;=09_ガント元データ!$G94,AK$2&lt;=09_ガント元データ!$H94),"■",""))</f>
        <v/>
      </c>
      <c r="AL95" s="24" t="str">
        <f aca="false">IF($A95="","",IF(AND(AL$2&gt;=09_ガント元データ!$G94,AL$2&lt;=09_ガント元データ!$H94),"■",""))</f>
        <v/>
      </c>
      <c r="AM95" s="24" t="str">
        <f aca="false">IF($A95="","",IF(AND(AM$2&gt;=09_ガント元データ!$G94,AM$2&lt;=09_ガント元データ!$H94),"■",""))</f>
        <v/>
      </c>
    </row>
    <row r="96" customFormat="false" ht="15" hidden="false" customHeight="false" outlineLevel="0" collapsed="false">
      <c r="A96" s="22" t="str">
        <f aca="false">09_ガント元データ!A95</f>
        <v/>
      </c>
      <c r="B96" s="22" t="str">
        <f aca="false">09_ガント元データ!B95</f>
        <v/>
      </c>
      <c r="C96" s="23" t="str">
        <f aca="false">09_ガント元データ!C95</f>
        <v/>
      </c>
      <c r="D96" s="24" t="str">
        <f aca="false">IF($A96="","",IF(AND(D$2&gt;=09_ガント元データ!$G95,D$2&lt;=09_ガント元データ!$H95),"■",""))</f>
        <v/>
      </c>
      <c r="E96" s="24" t="str">
        <f aca="false">IF($A96="","",IF(AND(E$2&gt;=09_ガント元データ!$G95,E$2&lt;=09_ガント元データ!$H95),"■",""))</f>
        <v/>
      </c>
      <c r="F96" s="24" t="str">
        <f aca="false">IF($A96="","",IF(AND(F$2&gt;=09_ガント元データ!$G95,F$2&lt;=09_ガント元データ!$H95),"■",""))</f>
        <v/>
      </c>
      <c r="G96" s="24" t="str">
        <f aca="false">IF($A96="","",IF(AND(G$2&gt;=09_ガント元データ!$G95,G$2&lt;=09_ガント元データ!$H95),"■",""))</f>
        <v/>
      </c>
      <c r="H96" s="24" t="str">
        <f aca="false">IF($A96="","",IF(AND(H$2&gt;=09_ガント元データ!$G95,H$2&lt;=09_ガント元データ!$H95),"■",""))</f>
        <v/>
      </c>
      <c r="I96" s="24" t="str">
        <f aca="false">IF($A96="","",IF(AND(I$2&gt;=09_ガント元データ!$G95,I$2&lt;=09_ガント元データ!$H95),"■",""))</f>
        <v/>
      </c>
      <c r="J96" s="24" t="str">
        <f aca="false">IF($A96="","",IF(AND(J$2&gt;=09_ガント元データ!$G95,J$2&lt;=09_ガント元データ!$H95),"■",""))</f>
        <v/>
      </c>
      <c r="K96" s="24" t="str">
        <f aca="false">IF($A96="","",IF(AND(K$2&gt;=09_ガント元データ!$G95,K$2&lt;=09_ガント元データ!$H95),"■",""))</f>
        <v/>
      </c>
      <c r="L96" s="24" t="str">
        <f aca="false">IF($A96="","",IF(AND(L$2&gt;=09_ガント元データ!$G95,L$2&lt;=09_ガント元データ!$H95),"■",""))</f>
        <v/>
      </c>
      <c r="M96" s="24" t="str">
        <f aca="false">IF($A96="","",IF(AND(M$2&gt;=09_ガント元データ!$G95,M$2&lt;=09_ガント元データ!$H95),"■",""))</f>
        <v/>
      </c>
      <c r="N96" s="24" t="str">
        <f aca="false">IF($A96="","",IF(AND(N$2&gt;=09_ガント元データ!$G95,N$2&lt;=09_ガント元データ!$H95),"■",""))</f>
        <v/>
      </c>
      <c r="O96" s="24" t="str">
        <f aca="false">IF($A96="","",IF(AND(O$2&gt;=09_ガント元データ!$G95,O$2&lt;=09_ガント元データ!$H95),"■",""))</f>
        <v/>
      </c>
      <c r="P96" s="24" t="str">
        <f aca="false">IF($A96="","",IF(AND(P$2&gt;=09_ガント元データ!$G95,P$2&lt;=09_ガント元データ!$H95),"■",""))</f>
        <v/>
      </c>
      <c r="Q96" s="24" t="str">
        <f aca="false">IF($A96="","",IF(AND(Q$2&gt;=09_ガント元データ!$G95,Q$2&lt;=09_ガント元データ!$H95),"■",""))</f>
        <v/>
      </c>
      <c r="R96" s="24" t="str">
        <f aca="false">IF($A96="","",IF(AND(R$2&gt;=09_ガント元データ!$G95,R$2&lt;=09_ガント元データ!$H95),"■",""))</f>
        <v/>
      </c>
      <c r="S96" s="24" t="str">
        <f aca="false">IF($A96="","",IF(AND(S$2&gt;=09_ガント元データ!$G95,S$2&lt;=09_ガント元データ!$H95),"■",""))</f>
        <v/>
      </c>
      <c r="T96" s="24" t="str">
        <f aca="false">IF($A96="","",IF(AND(T$2&gt;=09_ガント元データ!$G95,T$2&lt;=09_ガント元データ!$H95),"■",""))</f>
        <v/>
      </c>
      <c r="U96" s="24" t="str">
        <f aca="false">IF($A96="","",IF(AND(U$2&gt;=09_ガント元データ!$G95,U$2&lt;=09_ガント元データ!$H95),"■",""))</f>
        <v/>
      </c>
      <c r="V96" s="24" t="str">
        <f aca="false">IF($A96="","",IF(AND(V$2&gt;=09_ガント元データ!$G95,V$2&lt;=09_ガント元データ!$H95),"■",""))</f>
        <v/>
      </c>
      <c r="W96" s="24" t="str">
        <f aca="false">IF($A96="","",IF(AND(W$2&gt;=09_ガント元データ!$G95,W$2&lt;=09_ガント元データ!$H95),"■",""))</f>
        <v/>
      </c>
      <c r="X96" s="24" t="str">
        <f aca="false">IF($A96="","",IF(AND(X$2&gt;=09_ガント元データ!$G95,X$2&lt;=09_ガント元データ!$H95),"■",""))</f>
        <v/>
      </c>
      <c r="Y96" s="24" t="str">
        <f aca="false">IF($A96="","",IF(AND(Y$2&gt;=09_ガント元データ!$G95,Y$2&lt;=09_ガント元データ!$H95),"■",""))</f>
        <v/>
      </c>
      <c r="Z96" s="24" t="str">
        <f aca="false">IF($A96="","",IF(AND(Z$2&gt;=09_ガント元データ!$G95,Z$2&lt;=09_ガント元データ!$H95),"■",""))</f>
        <v/>
      </c>
      <c r="AA96" s="24" t="str">
        <f aca="false">IF($A96="","",IF(AND(AA$2&gt;=09_ガント元データ!$G95,AA$2&lt;=09_ガント元データ!$H95),"■",""))</f>
        <v/>
      </c>
      <c r="AB96" s="24" t="str">
        <f aca="false">IF($A96="","",IF(AND(AB$2&gt;=09_ガント元データ!$G95,AB$2&lt;=09_ガント元データ!$H95),"■",""))</f>
        <v/>
      </c>
      <c r="AC96" s="24" t="str">
        <f aca="false">IF($A96="","",IF(AND(AC$2&gt;=09_ガント元データ!$G95,AC$2&lt;=09_ガント元データ!$H95),"■",""))</f>
        <v/>
      </c>
      <c r="AD96" s="24" t="str">
        <f aca="false">IF($A96="","",IF(AND(AD$2&gt;=09_ガント元データ!$G95,AD$2&lt;=09_ガント元データ!$H95),"■",""))</f>
        <v/>
      </c>
      <c r="AE96" s="24" t="str">
        <f aca="false">IF($A96="","",IF(AND(AE$2&gt;=09_ガント元データ!$G95,AE$2&lt;=09_ガント元データ!$H95),"■",""))</f>
        <v/>
      </c>
      <c r="AF96" s="24" t="str">
        <f aca="false">IF($A96="","",IF(AND(AF$2&gt;=09_ガント元データ!$G95,AF$2&lt;=09_ガント元データ!$H95),"■",""))</f>
        <v/>
      </c>
      <c r="AG96" s="24" t="str">
        <f aca="false">IF($A96="","",IF(AND(AG$2&gt;=09_ガント元データ!$G95,AG$2&lt;=09_ガント元データ!$H95),"■",""))</f>
        <v/>
      </c>
      <c r="AH96" s="24" t="str">
        <f aca="false">IF($A96="","",IF(AND(AH$2&gt;=09_ガント元データ!$G95,AH$2&lt;=09_ガント元データ!$H95),"■",""))</f>
        <v/>
      </c>
      <c r="AI96" s="24" t="str">
        <f aca="false">IF($A96="","",IF(AND(AI$2&gt;=09_ガント元データ!$G95,AI$2&lt;=09_ガント元データ!$H95),"■",""))</f>
        <v/>
      </c>
      <c r="AJ96" s="24" t="str">
        <f aca="false">IF($A96="","",IF(AND(AJ$2&gt;=09_ガント元データ!$G95,AJ$2&lt;=09_ガント元データ!$H95),"■",""))</f>
        <v/>
      </c>
      <c r="AK96" s="24" t="str">
        <f aca="false">IF($A96="","",IF(AND(AK$2&gt;=09_ガント元データ!$G95,AK$2&lt;=09_ガント元データ!$H95),"■",""))</f>
        <v/>
      </c>
      <c r="AL96" s="24" t="str">
        <f aca="false">IF($A96="","",IF(AND(AL$2&gt;=09_ガント元データ!$G95,AL$2&lt;=09_ガント元データ!$H95),"■",""))</f>
        <v/>
      </c>
      <c r="AM96" s="24" t="str">
        <f aca="false">IF($A96="","",IF(AND(AM$2&gt;=09_ガント元データ!$G95,AM$2&lt;=09_ガント元データ!$H95),"■",""))</f>
        <v/>
      </c>
    </row>
    <row r="97" customFormat="false" ht="15" hidden="false" customHeight="false" outlineLevel="0" collapsed="false">
      <c r="A97" s="22" t="str">
        <f aca="false">09_ガント元データ!A96</f>
        <v/>
      </c>
      <c r="B97" s="22" t="str">
        <f aca="false">09_ガント元データ!B96</f>
        <v/>
      </c>
      <c r="C97" s="23" t="str">
        <f aca="false">09_ガント元データ!C96</f>
        <v/>
      </c>
      <c r="D97" s="24" t="str">
        <f aca="false">IF($A97="","",IF(AND(D$2&gt;=09_ガント元データ!$G96,D$2&lt;=09_ガント元データ!$H96),"■",""))</f>
        <v/>
      </c>
      <c r="E97" s="24" t="str">
        <f aca="false">IF($A97="","",IF(AND(E$2&gt;=09_ガント元データ!$G96,E$2&lt;=09_ガント元データ!$H96),"■",""))</f>
        <v/>
      </c>
      <c r="F97" s="24" t="str">
        <f aca="false">IF($A97="","",IF(AND(F$2&gt;=09_ガント元データ!$G96,F$2&lt;=09_ガント元データ!$H96),"■",""))</f>
        <v/>
      </c>
      <c r="G97" s="24" t="str">
        <f aca="false">IF($A97="","",IF(AND(G$2&gt;=09_ガント元データ!$G96,G$2&lt;=09_ガント元データ!$H96),"■",""))</f>
        <v/>
      </c>
      <c r="H97" s="24" t="str">
        <f aca="false">IF($A97="","",IF(AND(H$2&gt;=09_ガント元データ!$G96,H$2&lt;=09_ガント元データ!$H96),"■",""))</f>
        <v/>
      </c>
      <c r="I97" s="24" t="str">
        <f aca="false">IF($A97="","",IF(AND(I$2&gt;=09_ガント元データ!$G96,I$2&lt;=09_ガント元データ!$H96),"■",""))</f>
        <v/>
      </c>
      <c r="J97" s="24" t="str">
        <f aca="false">IF($A97="","",IF(AND(J$2&gt;=09_ガント元データ!$G96,J$2&lt;=09_ガント元データ!$H96),"■",""))</f>
        <v/>
      </c>
      <c r="K97" s="24" t="str">
        <f aca="false">IF($A97="","",IF(AND(K$2&gt;=09_ガント元データ!$G96,K$2&lt;=09_ガント元データ!$H96),"■",""))</f>
        <v/>
      </c>
      <c r="L97" s="24" t="str">
        <f aca="false">IF($A97="","",IF(AND(L$2&gt;=09_ガント元データ!$G96,L$2&lt;=09_ガント元データ!$H96),"■",""))</f>
        <v/>
      </c>
      <c r="M97" s="24" t="str">
        <f aca="false">IF($A97="","",IF(AND(M$2&gt;=09_ガント元データ!$G96,M$2&lt;=09_ガント元データ!$H96),"■",""))</f>
        <v/>
      </c>
      <c r="N97" s="24" t="str">
        <f aca="false">IF($A97="","",IF(AND(N$2&gt;=09_ガント元データ!$G96,N$2&lt;=09_ガント元データ!$H96),"■",""))</f>
        <v/>
      </c>
      <c r="O97" s="24" t="str">
        <f aca="false">IF($A97="","",IF(AND(O$2&gt;=09_ガント元データ!$G96,O$2&lt;=09_ガント元データ!$H96),"■",""))</f>
        <v/>
      </c>
      <c r="P97" s="24" t="str">
        <f aca="false">IF($A97="","",IF(AND(P$2&gt;=09_ガント元データ!$G96,P$2&lt;=09_ガント元データ!$H96),"■",""))</f>
        <v/>
      </c>
      <c r="Q97" s="24" t="str">
        <f aca="false">IF($A97="","",IF(AND(Q$2&gt;=09_ガント元データ!$G96,Q$2&lt;=09_ガント元データ!$H96),"■",""))</f>
        <v/>
      </c>
      <c r="R97" s="24" t="str">
        <f aca="false">IF($A97="","",IF(AND(R$2&gt;=09_ガント元データ!$G96,R$2&lt;=09_ガント元データ!$H96),"■",""))</f>
        <v/>
      </c>
      <c r="S97" s="24" t="str">
        <f aca="false">IF($A97="","",IF(AND(S$2&gt;=09_ガント元データ!$G96,S$2&lt;=09_ガント元データ!$H96),"■",""))</f>
        <v/>
      </c>
      <c r="T97" s="24" t="str">
        <f aca="false">IF($A97="","",IF(AND(T$2&gt;=09_ガント元データ!$G96,T$2&lt;=09_ガント元データ!$H96),"■",""))</f>
        <v/>
      </c>
      <c r="U97" s="24" t="str">
        <f aca="false">IF($A97="","",IF(AND(U$2&gt;=09_ガント元データ!$G96,U$2&lt;=09_ガント元データ!$H96),"■",""))</f>
        <v/>
      </c>
      <c r="V97" s="24" t="str">
        <f aca="false">IF($A97="","",IF(AND(V$2&gt;=09_ガント元データ!$G96,V$2&lt;=09_ガント元データ!$H96),"■",""))</f>
        <v/>
      </c>
      <c r="W97" s="24" t="str">
        <f aca="false">IF($A97="","",IF(AND(W$2&gt;=09_ガント元データ!$G96,W$2&lt;=09_ガント元データ!$H96),"■",""))</f>
        <v/>
      </c>
      <c r="X97" s="24" t="str">
        <f aca="false">IF($A97="","",IF(AND(X$2&gt;=09_ガント元データ!$G96,X$2&lt;=09_ガント元データ!$H96),"■",""))</f>
        <v/>
      </c>
      <c r="Y97" s="24" t="str">
        <f aca="false">IF($A97="","",IF(AND(Y$2&gt;=09_ガント元データ!$G96,Y$2&lt;=09_ガント元データ!$H96),"■",""))</f>
        <v/>
      </c>
      <c r="Z97" s="24" t="str">
        <f aca="false">IF($A97="","",IF(AND(Z$2&gt;=09_ガント元データ!$G96,Z$2&lt;=09_ガント元データ!$H96),"■",""))</f>
        <v/>
      </c>
      <c r="AA97" s="24" t="str">
        <f aca="false">IF($A97="","",IF(AND(AA$2&gt;=09_ガント元データ!$G96,AA$2&lt;=09_ガント元データ!$H96),"■",""))</f>
        <v/>
      </c>
      <c r="AB97" s="24" t="str">
        <f aca="false">IF($A97="","",IF(AND(AB$2&gt;=09_ガント元データ!$G96,AB$2&lt;=09_ガント元データ!$H96),"■",""))</f>
        <v/>
      </c>
      <c r="AC97" s="24" t="str">
        <f aca="false">IF($A97="","",IF(AND(AC$2&gt;=09_ガント元データ!$G96,AC$2&lt;=09_ガント元データ!$H96),"■",""))</f>
        <v/>
      </c>
      <c r="AD97" s="24" t="str">
        <f aca="false">IF($A97="","",IF(AND(AD$2&gt;=09_ガント元データ!$G96,AD$2&lt;=09_ガント元データ!$H96),"■",""))</f>
        <v/>
      </c>
      <c r="AE97" s="24" t="str">
        <f aca="false">IF($A97="","",IF(AND(AE$2&gt;=09_ガント元データ!$G96,AE$2&lt;=09_ガント元データ!$H96),"■",""))</f>
        <v/>
      </c>
      <c r="AF97" s="24" t="str">
        <f aca="false">IF($A97="","",IF(AND(AF$2&gt;=09_ガント元データ!$G96,AF$2&lt;=09_ガント元データ!$H96),"■",""))</f>
        <v/>
      </c>
      <c r="AG97" s="24" t="str">
        <f aca="false">IF($A97="","",IF(AND(AG$2&gt;=09_ガント元データ!$G96,AG$2&lt;=09_ガント元データ!$H96),"■",""))</f>
        <v/>
      </c>
      <c r="AH97" s="24" t="str">
        <f aca="false">IF($A97="","",IF(AND(AH$2&gt;=09_ガント元データ!$G96,AH$2&lt;=09_ガント元データ!$H96),"■",""))</f>
        <v/>
      </c>
      <c r="AI97" s="24" t="str">
        <f aca="false">IF($A97="","",IF(AND(AI$2&gt;=09_ガント元データ!$G96,AI$2&lt;=09_ガント元データ!$H96),"■",""))</f>
        <v/>
      </c>
      <c r="AJ97" s="24" t="str">
        <f aca="false">IF($A97="","",IF(AND(AJ$2&gt;=09_ガント元データ!$G96,AJ$2&lt;=09_ガント元データ!$H96),"■",""))</f>
        <v/>
      </c>
      <c r="AK97" s="24" t="str">
        <f aca="false">IF($A97="","",IF(AND(AK$2&gt;=09_ガント元データ!$G96,AK$2&lt;=09_ガント元データ!$H96),"■",""))</f>
        <v/>
      </c>
      <c r="AL97" s="24" t="str">
        <f aca="false">IF($A97="","",IF(AND(AL$2&gt;=09_ガント元データ!$G96,AL$2&lt;=09_ガント元データ!$H96),"■",""))</f>
        <v/>
      </c>
      <c r="AM97" s="24" t="str">
        <f aca="false">IF($A97="","",IF(AND(AM$2&gt;=09_ガント元データ!$G96,AM$2&lt;=09_ガント元データ!$H96),"■",""))</f>
        <v/>
      </c>
    </row>
    <row r="98" customFormat="false" ht="15" hidden="false" customHeight="false" outlineLevel="0" collapsed="false">
      <c r="A98" s="22" t="str">
        <f aca="false">09_ガント元データ!A97</f>
        <v/>
      </c>
      <c r="B98" s="22" t="str">
        <f aca="false">09_ガント元データ!B97</f>
        <v/>
      </c>
      <c r="C98" s="23" t="str">
        <f aca="false">09_ガント元データ!C97</f>
        <v/>
      </c>
      <c r="D98" s="24" t="str">
        <f aca="false">IF($A98="","",IF(AND(D$2&gt;=09_ガント元データ!$G97,D$2&lt;=09_ガント元データ!$H97),"■",""))</f>
        <v/>
      </c>
      <c r="E98" s="24" t="str">
        <f aca="false">IF($A98="","",IF(AND(E$2&gt;=09_ガント元データ!$G97,E$2&lt;=09_ガント元データ!$H97),"■",""))</f>
        <v/>
      </c>
      <c r="F98" s="24" t="str">
        <f aca="false">IF($A98="","",IF(AND(F$2&gt;=09_ガント元データ!$G97,F$2&lt;=09_ガント元データ!$H97),"■",""))</f>
        <v/>
      </c>
      <c r="G98" s="24" t="str">
        <f aca="false">IF($A98="","",IF(AND(G$2&gt;=09_ガント元データ!$G97,G$2&lt;=09_ガント元データ!$H97),"■",""))</f>
        <v/>
      </c>
      <c r="H98" s="24" t="str">
        <f aca="false">IF($A98="","",IF(AND(H$2&gt;=09_ガント元データ!$G97,H$2&lt;=09_ガント元データ!$H97),"■",""))</f>
        <v/>
      </c>
      <c r="I98" s="24" t="str">
        <f aca="false">IF($A98="","",IF(AND(I$2&gt;=09_ガント元データ!$G97,I$2&lt;=09_ガント元データ!$H97),"■",""))</f>
        <v/>
      </c>
      <c r="J98" s="24" t="str">
        <f aca="false">IF($A98="","",IF(AND(J$2&gt;=09_ガント元データ!$G97,J$2&lt;=09_ガント元データ!$H97),"■",""))</f>
        <v/>
      </c>
      <c r="K98" s="24" t="str">
        <f aca="false">IF($A98="","",IF(AND(K$2&gt;=09_ガント元データ!$G97,K$2&lt;=09_ガント元データ!$H97),"■",""))</f>
        <v/>
      </c>
      <c r="L98" s="24" t="str">
        <f aca="false">IF($A98="","",IF(AND(L$2&gt;=09_ガント元データ!$G97,L$2&lt;=09_ガント元データ!$H97),"■",""))</f>
        <v/>
      </c>
      <c r="M98" s="24" t="str">
        <f aca="false">IF($A98="","",IF(AND(M$2&gt;=09_ガント元データ!$G97,M$2&lt;=09_ガント元データ!$H97),"■",""))</f>
        <v/>
      </c>
      <c r="N98" s="24" t="str">
        <f aca="false">IF($A98="","",IF(AND(N$2&gt;=09_ガント元データ!$G97,N$2&lt;=09_ガント元データ!$H97),"■",""))</f>
        <v/>
      </c>
      <c r="O98" s="24" t="str">
        <f aca="false">IF($A98="","",IF(AND(O$2&gt;=09_ガント元データ!$G97,O$2&lt;=09_ガント元データ!$H97),"■",""))</f>
        <v/>
      </c>
      <c r="P98" s="24" t="str">
        <f aca="false">IF($A98="","",IF(AND(P$2&gt;=09_ガント元データ!$G97,P$2&lt;=09_ガント元データ!$H97),"■",""))</f>
        <v/>
      </c>
      <c r="Q98" s="24" t="str">
        <f aca="false">IF($A98="","",IF(AND(Q$2&gt;=09_ガント元データ!$G97,Q$2&lt;=09_ガント元データ!$H97),"■",""))</f>
        <v/>
      </c>
      <c r="R98" s="24" t="str">
        <f aca="false">IF($A98="","",IF(AND(R$2&gt;=09_ガント元データ!$G97,R$2&lt;=09_ガント元データ!$H97),"■",""))</f>
        <v/>
      </c>
      <c r="S98" s="24" t="str">
        <f aca="false">IF($A98="","",IF(AND(S$2&gt;=09_ガント元データ!$G97,S$2&lt;=09_ガント元データ!$H97),"■",""))</f>
        <v/>
      </c>
      <c r="T98" s="24" t="str">
        <f aca="false">IF($A98="","",IF(AND(T$2&gt;=09_ガント元データ!$G97,T$2&lt;=09_ガント元データ!$H97),"■",""))</f>
        <v/>
      </c>
      <c r="U98" s="24" t="str">
        <f aca="false">IF($A98="","",IF(AND(U$2&gt;=09_ガント元データ!$G97,U$2&lt;=09_ガント元データ!$H97),"■",""))</f>
        <v/>
      </c>
      <c r="V98" s="24" t="str">
        <f aca="false">IF($A98="","",IF(AND(V$2&gt;=09_ガント元データ!$G97,V$2&lt;=09_ガント元データ!$H97),"■",""))</f>
        <v/>
      </c>
      <c r="W98" s="24" t="str">
        <f aca="false">IF($A98="","",IF(AND(W$2&gt;=09_ガント元データ!$G97,W$2&lt;=09_ガント元データ!$H97),"■",""))</f>
        <v/>
      </c>
      <c r="X98" s="24" t="str">
        <f aca="false">IF($A98="","",IF(AND(X$2&gt;=09_ガント元データ!$G97,X$2&lt;=09_ガント元データ!$H97),"■",""))</f>
        <v/>
      </c>
      <c r="Y98" s="24" t="str">
        <f aca="false">IF($A98="","",IF(AND(Y$2&gt;=09_ガント元データ!$G97,Y$2&lt;=09_ガント元データ!$H97),"■",""))</f>
        <v/>
      </c>
      <c r="Z98" s="24" t="str">
        <f aca="false">IF($A98="","",IF(AND(Z$2&gt;=09_ガント元データ!$G97,Z$2&lt;=09_ガント元データ!$H97),"■",""))</f>
        <v/>
      </c>
      <c r="AA98" s="24" t="str">
        <f aca="false">IF($A98="","",IF(AND(AA$2&gt;=09_ガント元データ!$G97,AA$2&lt;=09_ガント元データ!$H97),"■",""))</f>
        <v/>
      </c>
      <c r="AB98" s="24" t="str">
        <f aca="false">IF($A98="","",IF(AND(AB$2&gt;=09_ガント元データ!$G97,AB$2&lt;=09_ガント元データ!$H97),"■",""))</f>
        <v/>
      </c>
      <c r="AC98" s="24" t="str">
        <f aca="false">IF($A98="","",IF(AND(AC$2&gt;=09_ガント元データ!$G97,AC$2&lt;=09_ガント元データ!$H97),"■",""))</f>
        <v/>
      </c>
      <c r="AD98" s="24" t="str">
        <f aca="false">IF($A98="","",IF(AND(AD$2&gt;=09_ガント元データ!$G97,AD$2&lt;=09_ガント元データ!$H97),"■",""))</f>
        <v/>
      </c>
      <c r="AE98" s="24" t="str">
        <f aca="false">IF($A98="","",IF(AND(AE$2&gt;=09_ガント元データ!$G97,AE$2&lt;=09_ガント元データ!$H97),"■",""))</f>
        <v/>
      </c>
      <c r="AF98" s="24" t="str">
        <f aca="false">IF($A98="","",IF(AND(AF$2&gt;=09_ガント元データ!$G97,AF$2&lt;=09_ガント元データ!$H97),"■",""))</f>
        <v/>
      </c>
      <c r="AG98" s="24" t="str">
        <f aca="false">IF($A98="","",IF(AND(AG$2&gt;=09_ガント元データ!$G97,AG$2&lt;=09_ガント元データ!$H97),"■",""))</f>
        <v/>
      </c>
      <c r="AH98" s="24" t="str">
        <f aca="false">IF($A98="","",IF(AND(AH$2&gt;=09_ガント元データ!$G97,AH$2&lt;=09_ガント元データ!$H97),"■",""))</f>
        <v/>
      </c>
      <c r="AI98" s="24" t="str">
        <f aca="false">IF($A98="","",IF(AND(AI$2&gt;=09_ガント元データ!$G97,AI$2&lt;=09_ガント元データ!$H97),"■",""))</f>
        <v/>
      </c>
      <c r="AJ98" s="24" t="str">
        <f aca="false">IF($A98="","",IF(AND(AJ$2&gt;=09_ガント元データ!$G97,AJ$2&lt;=09_ガント元データ!$H97),"■",""))</f>
        <v/>
      </c>
      <c r="AK98" s="24" t="str">
        <f aca="false">IF($A98="","",IF(AND(AK$2&gt;=09_ガント元データ!$G97,AK$2&lt;=09_ガント元データ!$H97),"■",""))</f>
        <v/>
      </c>
      <c r="AL98" s="24" t="str">
        <f aca="false">IF($A98="","",IF(AND(AL$2&gt;=09_ガント元データ!$G97,AL$2&lt;=09_ガント元データ!$H97),"■",""))</f>
        <v/>
      </c>
      <c r="AM98" s="24" t="str">
        <f aca="false">IF($A98="","",IF(AND(AM$2&gt;=09_ガント元データ!$G97,AM$2&lt;=09_ガント元データ!$H97),"■",""))</f>
        <v/>
      </c>
    </row>
    <row r="99" customFormat="false" ht="15" hidden="false" customHeight="false" outlineLevel="0" collapsed="false">
      <c r="A99" s="22" t="str">
        <f aca="false">09_ガント元データ!A98</f>
        <v/>
      </c>
      <c r="B99" s="22" t="str">
        <f aca="false">09_ガント元データ!B98</f>
        <v/>
      </c>
      <c r="C99" s="23" t="str">
        <f aca="false">09_ガント元データ!C98</f>
        <v/>
      </c>
      <c r="D99" s="24" t="str">
        <f aca="false">IF($A99="","",IF(AND(D$2&gt;=09_ガント元データ!$G98,D$2&lt;=09_ガント元データ!$H98),"■",""))</f>
        <v/>
      </c>
      <c r="E99" s="24" t="str">
        <f aca="false">IF($A99="","",IF(AND(E$2&gt;=09_ガント元データ!$G98,E$2&lt;=09_ガント元データ!$H98),"■",""))</f>
        <v/>
      </c>
      <c r="F99" s="24" t="str">
        <f aca="false">IF($A99="","",IF(AND(F$2&gt;=09_ガント元データ!$G98,F$2&lt;=09_ガント元データ!$H98),"■",""))</f>
        <v/>
      </c>
      <c r="G99" s="24" t="str">
        <f aca="false">IF($A99="","",IF(AND(G$2&gt;=09_ガント元データ!$G98,G$2&lt;=09_ガント元データ!$H98),"■",""))</f>
        <v/>
      </c>
      <c r="H99" s="24" t="str">
        <f aca="false">IF($A99="","",IF(AND(H$2&gt;=09_ガント元データ!$G98,H$2&lt;=09_ガント元データ!$H98),"■",""))</f>
        <v/>
      </c>
      <c r="I99" s="24" t="str">
        <f aca="false">IF($A99="","",IF(AND(I$2&gt;=09_ガント元データ!$G98,I$2&lt;=09_ガント元データ!$H98),"■",""))</f>
        <v/>
      </c>
      <c r="J99" s="24" t="str">
        <f aca="false">IF($A99="","",IF(AND(J$2&gt;=09_ガント元データ!$G98,J$2&lt;=09_ガント元データ!$H98),"■",""))</f>
        <v/>
      </c>
      <c r="K99" s="24" t="str">
        <f aca="false">IF($A99="","",IF(AND(K$2&gt;=09_ガント元データ!$G98,K$2&lt;=09_ガント元データ!$H98),"■",""))</f>
        <v/>
      </c>
      <c r="L99" s="24" t="str">
        <f aca="false">IF($A99="","",IF(AND(L$2&gt;=09_ガント元データ!$G98,L$2&lt;=09_ガント元データ!$H98),"■",""))</f>
        <v/>
      </c>
      <c r="M99" s="24" t="str">
        <f aca="false">IF($A99="","",IF(AND(M$2&gt;=09_ガント元データ!$G98,M$2&lt;=09_ガント元データ!$H98),"■",""))</f>
        <v/>
      </c>
      <c r="N99" s="24" t="str">
        <f aca="false">IF($A99="","",IF(AND(N$2&gt;=09_ガント元データ!$G98,N$2&lt;=09_ガント元データ!$H98),"■",""))</f>
        <v/>
      </c>
      <c r="O99" s="24" t="str">
        <f aca="false">IF($A99="","",IF(AND(O$2&gt;=09_ガント元データ!$G98,O$2&lt;=09_ガント元データ!$H98),"■",""))</f>
        <v/>
      </c>
      <c r="P99" s="24" t="str">
        <f aca="false">IF($A99="","",IF(AND(P$2&gt;=09_ガント元データ!$G98,P$2&lt;=09_ガント元データ!$H98),"■",""))</f>
        <v/>
      </c>
      <c r="Q99" s="24" t="str">
        <f aca="false">IF($A99="","",IF(AND(Q$2&gt;=09_ガント元データ!$G98,Q$2&lt;=09_ガント元データ!$H98),"■",""))</f>
        <v/>
      </c>
      <c r="R99" s="24" t="str">
        <f aca="false">IF($A99="","",IF(AND(R$2&gt;=09_ガント元データ!$G98,R$2&lt;=09_ガント元データ!$H98),"■",""))</f>
        <v/>
      </c>
      <c r="S99" s="24" t="str">
        <f aca="false">IF($A99="","",IF(AND(S$2&gt;=09_ガント元データ!$G98,S$2&lt;=09_ガント元データ!$H98),"■",""))</f>
        <v/>
      </c>
      <c r="T99" s="24" t="str">
        <f aca="false">IF($A99="","",IF(AND(T$2&gt;=09_ガント元データ!$G98,T$2&lt;=09_ガント元データ!$H98),"■",""))</f>
        <v/>
      </c>
      <c r="U99" s="24" t="str">
        <f aca="false">IF($A99="","",IF(AND(U$2&gt;=09_ガント元データ!$G98,U$2&lt;=09_ガント元データ!$H98),"■",""))</f>
        <v/>
      </c>
      <c r="V99" s="24" t="str">
        <f aca="false">IF($A99="","",IF(AND(V$2&gt;=09_ガント元データ!$G98,V$2&lt;=09_ガント元データ!$H98),"■",""))</f>
        <v/>
      </c>
      <c r="W99" s="24" t="str">
        <f aca="false">IF($A99="","",IF(AND(W$2&gt;=09_ガント元データ!$G98,W$2&lt;=09_ガント元データ!$H98),"■",""))</f>
        <v/>
      </c>
      <c r="X99" s="24" t="str">
        <f aca="false">IF($A99="","",IF(AND(X$2&gt;=09_ガント元データ!$G98,X$2&lt;=09_ガント元データ!$H98),"■",""))</f>
        <v/>
      </c>
      <c r="Y99" s="24" t="str">
        <f aca="false">IF($A99="","",IF(AND(Y$2&gt;=09_ガント元データ!$G98,Y$2&lt;=09_ガント元データ!$H98),"■",""))</f>
        <v/>
      </c>
      <c r="Z99" s="24" t="str">
        <f aca="false">IF($A99="","",IF(AND(Z$2&gt;=09_ガント元データ!$G98,Z$2&lt;=09_ガント元データ!$H98),"■",""))</f>
        <v/>
      </c>
      <c r="AA99" s="24" t="str">
        <f aca="false">IF($A99="","",IF(AND(AA$2&gt;=09_ガント元データ!$G98,AA$2&lt;=09_ガント元データ!$H98),"■",""))</f>
        <v/>
      </c>
      <c r="AB99" s="24" t="str">
        <f aca="false">IF($A99="","",IF(AND(AB$2&gt;=09_ガント元データ!$G98,AB$2&lt;=09_ガント元データ!$H98),"■",""))</f>
        <v/>
      </c>
      <c r="AC99" s="24" t="str">
        <f aca="false">IF($A99="","",IF(AND(AC$2&gt;=09_ガント元データ!$G98,AC$2&lt;=09_ガント元データ!$H98),"■",""))</f>
        <v/>
      </c>
      <c r="AD99" s="24" t="str">
        <f aca="false">IF($A99="","",IF(AND(AD$2&gt;=09_ガント元データ!$G98,AD$2&lt;=09_ガント元データ!$H98),"■",""))</f>
        <v/>
      </c>
      <c r="AE99" s="24" t="str">
        <f aca="false">IF($A99="","",IF(AND(AE$2&gt;=09_ガント元データ!$G98,AE$2&lt;=09_ガント元データ!$H98),"■",""))</f>
        <v/>
      </c>
      <c r="AF99" s="24" t="str">
        <f aca="false">IF($A99="","",IF(AND(AF$2&gt;=09_ガント元データ!$G98,AF$2&lt;=09_ガント元データ!$H98),"■",""))</f>
        <v/>
      </c>
      <c r="AG99" s="24" t="str">
        <f aca="false">IF($A99="","",IF(AND(AG$2&gt;=09_ガント元データ!$G98,AG$2&lt;=09_ガント元データ!$H98),"■",""))</f>
        <v/>
      </c>
      <c r="AH99" s="24" t="str">
        <f aca="false">IF($A99="","",IF(AND(AH$2&gt;=09_ガント元データ!$G98,AH$2&lt;=09_ガント元データ!$H98),"■",""))</f>
        <v/>
      </c>
      <c r="AI99" s="24" t="str">
        <f aca="false">IF($A99="","",IF(AND(AI$2&gt;=09_ガント元データ!$G98,AI$2&lt;=09_ガント元データ!$H98),"■",""))</f>
        <v/>
      </c>
      <c r="AJ99" s="24" t="str">
        <f aca="false">IF($A99="","",IF(AND(AJ$2&gt;=09_ガント元データ!$G98,AJ$2&lt;=09_ガント元データ!$H98),"■",""))</f>
        <v/>
      </c>
      <c r="AK99" s="24" t="str">
        <f aca="false">IF($A99="","",IF(AND(AK$2&gt;=09_ガント元データ!$G98,AK$2&lt;=09_ガント元データ!$H98),"■",""))</f>
        <v/>
      </c>
      <c r="AL99" s="24" t="str">
        <f aca="false">IF($A99="","",IF(AND(AL$2&gt;=09_ガント元データ!$G98,AL$2&lt;=09_ガント元データ!$H98),"■",""))</f>
        <v/>
      </c>
      <c r="AM99" s="24" t="str">
        <f aca="false">IF($A99="","",IF(AND(AM$2&gt;=09_ガント元データ!$G98,AM$2&lt;=09_ガント元データ!$H98),"■",""))</f>
        <v/>
      </c>
    </row>
    <row r="100" customFormat="false" ht="15" hidden="false" customHeight="false" outlineLevel="0" collapsed="false">
      <c r="A100" s="22" t="str">
        <f aca="false">09_ガント元データ!A99</f>
        <v/>
      </c>
      <c r="B100" s="22" t="str">
        <f aca="false">09_ガント元データ!B99</f>
        <v/>
      </c>
      <c r="C100" s="23" t="str">
        <f aca="false">09_ガント元データ!C99</f>
        <v/>
      </c>
      <c r="D100" s="24" t="str">
        <f aca="false">IF($A100="","",IF(AND(D$2&gt;=09_ガント元データ!$G99,D$2&lt;=09_ガント元データ!$H99),"■",""))</f>
        <v/>
      </c>
      <c r="E100" s="24" t="str">
        <f aca="false">IF($A100="","",IF(AND(E$2&gt;=09_ガント元データ!$G99,E$2&lt;=09_ガント元データ!$H99),"■",""))</f>
        <v/>
      </c>
      <c r="F100" s="24" t="str">
        <f aca="false">IF($A100="","",IF(AND(F$2&gt;=09_ガント元データ!$G99,F$2&lt;=09_ガント元データ!$H99),"■",""))</f>
        <v/>
      </c>
      <c r="G100" s="24" t="str">
        <f aca="false">IF($A100="","",IF(AND(G$2&gt;=09_ガント元データ!$G99,G$2&lt;=09_ガント元データ!$H99),"■",""))</f>
        <v/>
      </c>
      <c r="H100" s="24" t="str">
        <f aca="false">IF($A100="","",IF(AND(H$2&gt;=09_ガント元データ!$G99,H$2&lt;=09_ガント元データ!$H99),"■",""))</f>
        <v/>
      </c>
      <c r="I100" s="24" t="str">
        <f aca="false">IF($A100="","",IF(AND(I$2&gt;=09_ガント元データ!$G99,I$2&lt;=09_ガント元データ!$H99),"■",""))</f>
        <v/>
      </c>
      <c r="J100" s="24" t="str">
        <f aca="false">IF($A100="","",IF(AND(J$2&gt;=09_ガント元データ!$G99,J$2&lt;=09_ガント元データ!$H99),"■",""))</f>
        <v/>
      </c>
      <c r="K100" s="24" t="str">
        <f aca="false">IF($A100="","",IF(AND(K$2&gt;=09_ガント元データ!$G99,K$2&lt;=09_ガント元データ!$H99),"■",""))</f>
        <v/>
      </c>
      <c r="L100" s="24" t="str">
        <f aca="false">IF($A100="","",IF(AND(L$2&gt;=09_ガント元データ!$G99,L$2&lt;=09_ガント元データ!$H99),"■",""))</f>
        <v/>
      </c>
      <c r="M100" s="24" t="str">
        <f aca="false">IF($A100="","",IF(AND(M$2&gt;=09_ガント元データ!$G99,M$2&lt;=09_ガント元データ!$H99),"■",""))</f>
        <v/>
      </c>
      <c r="N100" s="24" t="str">
        <f aca="false">IF($A100="","",IF(AND(N$2&gt;=09_ガント元データ!$G99,N$2&lt;=09_ガント元データ!$H99),"■",""))</f>
        <v/>
      </c>
      <c r="O100" s="24" t="str">
        <f aca="false">IF($A100="","",IF(AND(O$2&gt;=09_ガント元データ!$G99,O$2&lt;=09_ガント元データ!$H99),"■",""))</f>
        <v/>
      </c>
      <c r="P100" s="24" t="str">
        <f aca="false">IF($A100="","",IF(AND(P$2&gt;=09_ガント元データ!$G99,P$2&lt;=09_ガント元データ!$H99),"■",""))</f>
        <v/>
      </c>
      <c r="Q100" s="24" t="str">
        <f aca="false">IF($A100="","",IF(AND(Q$2&gt;=09_ガント元データ!$G99,Q$2&lt;=09_ガント元データ!$H99),"■",""))</f>
        <v/>
      </c>
      <c r="R100" s="24" t="str">
        <f aca="false">IF($A100="","",IF(AND(R$2&gt;=09_ガント元データ!$G99,R$2&lt;=09_ガント元データ!$H99),"■",""))</f>
        <v/>
      </c>
      <c r="S100" s="24" t="str">
        <f aca="false">IF($A100="","",IF(AND(S$2&gt;=09_ガント元データ!$G99,S$2&lt;=09_ガント元データ!$H99),"■",""))</f>
        <v/>
      </c>
      <c r="T100" s="24" t="str">
        <f aca="false">IF($A100="","",IF(AND(T$2&gt;=09_ガント元データ!$G99,T$2&lt;=09_ガント元データ!$H99),"■",""))</f>
        <v/>
      </c>
      <c r="U100" s="24" t="str">
        <f aca="false">IF($A100="","",IF(AND(U$2&gt;=09_ガント元データ!$G99,U$2&lt;=09_ガント元データ!$H99),"■",""))</f>
        <v/>
      </c>
      <c r="V100" s="24" t="str">
        <f aca="false">IF($A100="","",IF(AND(V$2&gt;=09_ガント元データ!$G99,V$2&lt;=09_ガント元データ!$H99),"■",""))</f>
        <v/>
      </c>
      <c r="W100" s="24" t="str">
        <f aca="false">IF($A100="","",IF(AND(W$2&gt;=09_ガント元データ!$G99,W$2&lt;=09_ガント元データ!$H99),"■",""))</f>
        <v/>
      </c>
      <c r="X100" s="24" t="str">
        <f aca="false">IF($A100="","",IF(AND(X$2&gt;=09_ガント元データ!$G99,X$2&lt;=09_ガント元データ!$H99),"■",""))</f>
        <v/>
      </c>
      <c r="Y100" s="24" t="str">
        <f aca="false">IF($A100="","",IF(AND(Y$2&gt;=09_ガント元データ!$G99,Y$2&lt;=09_ガント元データ!$H99),"■",""))</f>
        <v/>
      </c>
      <c r="Z100" s="24" t="str">
        <f aca="false">IF($A100="","",IF(AND(Z$2&gt;=09_ガント元データ!$G99,Z$2&lt;=09_ガント元データ!$H99),"■",""))</f>
        <v/>
      </c>
      <c r="AA100" s="24" t="str">
        <f aca="false">IF($A100="","",IF(AND(AA$2&gt;=09_ガント元データ!$G99,AA$2&lt;=09_ガント元データ!$H99),"■",""))</f>
        <v/>
      </c>
      <c r="AB100" s="24" t="str">
        <f aca="false">IF($A100="","",IF(AND(AB$2&gt;=09_ガント元データ!$G99,AB$2&lt;=09_ガント元データ!$H99),"■",""))</f>
        <v/>
      </c>
      <c r="AC100" s="24" t="str">
        <f aca="false">IF($A100="","",IF(AND(AC$2&gt;=09_ガント元データ!$G99,AC$2&lt;=09_ガント元データ!$H99),"■",""))</f>
        <v/>
      </c>
      <c r="AD100" s="24" t="str">
        <f aca="false">IF($A100="","",IF(AND(AD$2&gt;=09_ガント元データ!$G99,AD$2&lt;=09_ガント元データ!$H99),"■",""))</f>
        <v/>
      </c>
      <c r="AE100" s="24" t="str">
        <f aca="false">IF($A100="","",IF(AND(AE$2&gt;=09_ガント元データ!$G99,AE$2&lt;=09_ガント元データ!$H99),"■",""))</f>
        <v/>
      </c>
      <c r="AF100" s="24" t="str">
        <f aca="false">IF($A100="","",IF(AND(AF$2&gt;=09_ガント元データ!$G99,AF$2&lt;=09_ガント元データ!$H99),"■",""))</f>
        <v/>
      </c>
      <c r="AG100" s="24" t="str">
        <f aca="false">IF($A100="","",IF(AND(AG$2&gt;=09_ガント元データ!$G99,AG$2&lt;=09_ガント元データ!$H99),"■",""))</f>
        <v/>
      </c>
      <c r="AH100" s="24" t="str">
        <f aca="false">IF($A100="","",IF(AND(AH$2&gt;=09_ガント元データ!$G99,AH$2&lt;=09_ガント元データ!$H99),"■",""))</f>
        <v/>
      </c>
      <c r="AI100" s="24" t="str">
        <f aca="false">IF($A100="","",IF(AND(AI$2&gt;=09_ガント元データ!$G99,AI$2&lt;=09_ガント元データ!$H99),"■",""))</f>
        <v/>
      </c>
      <c r="AJ100" s="24" t="str">
        <f aca="false">IF($A100="","",IF(AND(AJ$2&gt;=09_ガント元データ!$G99,AJ$2&lt;=09_ガント元データ!$H99),"■",""))</f>
        <v/>
      </c>
      <c r="AK100" s="24" t="str">
        <f aca="false">IF($A100="","",IF(AND(AK$2&gt;=09_ガント元データ!$G99,AK$2&lt;=09_ガント元データ!$H99),"■",""))</f>
        <v/>
      </c>
      <c r="AL100" s="24" t="str">
        <f aca="false">IF($A100="","",IF(AND(AL$2&gt;=09_ガント元データ!$G99,AL$2&lt;=09_ガント元データ!$H99),"■",""))</f>
        <v/>
      </c>
      <c r="AM100" s="24" t="str">
        <f aca="false">IF($A100="","",IF(AND(AM$2&gt;=09_ガント元データ!$G99,AM$2&lt;=09_ガント元データ!$H99),"■",""))</f>
        <v/>
      </c>
    </row>
    <row r="101" customFormat="false" ht="15" hidden="false" customHeight="false" outlineLevel="0" collapsed="false">
      <c r="A101" s="22" t="str">
        <f aca="false">09_ガント元データ!A100</f>
        <v/>
      </c>
      <c r="B101" s="22" t="str">
        <f aca="false">09_ガント元データ!B100</f>
        <v/>
      </c>
      <c r="C101" s="23" t="str">
        <f aca="false">09_ガント元データ!C100</f>
        <v/>
      </c>
      <c r="D101" s="24" t="str">
        <f aca="false">IF($A101="","",IF(AND(D$2&gt;=09_ガント元データ!$G100,D$2&lt;=09_ガント元データ!$H100),"■",""))</f>
        <v/>
      </c>
      <c r="E101" s="24" t="str">
        <f aca="false">IF($A101="","",IF(AND(E$2&gt;=09_ガント元データ!$G100,E$2&lt;=09_ガント元データ!$H100),"■",""))</f>
        <v/>
      </c>
      <c r="F101" s="24" t="str">
        <f aca="false">IF($A101="","",IF(AND(F$2&gt;=09_ガント元データ!$G100,F$2&lt;=09_ガント元データ!$H100),"■",""))</f>
        <v/>
      </c>
      <c r="G101" s="24" t="str">
        <f aca="false">IF($A101="","",IF(AND(G$2&gt;=09_ガント元データ!$G100,G$2&lt;=09_ガント元データ!$H100),"■",""))</f>
        <v/>
      </c>
      <c r="H101" s="24" t="str">
        <f aca="false">IF($A101="","",IF(AND(H$2&gt;=09_ガント元データ!$G100,H$2&lt;=09_ガント元データ!$H100),"■",""))</f>
        <v/>
      </c>
      <c r="I101" s="24" t="str">
        <f aca="false">IF($A101="","",IF(AND(I$2&gt;=09_ガント元データ!$G100,I$2&lt;=09_ガント元データ!$H100),"■",""))</f>
        <v/>
      </c>
      <c r="J101" s="24" t="str">
        <f aca="false">IF($A101="","",IF(AND(J$2&gt;=09_ガント元データ!$G100,J$2&lt;=09_ガント元データ!$H100),"■",""))</f>
        <v/>
      </c>
      <c r="K101" s="24" t="str">
        <f aca="false">IF($A101="","",IF(AND(K$2&gt;=09_ガント元データ!$G100,K$2&lt;=09_ガント元データ!$H100),"■",""))</f>
        <v/>
      </c>
      <c r="L101" s="24" t="str">
        <f aca="false">IF($A101="","",IF(AND(L$2&gt;=09_ガント元データ!$G100,L$2&lt;=09_ガント元データ!$H100),"■",""))</f>
        <v/>
      </c>
      <c r="M101" s="24" t="str">
        <f aca="false">IF($A101="","",IF(AND(M$2&gt;=09_ガント元データ!$G100,M$2&lt;=09_ガント元データ!$H100),"■",""))</f>
        <v/>
      </c>
      <c r="N101" s="24" t="str">
        <f aca="false">IF($A101="","",IF(AND(N$2&gt;=09_ガント元データ!$G100,N$2&lt;=09_ガント元データ!$H100),"■",""))</f>
        <v/>
      </c>
      <c r="O101" s="24" t="str">
        <f aca="false">IF($A101="","",IF(AND(O$2&gt;=09_ガント元データ!$G100,O$2&lt;=09_ガント元データ!$H100),"■",""))</f>
        <v/>
      </c>
      <c r="P101" s="24" t="str">
        <f aca="false">IF($A101="","",IF(AND(P$2&gt;=09_ガント元データ!$G100,P$2&lt;=09_ガント元データ!$H100),"■",""))</f>
        <v/>
      </c>
      <c r="Q101" s="24" t="str">
        <f aca="false">IF($A101="","",IF(AND(Q$2&gt;=09_ガント元データ!$G100,Q$2&lt;=09_ガント元データ!$H100),"■",""))</f>
        <v/>
      </c>
      <c r="R101" s="24" t="str">
        <f aca="false">IF($A101="","",IF(AND(R$2&gt;=09_ガント元データ!$G100,R$2&lt;=09_ガント元データ!$H100),"■",""))</f>
        <v/>
      </c>
      <c r="S101" s="24" t="str">
        <f aca="false">IF($A101="","",IF(AND(S$2&gt;=09_ガント元データ!$G100,S$2&lt;=09_ガント元データ!$H100),"■",""))</f>
        <v/>
      </c>
      <c r="T101" s="24" t="str">
        <f aca="false">IF($A101="","",IF(AND(T$2&gt;=09_ガント元データ!$G100,T$2&lt;=09_ガント元データ!$H100),"■",""))</f>
        <v/>
      </c>
      <c r="U101" s="24" t="str">
        <f aca="false">IF($A101="","",IF(AND(U$2&gt;=09_ガント元データ!$G100,U$2&lt;=09_ガント元データ!$H100),"■",""))</f>
        <v/>
      </c>
      <c r="V101" s="24" t="str">
        <f aca="false">IF($A101="","",IF(AND(V$2&gt;=09_ガント元データ!$G100,V$2&lt;=09_ガント元データ!$H100),"■",""))</f>
        <v/>
      </c>
      <c r="W101" s="24" t="str">
        <f aca="false">IF($A101="","",IF(AND(W$2&gt;=09_ガント元データ!$G100,W$2&lt;=09_ガント元データ!$H100),"■",""))</f>
        <v/>
      </c>
      <c r="X101" s="24" t="str">
        <f aca="false">IF($A101="","",IF(AND(X$2&gt;=09_ガント元データ!$G100,X$2&lt;=09_ガント元データ!$H100),"■",""))</f>
        <v/>
      </c>
      <c r="Y101" s="24" t="str">
        <f aca="false">IF($A101="","",IF(AND(Y$2&gt;=09_ガント元データ!$G100,Y$2&lt;=09_ガント元データ!$H100),"■",""))</f>
        <v/>
      </c>
      <c r="Z101" s="24" t="str">
        <f aca="false">IF($A101="","",IF(AND(Z$2&gt;=09_ガント元データ!$G100,Z$2&lt;=09_ガント元データ!$H100),"■",""))</f>
        <v/>
      </c>
      <c r="AA101" s="24" t="str">
        <f aca="false">IF($A101="","",IF(AND(AA$2&gt;=09_ガント元データ!$G100,AA$2&lt;=09_ガント元データ!$H100),"■",""))</f>
        <v/>
      </c>
      <c r="AB101" s="24" t="str">
        <f aca="false">IF($A101="","",IF(AND(AB$2&gt;=09_ガント元データ!$G100,AB$2&lt;=09_ガント元データ!$H100),"■",""))</f>
        <v/>
      </c>
      <c r="AC101" s="24" t="str">
        <f aca="false">IF($A101="","",IF(AND(AC$2&gt;=09_ガント元データ!$G100,AC$2&lt;=09_ガント元データ!$H100),"■",""))</f>
        <v/>
      </c>
      <c r="AD101" s="24" t="str">
        <f aca="false">IF($A101="","",IF(AND(AD$2&gt;=09_ガント元データ!$G100,AD$2&lt;=09_ガント元データ!$H100),"■",""))</f>
        <v/>
      </c>
      <c r="AE101" s="24" t="str">
        <f aca="false">IF($A101="","",IF(AND(AE$2&gt;=09_ガント元データ!$G100,AE$2&lt;=09_ガント元データ!$H100),"■",""))</f>
        <v/>
      </c>
      <c r="AF101" s="24" t="str">
        <f aca="false">IF($A101="","",IF(AND(AF$2&gt;=09_ガント元データ!$G100,AF$2&lt;=09_ガント元データ!$H100),"■",""))</f>
        <v/>
      </c>
      <c r="AG101" s="24" t="str">
        <f aca="false">IF($A101="","",IF(AND(AG$2&gt;=09_ガント元データ!$G100,AG$2&lt;=09_ガント元データ!$H100),"■",""))</f>
        <v/>
      </c>
      <c r="AH101" s="24" t="str">
        <f aca="false">IF($A101="","",IF(AND(AH$2&gt;=09_ガント元データ!$G100,AH$2&lt;=09_ガント元データ!$H100),"■",""))</f>
        <v/>
      </c>
      <c r="AI101" s="24" t="str">
        <f aca="false">IF($A101="","",IF(AND(AI$2&gt;=09_ガント元データ!$G100,AI$2&lt;=09_ガント元データ!$H100),"■",""))</f>
        <v/>
      </c>
      <c r="AJ101" s="24" t="str">
        <f aca="false">IF($A101="","",IF(AND(AJ$2&gt;=09_ガント元データ!$G100,AJ$2&lt;=09_ガント元データ!$H100),"■",""))</f>
        <v/>
      </c>
      <c r="AK101" s="24" t="str">
        <f aca="false">IF($A101="","",IF(AND(AK$2&gt;=09_ガント元データ!$G100,AK$2&lt;=09_ガント元データ!$H100),"■",""))</f>
        <v/>
      </c>
      <c r="AL101" s="24" t="str">
        <f aca="false">IF($A101="","",IF(AND(AL$2&gt;=09_ガント元データ!$G100,AL$2&lt;=09_ガント元データ!$H100),"■",""))</f>
        <v/>
      </c>
      <c r="AM101" s="24" t="str">
        <f aca="false">IF($A101="","",IF(AND(AM$2&gt;=09_ガント元データ!$G100,AM$2&lt;=09_ガント元データ!$H100),"■",""))</f>
        <v/>
      </c>
    </row>
    <row r="102" customFormat="false" ht="15" hidden="false" customHeight="false" outlineLevel="0" collapsed="false">
      <c r="A102" s="22" t="str">
        <f aca="false">09_ガント元データ!A101</f>
        <v/>
      </c>
      <c r="B102" s="22" t="str">
        <f aca="false">09_ガント元データ!B101</f>
        <v/>
      </c>
      <c r="C102" s="23" t="str">
        <f aca="false">09_ガント元データ!C101</f>
        <v/>
      </c>
      <c r="D102" s="24" t="str">
        <f aca="false">IF($A102="","",IF(AND(D$2&gt;=09_ガント元データ!$G101,D$2&lt;=09_ガント元データ!$H101),"■",""))</f>
        <v/>
      </c>
      <c r="E102" s="24" t="str">
        <f aca="false">IF($A102="","",IF(AND(E$2&gt;=09_ガント元データ!$G101,E$2&lt;=09_ガント元データ!$H101),"■",""))</f>
        <v/>
      </c>
      <c r="F102" s="24" t="str">
        <f aca="false">IF($A102="","",IF(AND(F$2&gt;=09_ガント元データ!$G101,F$2&lt;=09_ガント元データ!$H101),"■",""))</f>
        <v/>
      </c>
      <c r="G102" s="24" t="str">
        <f aca="false">IF($A102="","",IF(AND(G$2&gt;=09_ガント元データ!$G101,G$2&lt;=09_ガント元データ!$H101),"■",""))</f>
        <v/>
      </c>
      <c r="H102" s="24" t="str">
        <f aca="false">IF($A102="","",IF(AND(H$2&gt;=09_ガント元データ!$G101,H$2&lt;=09_ガント元データ!$H101),"■",""))</f>
        <v/>
      </c>
      <c r="I102" s="24" t="str">
        <f aca="false">IF($A102="","",IF(AND(I$2&gt;=09_ガント元データ!$G101,I$2&lt;=09_ガント元データ!$H101),"■",""))</f>
        <v/>
      </c>
      <c r="J102" s="24" t="str">
        <f aca="false">IF($A102="","",IF(AND(J$2&gt;=09_ガント元データ!$G101,J$2&lt;=09_ガント元データ!$H101),"■",""))</f>
        <v/>
      </c>
      <c r="K102" s="24" t="str">
        <f aca="false">IF($A102="","",IF(AND(K$2&gt;=09_ガント元データ!$G101,K$2&lt;=09_ガント元データ!$H101),"■",""))</f>
        <v/>
      </c>
      <c r="L102" s="24" t="str">
        <f aca="false">IF($A102="","",IF(AND(L$2&gt;=09_ガント元データ!$G101,L$2&lt;=09_ガント元データ!$H101),"■",""))</f>
        <v/>
      </c>
      <c r="M102" s="24" t="str">
        <f aca="false">IF($A102="","",IF(AND(M$2&gt;=09_ガント元データ!$G101,M$2&lt;=09_ガント元データ!$H101),"■",""))</f>
        <v/>
      </c>
      <c r="N102" s="24" t="str">
        <f aca="false">IF($A102="","",IF(AND(N$2&gt;=09_ガント元データ!$G101,N$2&lt;=09_ガント元データ!$H101),"■",""))</f>
        <v/>
      </c>
      <c r="O102" s="24" t="str">
        <f aca="false">IF($A102="","",IF(AND(O$2&gt;=09_ガント元データ!$G101,O$2&lt;=09_ガント元データ!$H101),"■",""))</f>
        <v/>
      </c>
      <c r="P102" s="24" t="str">
        <f aca="false">IF($A102="","",IF(AND(P$2&gt;=09_ガント元データ!$G101,P$2&lt;=09_ガント元データ!$H101),"■",""))</f>
        <v/>
      </c>
      <c r="Q102" s="24" t="str">
        <f aca="false">IF($A102="","",IF(AND(Q$2&gt;=09_ガント元データ!$G101,Q$2&lt;=09_ガント元データ!$H101),"■",""))</f>
        <v/>
      </c>
      <c r="R102" s="24" t="str">
        <f aca="false">IF($A102="","",IF(AND(R$2&gt;=09_ガント元データ!$G101,R$2&lt;=09_ガント元データ!$H101),"■",""))</f>
        <v/>
      </c>
      <c r="S102" s="24" t="str">
        <f aca="false">IF($A102="","",IF(AND(S$2&gt;=09_ガント元データ!$G101,S$2&lt;=09_ガント元データ!$H101),"■",""))</f>
        <v/>
      </c>
      <c r="T102" s="24" t="str">
        <f aca="false">IF($A102="","",IF(AND(T$2&gt;=09_ガント元データ!$G101,T$2&lt;=09_ガント元データ!$H101),"■",""))</f>
        <v/>
      </c>
      <c r="U102" s="24" t="str">
        <f aca="false">IF($A102="","",IF(AND(U$2&gt;=09_ガント元データ!$G101,U$2&lt;=09_ガント元データ!$H101),"■",""))</f>
        <v/>
      </c>
      <c r="V102" s="24" t="str">
        <f aca="false">IF($A102="","",IF(AND(V$2&gt;=09_ガント元データ!$G101,V$2&lt;=09_ガント元データ!$H101),"■",""))</f>
        <v/>
      </c>
      <c r="W102" s="24" t="str">
        <f aca="false">IF($A102="","",IF(AND(W$2&gt;=09_ガント元データ!$G101,W$2&lt;=09_ガント元データ!$H101),"■",""))</f>
        <v/>
      </c>
      <c r="X102" s="24" t="str">
        <f aca="false">IF($A102="","",IF(AND(X$2&gt;=09_ガント元データ!$G101,X$2&lt;=09_ガント元データ!$H101),"■",""))</f>
        <v/>
      </c>
      <c r="Y102" s="24" t="str">
        <f aca="false">IF($A102="","",IF(AND(Y$2&gt;=09_ガント元データ!$G101,Y$2&lt;=09_ガント元データ!$H101),"■",""))</f>
        <v/>
      </c>
      <c r="Z102" s="24" t="str">
        <f aca="false">IF($A102="","",IF(AND(Z$2&gt;=09_ガント元データ!$G101,Z$2&lt;=09_ガント元データ!$H101),"■",""))</f>
        <v/>
      </c>
      <c r="AA102" s="24" t="str">
        <f aca="false">IF($A102="","",IF(AND(AA$2&gt;=09_ガント元データ!$G101,AA$2&lt;=09_ガント元データ!$H101),"■",""))</f>
        <v/>
      </c>
      <c r="AB102" s="24" t="str">
        <f aca="false">IF($A102="","",IF(AND(AB$2&gt;=09_ガント元データ!$G101,AB$2&lt;=09_ガント元データ!$H101),"■",""))</f>
        <v/>
      </c>
      <c r="AC102" s="24" t="str">
        <f aca="false">IF($A102="","",IF(AND(AC$2&gt;=09_ガント元データ!$G101,AC$2&lt;=09_ガント元データ!$H101),"■",""))</f>
        <v/>
      </c>
      <c r="AD102" s="24" t="str">
        <f aca="false">IF($A102="","",IF(AND(AD$2&gt;=09_ガント元データ!$G101,AD$2&lt;=09_ガント元データ!$H101),"■",""))</f>
        <v/>
      </c>
      <c r="AE102" s="24" t="str">
        <f aca="false">IF($A102="","",IF(AND(AE$2&gt;=09_ガント元データ!$G101,AE$2&lt;=09_ガント元データ!$H101),"■",""))</f>
        <v/>
      </c>
      <c r="AF102" s="24" t="str">
        <f aca="false">IF($A102="","",IF(AND(AF$2&gt;=09_ガント元データ!$G101,AF$2&lt;=09_ガント元データ!$H101),"■",""))</f>
        <v/>
      </c>
      <c r="AG102" s="24" t="str">
        <f aca="false">IF($A102="","",IF(AND(AG$2&gt;=09_ガント元データ!$G101,AG$2&lt;=09_ガント元データ!$H101),"■",""))</f>
        <v/>
      </c>
      <c r="AH102" s="24" t="str">
        <f aca="false">IF($A102="","",IF(AND(AH$2&gt;=09_ガント元データ!$G101,AH$2&lt;=09_ガント元データ!$H101),"■",""))</f>
        <v/>
      </c>
      <c r="AI102" s="24" t="str">
        <f aca="false">IF($A102="","",IF(AND(AI$2&gt;=09_ガント元データ!$G101,AI$2&lt;=09_ガント元データ!$H101),"■",""))</f>
        <v/>
      </c>
      <c r="AJ102" s="24" t="str">
        <f aca="false">IF($A102="","",IF(AND(AJ$2&gt;=09_ガント元データ!$G101,AJ$2&lt;=09_ガント元データ!$H101),"■",""))</f>
        <v/>
      </c>
      <c r="AK102" s="24" t="str">
        <f aca="false">IF($A102="","",IF(AND(AK$2&gt;=09_ガント元データ!$G101,AK$2&lt;=09_ガント元データ!$H101),"■",""))</f>
        <v/>
      </c>
      <c r="AL102" s="24" t="str">
        <f aca="false">IF($A102="","",IF(AND(AL$2&gt;=09_ガント元データ!$G101,AL$2&lt;=09_ガント元データ!$H101),"■",""))</f>
        <v/>
      </c>
      <c r="AM102" s="24" t="str">
        <f aca="false">IF($A102="","",IF(AND(AM$2&gt;=09_ガント元データ!$G101,AM$2&lt;=09_ガント元データ!$H101),"■",""))</f>
        <v/>
      </c>
    </row>
    <row r="103" customFormat="false" ht="15" hidden="false" customHeight="false" outlineLevel="0" collapsed="false">
      <c r="A103" s="22" t="str">
        <f aca="false">09_ガント元データ!A102</f>
        <v/>
      </c>
      <c r="B103" s="22" t="str">
        <f aca="false">09_ガント元データ!B102</f>
        <v/>
      </c>
      <c r="C103" s="23" t="str">
        <f aca="false">09_ガント元データ!C102</f>
        <v/>
      </c>
      <c r="D103" s="24" t="str">
        <f aca="false">IF($A103="","",IF(AND(D$2&gt;=09_ガント元データ!$G102,D$2&lt;=09_ガント元データ!$H102),"■",""))</f>
        <v/>
      </c>
      <c r="E103" s="24" t="str">
        <f aca="false">IF($A103="","",IF(AND(E$2&gt;=09_ガント元データ!$G102,E$2&lt;=09_ガント元データ!$H102),"■",""))</f>
        <v/>
      </c>
      <c r="F103" s="24" t="str">
        <f aca="false">IF($A103="","",IF(AND(F$2&gt;=09_ガント元データ!$G102,F$2&lt;=09_ガント元データ!$H102),"■",""))</f>
        <v/>
      </c>
      <c r="G103" s="24" t="str">
        <f aca="false">IF($A103="","",IF(AND(G$2&gt;=09_ガント元データ!$G102,G$2&lt;=09_ガント元データ!$H102),"■",""))</f>
        <v/>
      </c>
      <c r="H103" s="24" t="str">
        <f aca="false">IF($A103="","",IF(AND(H$2&gt;=09_ガント元データ!$G102,H$2&lt;=09_ガント元データ!$H102),"■",""))</f>
        <v/>
      </c>
      <c r="I103" s="24" t="str">
        <f aca="false">IF($A103="","",IF(AND(I$2&gt;=09_ガント元データ!$G102,I$2&lt;=09_ガント元データ!$H102),"■",""))</f>
        <v/>
      </c>
      <c r="J103" s="24" t="str">
        <f aca="false">IF($A103="","",IF(AND(J$2&gt;=09_ガント元データ!$G102,J$2&lt;=09_ガント元データ!$H102),"■",""))</f>
        <v/>
      </c>
      <c r="K103" s="24" t="str">
        <f aca="false">IF($A103="","",IF(AND(K$2&gt;=09_ガント元データ!$G102,K$2&lt;=09_ガント元データ!$H102),"■",""))</f>
        <v/>
      </c>
      <c r="L103" s="24" t="str">
        <f aca="false">IF($A103="","",IF(AND(L$2&gt;=09_ガント元データ!$G102,L$2&lt;=09_ガント元データ!$H102),"■",""))</f>
        <v/>
      </c>
      <c r="M103" s="24" t="str">
        <f aca="false">IF($A103="","",IF(AND(M$2&gt;=09_ガント元データ!$G102,M$2&lt;=09_ガント元データ!$H102),"■",""))</f>
        <v/>
      </c>
      <c r="N103" s="24" t="str">
        <f aca="false">IF($A103="","",IF(AND(N$2&gt;=09_ガント元データ!$G102,N$2&lt;=09_ガント元データ!$H102),"■",""))</f>
        <v/>
      </c>
      <c r="O103" s="24" t="str">
        <f aca="false">IF($A103="","",IF(AND(O$2&gt;=09_ガント元データ!$G102,O$2&lt;=09_ガント元データ!$H102),"■",""))</f>
        <v/>
      </c>
      <c r="P103" s="24" t="str">
        <f aca="false">IF($A103="","",IF(AND(P$2&gt;=09_ガント元データ!$G102,P$2&lt;=09_ガント元データ!$H102),"■",""))</f>
        <v/>
      </c>
      <c r="Q103" s="24" t="str">
        <f aca="false">IF($A103="","",IF(AND(Q$2&gt;=09_ガント元データ!$G102,Q$2&lt;=09_ガント元データ!$H102),"■",""))</f>
        <v/>
      </c>
      <c r="R103" s="24" t="str">
        <f aca="false">IF($A103="","",IF(AND(R$2&gt;=09_ガント元データ!$G102,R$2&lt;=09_ガント元データ!$H102),"■",""))</f>
        <v/>
      </c>
      <c r="S103" s="24" t="str">
        <f aca="false">IF($A103="","",IF(AND(S$2&gt;=09_ガント元データ!$G102,S$2&lt;=09_ガント元データ!$H102),"■",""))</f>
        <v/>
      </c>
      <c r="T103" s="24" t="str">
        <f aca="false">IF($A103="","",IF(AND(T$2&gt;=09_ガント元データ!$G102,T$2&lt;=09_ガント元データ!$H102),"■",""))</f>
        <v/>
      </c>
      <c r="U103" s="24" t="str">
        <f aca="false">IF($A103="","",IF(AND(U$2&gt;=09_ガント元データ!$G102,U$2&lt;=09_ガント元データ!$H102),"■",""))</f>
        <v/>
      </c>
      <c r="V103" s="24" t="str">
        <f aca="false">IF($A103="","",IF(AND(V$2&gt;=09_ガント元データ!$G102,V$2&lt;=09_ガント元データ!$H102),"■",""))</f>
        <v/>
      </c>
      <c r="W103" s="24" t="str">
        <f aca="false">IF($A103="","",IF(AND(W$2&gt;=09_ガント元データ!$G102,W$2&lt;=09_ガント元データ!$H102),"■",""))</f>
        <v/>
      </c>
      <c r="X103" s="24" t="str">
        <f aca="false">IF($A103="","",IF(AND(X$2&gt;=09_ガント元データ!$G102,X$2&lt;=09_ガント元データ!$H102),"■",""))</f>
        <v/>
      </c>
      <c r="Y103" s="24" t="str">
        <f aca="false">IF($A103="","",IF(AND(Y$2&gt;=09_ガント元データ!$G102,Y$2&lt;=09_ガント元データ!$H102),"■",""))</f>
        <v/>
      </c>
      <c r="Z103" s="24" t="str">
        <f aca="false">IF($A103="","",IF(AND(Z$2&gt;=09_ガント元データ!$G102,Z$2&lt;=09_ガント元データ!$H102),"■",""))</f>
        <v/>
      </c>
      <c r="AA103" s="24" t="str">
        <f aca="false">IF($A103="","",IF(AND(AA$2&gt;=09_ガント元データ!$G102,AA$2&lt;=09_ガント元データ!$H102),"■",""))</f>
        <v/>
      </c>
      <c r="AB103" s="24" t="str">
        <f aca="false">IF($A103="","",IF(AND(AB$2&gt;=09_ガント元データ!$G102,AB$2&lt;=09_ガント元データ!$H102),"■",""))</f>
        <v/>
      </c>
      <c r="AC103" s="24" t="str">
        <f aca="false">IF($A103="","",IF(AND(AC$2&gt;=09_ガント元データ!$G102,AC$2&lt;=09_ガント元データ!$H102),"■",""))</f>
        <v/>
      </c>
      <c r="AD103" s="24" t="str">
        <f aca="false">IF($A103="","",IF(AND(AD$2&gt;=09_ガント元データ!$G102,AD$2&lt;=09_ガント元データ!$H102),"■",""))</f>
        <v/>
      </c>
      <c r="AE103" s="24" t="str">
        <f aca="false">IF($A103="","",IF(AND(AE$2&gt;=09_ガント元データ!$G102,AE$2&lt;=09_ガント元データ!$H102),"■",""))</f>
        <v/>
      </c>
      <c r="AF103" s="24" t="str">
        <f aca="false">IF($A103="","",IF(AND(AF$2&gt;=09_ガント元データ!$G102,AF$2&lt;=09_ガント元データ!$H102),"■",""))</f>
        <v/>
      </c>
      <c r="AG103" s="24" t="str">
        <f aca="false">IF($A103="","",IF(AND(AG$2&gt;=09_ガント元データ!$G102,AG$2&lt;=09_ガント元データ!$H102),"■",""))</f>
        <v/>
      </c>
      <c r="AH103" s="24" t="str">
        <f aca="false">IF($A103="","",IF(AND(AH$2&gt;=09_ガント元データ!$G102,AH$2&lt;=09_ガント元データ!$H102),"■",""))</f>
        <v/>
      </c>
      <c r="AI103" s="24" t="str">
        <f aca="false">IF($A103="","",IF(AND(AI$2&gt;=09_ガント元データ!$G102,AI$2&lt;=09_ガント元データ!$H102),"■",""))</f>
        <v/>
      </c>
      <c r="AJ103" s="24" t="str">
        <f aca="false">IF($A103="","",IF(AND(AJ$2&gt;=09_ガント元データ!$G102,AJ$2&lt;=09_ガント元データ!$H102),"■",""))</f>
        <v/>
      </c>
      <c r="AK103" s="24" t="str">
        <f aca="false">IF($A103="","",IF(AND(AK$2&gt;=09_ガント元データ!$G102,AK$2&lt;=09_ガント元データ!$H102),"■",""))</f>
        <v/>
      </c>
      <c r="AL103" s="24" t="str">
        <f aca="false">IF($A103="","",IF(AND(AL$2&gt;=09_ガント元データ!$G102,AL$2&lt;=09_ガント元データ!$H102),"■",""))</f>
        <v/>
      </c>
      <c r="AM103" s="24" t="str">
        <f aca="false">IF($A103="","",IF(AND(AM$2&gt;=09_ガント元データ!$G102,AM$2&lt;=09_ガント元データ!$H102),"■",""))</f>
        <v/>
      </c>
    </row>
    <row r="104" customFormat="false" ht="15" hidden="false" customHeight="false" outlineLevel="0" collapsed="false">
      <c r="A104" s="22" t="str">
        <f aca="false">09_ガント元データ!A103</f>
        <v/>
      </c>
      <c r="B104" s="22" t="str">
        <f aca="false">09_ガント元データ!B103</f>
        <v/>
      </c>
      <c r="C104" s="23" t="str">
        <f aca="false">09_ガント元データ!C103</f>
        <v/>
      </c>
      <c r="D104" s="24" t="str">
        <f aca="false">IF($A104="","",IF(AND(D$2&gt;=09_ガント元データ!$G103,D$2&lt;=09_ガント元データ!$H103),"■",""))</f>
        <v/>
      </c>
      <c r="E104" s="24" t="str">
        <f aca="false">IF($A104="","",IF(AND(E$2&gt;=09_ガント元データ!$G103,E$2&lt;=09_ガント元データ!$H103),"■",""))</f>
        <v/>
      </c>
      <c r="F104" s="24" t="str">
        <f aca="false">IF($A104="","",IF(AND(F$2&gt;=09_ガント元データ!$G103,F$2&lt;=09_ガント元データ!$H103),"■",""))</f>
        <v/>
      </c>
      <c r="G104" s="24" t="str">
        <f aca="false">IF($A104="","",IF(AND(G$2&gt;=09_ガント元データ!$G103,G$2&lt;=09_ガント元データ!$H103),"■",""))</f>
        <v/>
      </c>
      <c r="H104" s="24" t="str">
        <f aca="false">IF($A104="","",IF(AND(H$2&gt;=09_ガント元データ!$G103,H$2&lt;=09_ガント元データ!$H103),"■",""))</f>
        <v/>
      </c>
      <c r="I104" s="24" t="str">
        <f aca="false">IF($A104="","",IF(AND(I$2&gt;=09_ガント元データ!$G103,I$2&lt;=09_ガント元データ!$H103),"■",""))</f>
        <v/>
      </c>
      <c r="J104" s="24" t="str">
        <f aca="false">IF($A104="","",IF(AND(J$2&gt;=09_ガント元データ!$G103,J$2&lt;=09_ガント元データ!$H103),"■",""))</f>
        <v/>
      </c>
      <c r="K104" s="24" t="str">
        <f aca="false">IF($A104="","",IF(AND(K$2&gt;=09_ガント元データ!$G103,K$2&lt;=09_ガント元データ!$H103),"■",""))</f>
        <v/>
      </c>
      <c r="L104" s="24" t="str">
        <f aca="false">IF($A104="","",IF(AND(L$2&gt;=09_ガント元データ!$G103,L$2&lt;=09_ガント元データ!$H103),"■",""))</f>
        <v/>
      </c>
      <c r="M104" s="24" t="str">
        <f aca="false">IF($A104="","",IF(AND(M$2&gt;=09_ガント元データ!$G103,M$2&lt;=09_ガント元データ!$H103),"■",""))</f>
        <v/>
      </c>
      <c r="N104" s="24" t="str">
        <f aca="false">IF($A104="","",IF(AND(N$2&gt;=09_ガント元データ!$G103,N$2&lt;=09_ガント元データ!$H103),"■",""))</f>
        <v/>
      </c>
      <c r="O104" s="24" t="str">
        <f aca="false">IF($A104="","",IF(AND(O$2&gt;=09_ガント元データ!$G103,O$2&lt;=09_ガント元データ!$H103),"■",""))</f>
        <v/>
      </c>
      <c r="P104" s="24" t="str">
        <f aca="false">IF($A104="","",IF(AND(P$2&gt;=09_ガント元データ!$G103,P$2&lt;=09_ガント元データ!$H103),"■",""))</f>
        <v/>
      </c>
      <c r="Q104" s="24" t="str">
        <f aca="false">IF($A104="","",IF(AND(Q$2&gt;=09_ガント元データ!$G103,Q$2&lt;=09_ガント元データ!$H103),"■",""))</f>
        <v/>
      </c>
      <c r="R104" s="24" t="str">
        <f aca="false">IF($A104="","",IF(AND(R$2&gt;=09_ガント元データ!$G103,R$2&lt;=09_ガント元データ!$H103),"■",""))</f>
        <v/>
      </c>
      <c r="S104" s="24" t="str">
        <f aca="false">IF($A104="","",IF(AND(S$2&gt;=09_ガント元データ!$G103,S$2&lt;=09_ガント元データ!$H103),"■",""))</f>
        <v/>
      </c>
      <c r="T104" s="24" t="str">
        <f aca="false">IF($A104="","",IF(AND(T$2&gt;=09_ガント元データ!$G103,T$2&lt;=09_ガント元データ!$H103),"■",""))</f>
        <v/>
      </c>
      <c r="U104" s="24" t="str">
        <f aca="false">IF($A104="","",IF(AND(U$2&gt;=09_ガント元データ!$G103,U$2&lt;=09_ガント元データ!$H103),"■",""))</f>
        <v/>
      </c>
      <c r="V104" s="24" t="str">
        <f aca="false">IF($A104="","",IF(AND(V$2&gt;=09_ガント元データ!$G103,V$2&lt;=09_ガント元データ!$H103),"■",""))</f>
        <v/>
      </c>
      <c r="W104" s="24" t="str">
        <f aca="false">IF($A104="","",IF(AND(W$2&gt;=09_ガント元データ!$G103,W$2&lt;=09_ガント元データ!$H103),"■",""))</f>
        <v/>
      </c>
      <c r="X104" s="24" t="str">
        <f aca="false">IF($A104="","",IF(AND(X$2&gt;=09_ガント元データ!$G103,X$2&lt;=09_ガント元データ!$H103),"■",""))</f>
        <v/>
      </c>
      <c r="Y104" s="24" t="str">
        <f aca="false">IF($A104="","",IF(AND(Y$2&gt;=09_ガント元データ!$G103,Y$2&lt;=09_ガント元データ!$H103),"■",""))</f>
        <v/>
      </c>
      <c r="Z104" s="24" t="str">
        <f aca="false">IF($A104="","",IF(AND(Z$2&gt;=09_ガント元データ!$G103,Z$2&lt;=09_ガント元データ!$H103),"■",""))</f>
        <v/>
      </c>
      <c r="AA104" s="24" t="str">
        <f aca="false">IF($A104="","",IF(AND(AA$2&gt;=09_ガント元データ!$G103,AA$2&lt;=09_ガント元データ!$H103),"■",""))</f>
        <v/>
      </c>
      <c r="AB104" s="24" t="str">
        <f aca="false">IF($A104="","",IF(AND(AB$2&gt;=09_ガント元データ!$G103,AB$2&lt;=09_ガント元データ!$H103),"■",""))</f>
        <v/>
      </c>
      <c r="AC104" s="24" t="str">
        <f aca="false">IF($A104="","",IF(AND(AC$2&gt;=09_ガント元データ!$G103,AC$2&lt;=09_ガント元データ!$H103),"■",""))</f>
        <v/>
      </c>
      <c r="AD104" s="24" t="str">
        <f aca="false">IF($A104="","",IF(AND(AD$2&gt;=09_ガント元データ!$G103,AD$2&lt;=09_ガント元データ!$H103),"■",""))</f>
        <v/>
      </c>
      <c r="AE104" s="24" t="str">
        <f aca="false">IF($A104="","",IF(AND(AE$2&gt;=09_ガント元データ!$G103,AE$2&lt;=09_ガント元データ!$H103),"■",""))</f>
        <v/>
      </c>
      <c r="AF104" s="24" t="str">
        <f aca="false">IF($A104="","",IF(AND(AF$2&gt;=09_ガント元データ!$G103,AF$2&lt;=09_ガント元データ!$H103),"■",""))</f>
        <v/>
      </c>
      <c r="AG104" s="24" t="str">
        <f aca="false">IF($A104="","",IF(AND(AG$2&gt;=09_ガント元データ!$G103,AG$2&lt;=09_ガント元データ!$H103),"■",""))</f>
        <v/>
      </c>
      <c r="AH104" s="24" t="str">
        <f aca="false">IF($A104="","",IF(AND(AH$2&gt;=09_ガント元データ!$G103,AH$2&lt;=09_ガント元データ!$H103),"■",""))</f>
        <v/>
      </c>
      <c r="AI104" s="24" t="str">
        <f aca="false">IF($A104="","",IF(AND(AI$2&gt;=09_ガント元データ!$G103,AI$2&lt;=09_ガント元データ!$H103),"■",""))</f>
        <v/>
      </c>
      <c r="AJ104" s="24" t="str">
        <f aca="false">IF($A104="","",IF(AND(AJ$2&gt;=09_ガント元データ!$G103,AJ$2&lt;=09_ガント元データ!$H103),"■",""))</f>
        <v/>
      </c>
      <c r="AK104" s="24" t="str">
        <f aca="false">IF($A104="","",IF(AND(AK$2&gt;=09_ガント元データ!$G103,AK$2&lt;=09_ガント元データ!$H103),"■",""))</f>
        <v/>
      </c>
      <c r="AL104" s="24" t="str">
        <f aca="false">IF($A104="","",IF(AND(AL$2&gt;=09_ガント元データ!$G103,AL$2&lt;=09_ガント元データ!$H103),"■",""))</f>
        <v/>
      </c>
      <c r="AM104" s="24" t="str">
        <f aca="false">IF($A104="","",IF(AND(AM$2&gt;=09_ガント元データ!$G103,AM$2&lt;=09_ガント元データ!$H103),"■",""))</f>
        <v/>
      </c>
    </row>
    <row r="105" customFormat="false" ht="15" hidden="false" customHeight="false" outlineLevel="0" collapsed="false">
      <c r="A105" s="22" t="str">
        <f aca="false">09_ガント元データ!A104</f>
        <v/>
      </c>
      <c r="B105" s="22" t="str">
        <f aca="false">09_ガント元データ!B104</f>
        <v/>
      </c>
      <c r="C105" s="23" t="str">
        <f aca="false">09_ガント元データ!C104</f>
        <v/>
      </c>
      <c r="D105" s="24" t="str">
        <f aca="false">IF($A105="","",IF(AND(D$2&gt;=09_ガント元データ!$G104,D$2&lt;=09_ガント元データ!$H104),"■",""))</f>
        <v/>
      </c>
      <c r="E105" s="24" t="str">
        <f aca="false">IF($A105="","",IF(AND(E$2&gt;=09_ガント元データ!$G104,E$2&lt;=09_ガント元データ!$H104),"■",""))</f>
        <v/>
      </c>
      <c r="F105" s="24" t="str">
        <f aca="false">IF($A105="","",IF(AND(F$2&gt;=09_ガント元データ!$G104,F$2&lt;=09_ガント元データ!$H104),"■",""))</f>
        <v/>
      </c>
      <c r="G105" s="24" t="str">
        <f aca="false">IF($A105="","",IF(AND(G$2&gt;=09_ガント元データ!$G104,G$2&lt;=09_ガント元データ!$H104),"■",""))</f>
        <v/>
      </c>
      <c r="H105" s="24" t="str">
        <f aca="false">IF($A105="","",IF(AND(H$2&gt;=09_ガント元データ!$G104,H$2&lt;=09_ガント元データ!$H104),"■",""))</f>
        <v/>
      </c>
      <c r="I105" s="24" t="str">
        <f aca="false">IF($A105="","",IF(AND(I$2&gt;=09_ガント元データ!$G104,I$2&lt;=09_ガント元データ!$H104),"■",""))</f>
        <v/>
      </c>
      <c r="J105" s="24" t="str">
        <f aca="false">IF($A105="","",IF(AND(J$2&gt;=09_ガント元データ!$G104,J$2&lt;=09_ガント元データ!$H104),"■",""))</f>
        <v/>
      </c>
      <c r="K105" s="24" t="str">
        <f aca="false">IF($A105="","",IF(AND(K$2&gt;=09_ガント元データ!$G104,K$2&lt;=09_ガント元データ!$H104),"■",""))</f>
        <v/>
      </c>
      <c r="L105" s="24" t="str">
        <f aca="false">IF($A105="","",IF(AND(L$2&gt;=09_ガント元データ!$G104,L$2&lt;=09_ガント元データ!$H104),"■",""))</f>
        <v/>
      </c>
      <c r="M105" s="24" t="str">
        <f aca="false">IF($A105="","",IF(AND(M$2&gt;=09_ガント元データ!$G104,M$2&lt;=09_ガント元データ!$H104),"■",""))</f>
        <v/>
      </c>
      <c r="N105" s="24" t="str">
        <f aca="false">IF($A105="","",IF(AND(N$2&gt;=09_ガント元データ!$G104,N$2&lt;=09_ガント元データ!$H104),"■",""))</f>
        <v/>
      </c>
      <c r="O105" s="24" t="str">
        <f aca="false">IF($A105="","",IF(AND(O$2&gt;=09_ガント元データ!$G104,O$2&lt;=09_ガント元データ!$H104),"■",""))</f>
        <v/>
      </c>
      <c r="P105" s="24" t="str">
        <f aca="false">IF($A105="","",IF(AND(P$2&gt;=09_ガント元データ!$G104,P$2&lt;=09_ガント元データ!$H104),"■",""))</f>
        <v/>
      </c>
      <c r="Q105" s="24" t="str">
        <f aca="false">IF($A105="","",IF(AND(Q$2&gt;=09_ガント元データ!$G104,Q$2&lt;=09_ガント元データ!$H104),"■",""))</f>
        <v/>
      </c>
      <c r="R105" s="24" t="str">
        <f aca="false">IF($A105="","",IF(AND(R$2&gt;=09_ガント元データ!$G104,R$2&lt;=09_ガント元データ!$H104),"■",""))</f>
        <v/>
      </c>
      <c r="S105" s="24" t="str">
        <f aca="false">IF($A105="","",IF(AND(S$2&gt;=09_ガント元データ!$G104,S$2&lt;=09_ガント元データ!$H104),"■",""))</f>
        <v/>
      </c>
      <c r="T105" s="24" t="str">
        <f aca="false">IF($A105="","",IF(AND(T$2&gt;=09_ガント元データ!$G104,T$2&lt;=09_ガント元データ!$H104),"■",""))</f>
        <v/>
      </c>
      <c r="U105" s="24" t="str">
        <f aca="false">IF($A105="","",IF(AND(U$2&gt;=09_ガント元データ!$G104,U$2&lt;=09_ガント元データ!$H104),"■",""))</f>
        <v/>
      </c>
      <c r="V105" s="24" t="str">
        <f aca="false">IF($A105="","",IF(AND(V$2&gt;=09_ガント元データ!$G104,V$2&lt;=09_ガント元データ!$H104),"■",""))</f>
        <v/>
      </c>
      <c r="W105" s="24" t="str">
        <f aca="false">IF($A105="","",IF(AND(W$2&gt;=09_ガント元データ!$G104,W$2&lt;=09_ガント元データ!$H104),"■",""))</f>
        <v/>
      </c>
      <c r="X105" s="24" t="str">
        <f aca="false">IF($A105="","",IF(AND(X$2&gt;=09_ガント元データ!$G104,X$2&lt;=09_ガント元データ!$H104),"■",""))</f>
        <v/>
      </c>
      <c r="Y105" s="24" t="str">
        <f aca="false">IF($A105="","",IF(AND(Y$2&gt;=09_ガント元データ!$G104,Y$2&lt;=09_ガント元データ!$H104),"■",""))</f>
        <v/>
      </c>
      <c r="Z105" s="24" t="str">
        <f aca="false">IF($A105="","",IF(AND(Z$2&gt;=09_ガント元データ!$G104,Z$2&lt;=09_ガント元データ!$H104),"■",""))</f>
        <v/>
      </c>
      <c r="AA105" s="24" t="str">
        <f aca="false">IF($A105="","",IF(AND(AA$2&gt;=09_ガント元データ!$G104,AA$2&lt;=09_ガント元データ!$H104),"■",""))</f>
        <v/>
      </c>
      <c r="AB105" s="24" t="str">
        <f aca="false">IF($A105="","",IF(AND(AB$2&gt;=09_ガント元データ!$G104,AB$2&lt;=09_ガント元データ!$H104),"■",""))</f>
        <v/>
      </c>
      <c r="AC105" s="24" t="str">
        <f aca="false">IF($A105="","",IF(AND(AC$2&gt;=09_ガント元データ!$G104,AC$2&lt;=09_ガント元データ!$H104),"■",""))</f>
        <v/>
      </c>
      <c r="AD105" s="24" t="str">
        <f aca="false">IF($A105="","",IF(AND(AD$2&gt;=09_ガント元データ!$G104,AD$2&lt;=09_ガント元データ!$H104),"■",""))</f>
        <v/>
      </c>
      <c r="AE105" s="24" t="str">
        <f aca="false">IF($A105="","",IF(AND(AE$2&gt;=09_ガント元データ!$G104,AE$2&lt;=09_ガント元データ!$H104),"■",""))</f>
        <v/>
      </c>
      <c r="AF105" s="24" t="str">
        <f aca="false">IF($A105="","",IF(AND(AF$2&gt;=09_ガント元データ!$G104,AF$2&lt;=09_ガント元データ!$H104),"■",""))</f>
        <v/>
      </c>
      <c r="AG105" s="24" t="str">
        <f aca="false">IF($A105="","",IF(AND(AG$2&gt;=09_ガント元データ!$G104,AG$2&lt;=09_ガント元データ!$H104),"■",""))</f>
        <v/>
      </c>
      <c r="AH105" s="24" t="str">
        <f aca="false">IF($A105="","",IF(AND(AH$2&gt;=09_ガント元データ!$G104,AH$2&lt;=09_ガント元データ!$H104),"■",""))</f>
        <v/>
      </c>
      <c r="AI105" s="24" t="str">
        <f aca="false">IF($A105="","",IF(AND(AI$2&gt;=09_ガント元データ!$G104,AI$2&lt;=09_ガント元データ!$H104),"■",""))</f>
        <v/>
      </c>
      <c r="AJ105" s="24" t="str">
        <f aca="false">IF($A105="","",IF(AND(AJ$2&gt;=09_ガント元データ!$G104,AJ$2&lt;=09_ガント元データ!$H104),"■",""))</f>
        <v/>
      </c>
      <c r="AK105" s="24" t="str">
        <f aca="false">IF($A105="","",IF(AND(AK$2&gt;=09_ガント元データ!$G104,AK$2&lt;=09_ガント元データ!$H104),"■",""))</f>
        <v/>
      </c>
      <c r="AL105" s="24" t="str">
        <f aca="false">IF($A105="","",IF(AND(AL$2&gt;=09_ガント元データ!$G104,AL$2&lt;=09_ガント元データ!$H104),"■",""))</f>
        <v/>
      </c>
      <c r="AM105" s="24" t="str">
        <f aca="false">IF($A105="","",IF(AND(AM$2&gt;=09_ガント元データ!$G104,AM$2&lt;=09_ガント元データ!$H104),"■",""))</f>
        <v/>
      </c>
    </row>
    <row r="106" customFormat="false" ht="15" hidden="false" customHeight="false" outlineLevel="0" collapsed="false">
      <c r="A106" s="22" t="str">
        <f aca="false">09_ガント元データ!A105</f>
        <v/>
      </c>
      <c r="B106" s="22" t="str">
        <f aca="false">09_ガント元データ!B105</f>
        <v/>
      </c>
      <c r="C106" s="23" t="str">
        <f aca="false">09_ガント元データ!C105</f>
        <v/>
      </c>
      <c r="D106" s="24" t="str">
        <f aca="false">IF($A106="","",IF(AND(D$2&gt;=09_ガント元データ!$G105,D$2&lt;=09_ガント元データ!$H105),"■",""))</f>
        <v/>
      </c>
      <c r="E106" s="24" t="str">
        <f aca="false">IF($A106="","",IF(AND(E$2&gt;=09_ガント元データ!$G105,E$2&lt;=09_ガント元データ!$H105),"■",""))</f>
        <v/>
      </c>
      <c r="F106" s="24" t="str">
        <f aca="false">IF($A106="","",IF(AND(F$2&gt;=09_ガント元データ!$G105,F$2&lt;=09_ガント元データ!$H105),"■",""))</f>
        <v/>
      </c>
      <c r="G106" s="24" t="str">
        <f aca="false">IF($A106="","",IF(AND(G$2&gt;=09_ガント元データ!$G105,G$2&lt;=09_ガント元データ!$H105),"■",""))</f>
        <v/>
      </c>
      <c r="H106" s="24" t="str">
        <f aca="false">IF($A106="","",IF(AND(H$2&gt;=09_ガント元データ!$G105,H$2&lt;=09_ガント元データ!$H105),"■",""))</f>
        <v/>
      </c>
      <c r="I106" s="24" t="str">
        <f aca="false">IF($A106="","",IF(AND(I$2&gt;=09_ガント元データ!$G105,I$2&lt;=09_ガント元データ!$H105),"■",""))</f>
        <v/>
      </c>
      <c r="J106" s="24" t="str">
        <f aca="false">IF($A106="","",IF(AND(J$2&gt;=09_ガント元データ!$G105,J$2&lt;=09_ガント元データ!$H105),"■",""))</f>
        <v/>
      </c>
      <c r="K106" s="24" t="str">
        <f aca="false">IF($A106="","",IF(AND(K$2&gt;=09_ガント元データ!$G105,K$2&lt;=09_ガント元データ!$H105),"■",""))</f>
        <v/>
      </c>
      <c r="L106" s="24" t="str">
        <f aca="false">IF($A106="","",IF(AND(L$2&gt;=09_ガント元データ!$G105,L$2&lt;=09_ガント元データ!$H105),"■",""))</f>
        <v/>
      </c>
      <c r="M106" s="24" t="str">
        <f aca="false">IF($A106="","",IF(AND(M$2&gt;=09_ガント元データ!$G105,M$2&lt;=09_ガント元データ!$H105),"■",""))</f>
        <v/>
      </c>
      <c r="N106" s="24" t="str">
        <f aca="false">IF($A106="","",IF(AND(N$2&gt;=09_ガント元データ!$G105,N$2&lt;=09_ガント元データ!$H105),"■",""))</f>
        <v/>
      </c>
      <c r="O106" s="24" t="str">
        <f aca="false">IF($A106="","",IF(AND(O$2&gt;=09_ガント元データ!$G105,O$2&lt;=09_ガント元データ!$H105),"■",""))</f>
        <v/>
      </c>
      <c r="P106" s="24" t="str">
        <f aca="false">IF($A106="","",IF(AND(P$2&gt;=09_ガント元データ!$G105,P$2&lt;=09_ガント元データ!$H105),"■",""))</f>
        <v/>
      </c>
      <c r="Q106" s="24" t="str">
        <f aca="false">IF($A106="","",IF(AND(Q$2&gt;=09_ガント元データ!$G105,Q$2&lt;=09_ガント元データ!$H105),"■",""))</f>
        <v/>
      </c>
      <c r="R106" s="24" t="str">
        <f aca="false">IF($A106="","",IF(AND(R$2&gt;=09_ガント元データ!$G105,R$2&lt;=09_ガント元データ!$H105),"■",""))</f>
        <v/>
      </c>
      <c r="S106" s="24" t="str">
        <f aca="false">IF($A106="","",IF(AND(S$2&gt;=09_ガント元データ!$G105,S$2&lt;=09_ガント元データ!$H105),"■",""))</f>
        <v/>
      </c>
      <c r="T106" s="24" t="str">
        <f aca="false">IF($A106="","",IF(AND(T$2&gt;=09_ガント元データ!$G105,T$2&lt;=09_ガント元データ!$H105),"■",""))</f>
        <v/>
      </c>
      <c r="U106" s="24" t="str">
        <f aca="false">IF($A106="","",IF(AND(U$2&gt;=09_ガント元データ!$G105,U$2&lt;=09_ガント元データ!$H105),"■",""))</f>
        <v/>
      </c>
      <c r="V106" s="24" t="str">
        <f aca="false">IF($A106="","",IF(AND(V$2&gt;=09_ガント元データ!$G105,V$2&lt;=09_ガント元データ!$H105),"■",""))</f>
        <v/>
      </c>
      <c r="W106" s="24" t="str">
        <f aca="false">IF($A106="","",IF(AND(W$2&gt;=09_ガント元データ!$G105,W$2&lt;=09_ガント元データ!$H105),"■",""))</f>
        <v/>
      </c>
      <c r="X106" s="24" t="str">
        <f aca="false">IF($A106="","",IF(AND(X$2&gt;=09_ガント元データ!$G105,X$2&lt;=09_ガント元データ!$H105),"■",""))</f>
        <v/>
      </c>
      <c r="Y106" s="24" t="str">
        <f aca="false">IF($A106="","",IF(AND(Y$2&gt;=09_ガント元データ!$G105,Y$2&lt;=09_ガント元データ!$H105),"■",""))</f>
        <v/>
      </c>
      <c r="Z106" s="24" t="str">
        <f aca="false">IF($A106="","",IF(AND(Z$2&gt;=09_ガント元データ!$G105,Z$2&lt;=09_ガント元データ!$H105),"■",""))</f>
        <v/>
      </c>
      <c r="AA106" s="24" t="str">
        <f aca="false">IF($A106="","",IF(AND(AA$2&gt;=09_ガント元データ!$G105,AA$2&lt;=09_ガント元データ!$H105),"■",""))</f>
        <v/>
      </c>
      <c r="AB106" s="24" t="str">
        <f aca="false">IF($A106="","",IF(AND(AB$2&gt;=09_ガント元データ!$G105,AB$2&lt;=09_ガント元データ!$H105),"■",""))</f>
        <v/>
      </c>
      <c r="AC106" s="24" t="str">
        <f aca="false">IF($A106="","",IF(AND(AC$2&gt;=09_ガント元データ!$G105,AC$2&lt;=09_ガント元データ!$H105),"■",""))</f>
        <v/>
      </c>
      <c r="AD106" s="24" t="str">
        <f aca="false">IF($A106="","",IF(AND(AD$2&gt;=09_ガント元データ!$G105,AD$2&lt;=09_ガント元データ!$H105),"■",""))</f>
        <v/>
      </c>
      <c r="AE106" s="24" t="str">
        <f aca="false">IF($A106="","",IF(AND(AE$2&gt;=09_ガント元データ!$G105,AE$2&lt;=09_ガント元データ!$H105),"■",""))</f>
        <v/>
      </c>
      <c r="AF106" s="24" t="str">
        <f aca="false">IF($A106="","",IF(AND(AF$2&gt;=09_ガント元データ!$G105,AF$2&lt;=09_ガント元データ!$H105),"■",""))</f>
        <v/>
      </c>
      <c r="AG106" s="24" t="str">
        <f aca="false">IF($A106="","",IF(AND(AG$2&gt;=09_ガント元データ!$G105,AG$2&lt;=09_ガント元データ!$H105),"■",""))</f>
        <v/>
      </c>
      <c r="AH106" s="24" t="str">
        <f aca="false">IF($A106="","",IF(AND(AH$2&gt;=09_ガント元データ!$G105,AH$2&lt;=09_ガント元データ!$H105),"■",""))</f>
        <v/>
      </c>
      <c r="AI106" s="24" t="str">
        <f aca="false">IF($A106="","",IF(AND(AI$2&gt;=09_ガント元データ!$G105,AI$2&lt;=09_ガント元データ!$H105),"■",""))</f>
        <v/>
      </c>
      <c r="AJ106" s="24" t="str">
        <f aca="false">IF($A106="","",IF(AND(AJ$2&gt;=09_ガント元データ!$G105,AJ$2&lt;=09_ガント元データ!$H105),"■",""))</f>
        <v/>
      </c>
      <c r="AK106" s="24" t="str">
        <f aca="false">IF($A106="","",IF(AND(AK$2&gt;=09_ガント元データ!$G105,AK$2&lt;=09_ガント元データ!$H105),"■",""))</f>
        <v/>
      </c>
      <c r="AL106" s="24" t="str">
        <f aca="false">IF($A106="","",IF(AND(AL$2&gt;=09_ガント元データ!$G105,AL$2&lt;=09_ガント元データ!$H105),"■",""))</f>
        <v/>
      </c>
      <c r="AM106" s="24" t="str">
        <f aca="false">IF($A106="","",IF(AND(AM$2&gt;=09_ガント元データ!$G105,AM$2&lt;=09_ガント元データ!$H105),"■",""))</f>
        <v/>
      </c>
    </row>
    <row r="107" customFormat="false" ht="15" hidden="false" customHeight="false" outlineLevel="0" collapsed="false">
      <c r="A107" s="22" t="str">
        <f aca="false">09_ガント元データ!A106</f>
        <v/>
      </c>
      <c r="B107" s="22" t="str">
        <f aca="false">09_ガント元データ!B106</f>
        <v/>
      </c>
      <c r="C107" s="23" t="str">
        <f aca="false">09_ガント元データ!C106</f>
        <v/>
      </c>
      <c r="D107" s="24" t="str">
        <f aca="false">IF($A107="","",IF(AND(D$2&gt;=09_ガント元データ!$G106,D$2&lt;=09_ガント元データ!$H106),"■",""))</f>
        <v/>
      </c>
      <c r="E107" s="24" t="str">
        <f aca="false">IF($A107="","",IF(AND(E$2&gt;=09_ガント元データ!$G106,E$2&lt;=09_ガント元データ!$H106),"■",""))</f>
        <v/>
      </c>
      <c r="F107" s="24" t="str">
        <f aca="false">IF($A107="","",IF(AND(F$2&gt;=09_ガント元データ!$G106,F$2&lt;=09_ガント元データ!$H106),"■",""))</f>
        <v/>
      </c>
      <c r="G107" s="24" t="str">
        <f aca="false">IF($A107="","",IF(AND(G$2&gt;=09_ガント元データ!$G106,G$2&lt;=09_ガント元データ!$H106),"■",""))</f>
        <v/>
      </c>
      <c r="H107" s="24" t="str">
        <f aca="false">IF($A107="","",IF(AND(H$2&gt;=09_ガント元データ!$G106,H$2&lt;=09_ガント元データ!$H106),"■",""))</f>
        <v/>
      </c>
      <c r="I107" s="24" t="str">
        <f aca="false">IF($A107="","",IF(AND(I$2&gt;=09_ガント元データ!$G106,I$2&lt;=09_ガント元データ!$H106),"■",""))</f>
        <v/>
      </c>
      <c r="J107" s="24" t="str">
        <f aca="false">IF($A107="","",IF(AND(J$2&gt;=09_ガント元データ!$G106,J$2&lt;=09_ガント元データ!$H106),"■",""))</f>
        <v/>
      </c>
      <c r="K107" s="24" t="str">
        <f aca="false">IF($A107="","",IF(AND(K$2&gt;=09_ガント元データ!$G106,K$2&lt;=09_ガント元データ!$H106),"■",""))</f>
        <v/>
      </c>
      <c r="L107" s="24" t="str">
        <f aca="false">IF($A107="","",IF(AND(L$2&gt;=09_ガント元データ!$G106,L$2&lt;=09_ガント元データ!$H106),"■",""))</f>
        <v/>
      </c>
      <c r="M107" s="24" t="str">
        <f aca="false">IF($A107="","",IF(AND(M$2&gt;=09_ガント元データ!$G106,M$2&lt;=09_ガント元データ!$H106),"■",""))</f>
        <v/>
      </c>
      <c r="N107" s="24" t="str">
        <f aca="false">IF($A107="","",IF(AND(N$2&gt;=09_ガント元データ!$G106,N$2&lt;=09_ガント元データ!$H106),"■",""))</f>
        <v/>
      </c>
      <c r="O107" s="24" t="str">
        <f aca="false">IF($A107="","",IF(AND(O$2&gt;=09_ガント元データ!$G106,O$2&lt;=09_ガント元データ!$H106),"■",""))</f>
        <v/>
      </c>
      <c r="P107" s="24" t="str">
        <f aca="false">IF($A107="","",IF(AND(P$2&gt;=09_ガント元データ!$G106,P$2&lt;=09_ガント元データ!$H106),"■",""))</f>
        <v/>
      </c>
      <c r="Q107" s="24" t="str">
        <f aca="false">IF($A107="","",IF(AND(Q$2&gt;=09_ガント元データ!$G106,Q$2&lt;=09_ガント元データ!$H106),"■",""))</f>
        <v/>
      </c>
      <c r="R107" s="24" t="str">
        <f aca="false">IF($A107="","",IF(AND(R$2&gt;=09_ガント元データ!$G106,R$2&lt;=09_ガント元データ!$H106),"■",""))</f>
        <v/>
      </c>
      <c r="S107" s="24" t="str">
        <f aca="false">IF($A107="","",IF(AND(S$2&gt;=09_ガント元データ!$G106,S$2&lt;=09_ガント元データ!$H106),"■",""))</f>
        <v/>
      </c>
      <c r="T107" s="24" t="str">
        <f aca="false">IF($A107="","",IF(AND(T$2&gt;=09_ガント元データ!$G106,T$2&lt;=09_ガント元データ!$H106),"■",""))</f>
        <v/>
      </c>
      <c r="U107" s="24" t="str">
        <f aca="false">IF($A107="","",IF(AND(U$2&gt;=09_ガント元データ!$G106,U$2&lt;=09_ガント元データ!$H106),"■",""))</f>
        <v/>
      </c>
      <c r="V107" s="24" t="str">
        <f aca="false">IF($A107="","",IF(AND(V$2&gt;=09_ガント元データ!$G106,V$2&lt;=09_ガント元データ!$H106),"■",""))</f>
        <v/>
      </c>
      <c r="W107" s="24" t="str">
        <f aca="false">IF($A107="","",IF(AND(W$2&gt;=09_ガント元データ!$G106,W$2&lt;=09_ガント元データ!$H106),"■",""))</f>
        <v/>
      </c>
      <c r="X107" s="24" t="str">
        <f aca="false">IF($A107="","",IF(AND(X$2&gt;=09_ガント元データ!$G106,X$2&lt;=09_ガント元データ!$H106),"■",""))</f>
        <v/>
      </c>
      <c r="Y107" s="24" t="str">
        <f aca="false">IF($A107="","",IF(AND(Y$2&gt;=09_ガント元データ!$G106,Y$2&lt;=09_ガント元データ!$H106),"■",""))</f>
        <v/>
      </c>
      <c r="Z107" s="24" t="str">
        <f aca="false">IF($A107="","",IF(AND(Z$2&gt;=09_ガント元データ!$G106,Z$2&lt;=09_ガント元データ!$H106),"■",""))</f>
        <v/>
      </c>
      <c r="AA107" s="24" t="str">
        <f aca="false">IF($A107="","",IF(AND(AA$2&gt;=09_ガント元データ!$G106,AA$2&lt;=09_ガント元データ!$H106),"■",""))</f>
        <v/>
      </c>
      <c r="AB107" s="24" t="str">
        <f aca="false">IF($A107="","",IF(AND(AB$2&gt;=09_ガント元データ!$G106,AB$2&lt;=09_ガント元データ!$H106),"■",""))</f>
        <v/>
      </c>
      <c r="AC107" s="24" t="str">
        <f aca="false">IF($A107="","",IF(AND(AC$2&gt;=09_ガント元データ!$G106,AC$2&lt;=09_ガント元データ!$H106),"■",""))</f>
        <v/>
      </c>
      <c r="AD107" s="24" t="str">
        <f aca="false">IF($A107="","",IF(AND(AD$2&gt;=09_ガント元データ!$G106,AD$2&lt;=09_ガント元データ!$H106),"■",""))</f>
        <v/>
      </c>
      <c r="AE107" s="24" t="str">
        <f aca="false">IF($A107="","",IF(AND(AE$2&gt;=09_ガント元データ!$G106,AE$2&lt;=09_ガント元データ!$H106),"■",""))</f>
        <v/>
      </c>
      <c r="AF107" s="24" t="str">
        <f aca="false">IF($A107="","",IF(AND(AF$2&gt;=09_ガント元データ!$G106,AF$2&lt;=09_ガント元データ!$H106),"■",""))</f>
        <v/>
      </c>
      <c r="AG107" s="24" t="str">
        <f aca="false">IF($A107="","",IF(AND(AG$2&gt;=09_ガント元データ!$G106,AG$2&lt;=09_ガント元データ!$H106),"■",""))</f>
        <v/>
      </c>
      <c r="AH107" s="24" t="str">
        <f aca="false">IF($A107="","",IF(AND(AH$2&gt;=09_ガント元データ!$G106,AH$2&lt;=09_ガント元データ!$H106),"■",""))</f>
        <v/>
      </c>
      <c r="AI107" s="24" t="str">
        <f aca="false">IF($A107="","",IF(AND(AI$2&gt;=09_ガント元データ!$G106,AI$2&lt;=09_ガント元データ!$H106),"■",""))</f>
        <v/>
      </c>
      <c r="AJ107" s="24" t="str">
        <f aca="false">IF($A107="","",IF(AND(AJ$2&gt;=09_ガント元データ!$G106,AJ$2&lt;=09_ガント元データ!$H106),"■",""))</f>
        <v/>
      </c>
      <c r="AK107" s="24" t="str">
        <f aca="false">IF($A107="","",IF(AND(AK$2&gt;=09_ガント元データ!$G106,AK$2&lt;=09_ガント元データ!$H106),"■",""))</f>
        <v/>
      </c>
      <c r="AL107" s="24" t="str">
        <f aca="false">IF($A107="","",IF(AND(AL$2&gt;=09_ガント元データ!$G106,AL$2&lt;=09_ガント元データ!$H106),"■",""))</f>
        <v/>
      </c>
      <c r="AM107" s="24" t="str">
        <f aca="false">IF($A107="","",IF(AND(AM$2&gt;=09_ガント元データ!$G106,AM$2&lt;=09_ガント元データ!$H106),"■",""))</f>
        <v/>
      </c>
    </row>
    <row r="108" customFormat="false" ht="15" hidden="false" customHeight="false" outlineLevel="0" collapsed="false">
      <c r="A108" s="22" t="str">
        <f aca="false">09_ガント元データ!A107</f>
        <v/>
      </c>
      <c r="B108" s="22" t="str">
        <f aca="false">09_ガント元データ!B107</f>
        <v/>
      </c>
      <c r="C108" s="23" t="str">
        <f aca="false">09_ガント元データ!C107</f>
        <v/>
      </c>
      <c r="D108" s="24" t="str">
        <f aca="false">IF($A108="","",IF(AND(D$2&gt;=09_ガント元データ!$G107,D$2&lt;=09_ガント元データ!$H107),"■",""))</f>
        <v/>
      </c>
      <c r="E108" s="24" t="str">
        <f aca="false">IF($A108="","",IF(AND(E$2&gt;=09_ガント元データ!$G107,E$2&lt;=09_ガント元データ!$H107),"■",""))</f>
        <v/>
      </c>
      <c r="F108" s="24" t="str">
        <f aca="false">IF($A108="","",IF(AND(F$2&gt;=09_ガント元データ!$G107,F$2&lt;=09_ガント元データ!$H107),"■",""))</f>
        <v/>
      </c>
      <c r="G108" s="24" t="str">
        <f aca="false">IF($A108="","",IF(AND(G$2&gt;=09_ガント元データ!$G107,G$2&lt;=09_ガント元データ!$H107),"■",""))</f>
        <v/>
      </c>
      <c r="H108" s="24" t="str">
        <f aca="false">IF($A108="","",IF(AND(H$2&gt;=09_ガント元データ!$G107,H$2&lt;=09_ガント元データ!$H107),"■",""))</f>
        <v/>
      </c>
      <c r="I108" s="24" t="str">
        <f aca="false">IF($A108="","",IF(AND(I$2&gt;=09_ガント元データ!$G107,I$2&lt;=09_ガント元データ!$H107),"■",""))</f>
        <v/>
      </c>
      <c r="J108" s="24" t="str">
        <f aca="false">IF($A108="","",IF(AND(J$2&gt;=09_ガント元データ!$G107,J$2&lt;=09_ガント元データ!$H107),"■",""))</f>
        <v/>
      </c>
      <c r="K108" s="24" t="str">
        <f aca="false">IF($A108="","",IF(AND(K$2&gt;=09_ガント元データ!$G107,K$2&lt;=09_ガント元データ!$H107),"■",""))</f>
        <v/>
      </c>
      <c r="L108" s="24" t="str">
        <f aca="false">IF($A108="","",IF(AND(L$2&gt;=09_ガント元データ!$G107,L$2&lt;=09_ガント元データ!$H107),"■",""))</f>
        <v/>
      </c>
      <c r="M108" s="24" t="str">
        <f aca="false">IF($A108="","",IF(AND(M$2&gt;=09_ガント元データ!$G107,M$2&lt;=09_ガント元データ!$H107),"■",""))</f>
        <v/>
      </c>
      <c r="N108" s="24" t="str">
        <f aca="false">IF($A108="","",IF(AND(N$2&gt;=09_ガント元データ!$G107,N$2&lt;=09_ガント元データ!$H107),"■",""))</f>
        <v/>
      </c>
      <c r="O108" s="24" t="str">
        <f aca="false">IF($A108="","",IF(AND(O$2&gt;=09_ガント元データ!$G107,O$2&lt;=09_ガント元データ!$H107),"■",""))</f>
        <v/>
      </c>
      <c r="P108" s="24" t="str">
        <f aca="false">IF($A108="","",IF(AND(P$2&gt;=09_ガント元データ!$G107,P$2&lt;=09_ガント元データ!$H107),"■",""))</f>
        <v/>
      </c>
      <c r="Q108" s="24" t="str">
        <f aca="false">IF($A108="","",IF(AND(Q$2&gt;=09_ガント元データ!$G107,Q$2&lt;=09_ガント元データ!$H107),"■",""))</f>
        <v/>
      </c>
      <c r="R108" s="24" t="str">
        <f aca="false">IF($A108="","",IF(AND(R$2&gt;=09_ガント元データ!$G107,R$2&lt;=09_ガント元データ!$H107),"■",""))</f>
        <v/>
      </c>
      <c r="S108" s="24" t="str">
        <f aca="false">IF($A108="","",IF(AND(S$2&gt;=09_ガント元データ!$G107,S$2&lt;=09_ガント元データ!$H107),"■",""))</f>
        <v/>
      </c>
      <c r="T108" s="24" t="str">
        <f aca="false">IF($A108="","",IF(AND(T$2&gt;=09_ガント元データ!$G107,T$2&lt;=09_ガント元データ!$H107),"■",""))</f>
        <v/>
      </c>
      <c r="U108" s="24" t="str">
        <f aca="false">IF($A108="","",IF(AND(U$2&gt;=09_ガント元データ!$G107,U$2&lt;=09_ガント元データ!$H107),"■",""))</f>
        <v/>
      </c>
      <c r="V108" s="24" t="str">
        <f aca="false">IF($A108="","",IF(AND(V$2&gt;=09_ガント元データ!$G107,V$2&lt;=09_ガント元データ!$H107),"■",""))</f>
        <v/>
      </c>
      <c r="W108" s="24" t="str">
        <f aca="false">IF($A108="","",IF(AND(W$2&gt;=09_ガント元データ!$G107,W$2&lt;=09_ガント元データ!$H107),"■",""))</f>
        <v/>
      </c>
      <c r="X108" s="24" t="str">
        <f aca="false">IF($A108="","",IF(AND(X$2&gt;=09_ガント元データ!$G107,X$2&lt;=09_ガント元データ!$H107),"■",""))</f>
        <v/>
      </c>
      <c r="Y108" s="24" t="str">
        <f aca="false">IF($A108="","",IF(AND(Y$2&gt;=09_ガント元データ!$G107,Y$2&lt;=09_ガント元データ!$H107),"■",""))</f>
        <v/>
      </c>
      <c r="Z108" s="24" t="str">
        <f aca="false">IF($A108="","",IF(AND(Z$2&gt;=09_ガント元データ!$G107,Z$2&lt;=09_ガント元データ!$H107),"■",""))</f>
        <v/>
      </c>
      <c r="AA108" s="24" t="str">
        <f aca="false">IF($A108="","",IF(AND(AA$2&gt;=09_ガント元データ!$G107,AA$2&lt;=09_ガント元データ!$H107),"■",""))</f>
        <v/>
      </c>
      <c r="AB108" s="24" t="str">
        <f aca="false">IF($A108="","",IF(AND(AB$2&gt;=09_ガント元データ!$G107,AB$2&lt;=09_ガント元データ!$H107),"■",""))</f>
        <v/>
      </c>
      <c r="AC108" s="24" t="str">
        <f aca="false">IF($A108="","",IF(AND(AC$2&gt;=09_ガント元データ!$G107,AC$2&lt;=09_ガント元データ!$H107),"■",""))</f>
        <v/>
      </c>
      <c r="AD108" s="24" t="str">
        <f aca="false">IF($A108="","",IF(AND(AD$2&gt;=09_ガント元データ!$G107,AD$2&lt;=09_ガント元データ!$H107),"■",""))</f>
        <v/>
      </c>
      <c r="AE108" s="24" t="str">
        <f aca="false">IF($A108="","",IF(AND(AE$2&gt;=09_ガント元データ!$G107,AE$2&lt;=09_ガント元データ!$H107),"■",""))</f>
        <v/>
      </c>
      <c r="AF108" s="24" t="str">
        <f aca="false">IF($A108="","",IF(AND(AF$2&gt;=09_ガント元データ!$G107,AF$2&lt;=09_ガント元データ!$H107),"■",""))</f>
        <v/>
      </c>
      <c r="AG108" s="24" t="str">
        <f aca="false">IF($A108="","",IF(AND(AG$2&gt;=09_ガント元データ!$G107,AG$2&lt;=09_ガント元データ!$H107),"■",""))</f>
        <v/>
      </c>
      <c r="AH108" s="24" t="str">
        <f aca="false">IF($A108="","",IF(AND(AH$2&gt;=09_ガント元データ!$G107,AH$2&lt;=09_ガント元データ!$H107),"■",""))</f>
        <v/>
      </c>
      <c r="AI108" s="24" t="str">
        <f aca="false">IF($A108="","",IF(AND(AI$2&gt;=09_ガント元データ!$G107,AI$2&lt;=09_ガント元データ!$H107),"■",""))</f>
        <v/>
      </c>
      <c r="AJ108" s="24" t="str">
        <f aca="false">IF($A108="","",IF(AND(AJ$2&gt;=09_ガント元データ!$G107,AJ$2&lt;=09_ガント元データ!$H107),"■",""))</f>
        <v/>
      </c>
      <c r="AK108" s="24" t="str">
        <f aca="false">IF($A108="","",IF(AND(AK$2&gt;=09_ガント元データ!$G107,AK$2&lt;=09_ガント元データ!$H107),"■",""))</f>
        <v/>
      </c>
      <c r="AL108" s="24" t="str">
        <f aca="false">IF($A108="","",IF(AND(AL$2&gt;=09_ガント元データ!$G107,AL$2&lt;=09_ガント元データ!$H107),"■",""))</f>
        <v/>
      </c>
      <c r="AM108" s="24" t="str">
        <f aca="false">IF($A108="","",IF(AND(AM$2&gt;=09_ガント元データ!$G107,AM$2&lt;=09_ガント元データ!$H107),"■",""))</f>
        <v/>
      </c>
    </row>
    <row r="109" customFormat="false" ht="15" hidden="false" customHeight="false" outlineLevel="0" collapsed="false">
      <c r="A109" s="22" t="str">
        <f aca="false">09_ガント元データ!A108</f>
        <v/>
      </c>
      <c r="B109" s="22" t="str">
        <f aca="false">09_ガント元データ!B108</f>
        <v/>
      </c>
      <c r="C109" s="23" t="str">
        <f aca="false">09_ガント元データ!C108</f>
        <v/>
      </c>
      <c r="D109" s="24" t="str">
        <f aca="false">IF($A109="","",IF(AND(D$2&gt;=09_ガント元データ!$G108,D$2&lt;=09_ガント元データ!$H108),"■",""))</f>
        <v/>
      </c>
      <c r="E109" s="24" t="str">
        <f aca="false">IF($A109="","",IF(AND(E$2&gt;=09_ガント元データ!$G108,E$2&lt;=09_ガント元データ!$H108),"■",""))</f>
        <v/>
      </c>
      <c r="F109" s="24" t="str">
        <f aca="false">IF($A109="","",IF(AND(F$2&gt;=09_ガント元データ!$G108,F$2&lt;=09_ガント元データ!$H108),"■",""))</f>
        <v/>
      </c>
      <c r="G109" s="24" t="str">
        <f aca="false">IF($A109="","",IF(AND(G$2&gt;=09_ガント元データ!$G108,G$2&lt;=09_ガント元データ!$H108),"■",""))</f>
        <v/>
      </c>
      <c r="H109" s="24" t="str">
        <f aca="false">IF($A109="","",IF(AND(H$2&gt;=09_ガント元データ!$G108,H$2&lt;=09_ガント元データ!$H108),"■",""))</f>
        <v/>
      </c>
      <c r="I109" s="24" t="str">
        <f aca="false">IF($A109="","",IF(AND(I$2&gt;=09_ガント元データ!$G108,I$2&lt;=09_ガント元データ!$H108),"■",""))</f>
        <v/>
      </c>
      <c r="J109" s="24" t="str">
        <f aca="false">IF($A109="","",IF(AND(J$2&gt;=09_ガント元データ!$G108,J$2&lt;=09_ガント元データ!$H108),"■",""))</f>
        <v/>
      </c>
      <c r="K109" s="24" t="str">
        <f aca="false">IF($A109="","",IF(AND(K$2&gt;=09_ガント元データ!$G108,K$2&lt;=09_ガント元データ!$H108),"■",""))</f>
        <v/>
      </c>
      <c r="L109" s="24" t="str">
        <f aca="false">IF($A109="","",IF(AND(L$2&gt;=09_ガント元データ!$G108,L$2&lt;=09_ガント元データ!$H108),"■",""))</f>
        <v/>
      </c>
      <c r="M109" s="24" t="str">
        <f aca="false">IF($A109="","",IF(AND(M$2&gt;=09_ガント元データ!$G108,M$2&lt;=09_ガント元データ!$H108),"■",""))</f>
        <v/>
      </c>
      <c r="N109" s="24" t="str">
        <f aca="false">IF($A109="","",IF(AND(N$2&gt;=09_ガント元データ!$G108,N$2&lt;=09_ガント元データ!$H108),"■",""))</f>
        <v/>
      </c>
      <c r="O109" s="24" t="str">
        <f aca="false">IF($A109="","",IF(AND(O$2&gt;=09_ガント元データ!$G108,O$2&lt;=09_ガント元データ!$H108),"■",""))</f>
        <v/>
      </c>
      <c r="P109" s="24" t="str">
        <f aca="false">IF($A109="","",IF(AND(P$2&gt;=09_ガント元データ!$G108,P$2&lt;=09_ガント元データ!$H108),"■",""))</f>
        <v/>
      </c>
      <c r="Q109" s="24" t="str">
        <f aca="false">IF($A109="","",IF(AND(Q$2&gt;=09_ガント元データ!$G108,Q$2&lt;=09_ガント元データ!$H108),"■",""))</f>
        <v/>
      </c>
      <c r="R109" s="24" t="str">
        <f aca="false">IF($A109="","",IF(AND(R$2&gt;=09_ガント元データ!$G108,R$2&lt;=09_ガント元データ!$H108),"■",""))</f>
        <v/>
      </c>
      <c r="S109" s="24" t="str">
        <f aca="false">IF($A109="","",IF(AND(S$2&gt;=09_ガント元データ!$G108,S$2&lt;=09_ガント元データ!$H108),"■",""))</f>
        <v/>
      </c>
      <c r="T109" s="24" t="str">
        <f aca="false">IF($A109="","",IF(AND(T$2&gt;=09_ガント元データ!$G108,T$2&lt;=09_ガント元データ!$H108),"■",""))</f>
        <v/>
      </c>
      <c r="U109" s="24" t="str">
        <f aca="false">IF($A109="","",IF(AND(U$2&gt;=09_ガント元データ!$G108,U$2&lt;=09_ガント元データ!$H108),"■",""))</f>
        <v/>
      </c>
      <c r="V109" s="24" t="str">
        <f aca="false">IF($A109="","",IF(AND(V$2&gt;=09_ガント元データ!$G108,V$2&lt;=09_ガント元データ!$H108),"■",""))</f>
        <v/>
      </c>
      <c r="W109" s="24" t="str">
        <f aca="false">IF($A109="","",IF(AND(W$2&gt;=09_ガント元データ!$G108,W$2&lt;=09_ガント元データ!$H108),"■",""))</f>
        <v/>
      </c>
      <c r="X109" s="24" t="str">
        <f aca="false">IF($A109="","",IF(AND(X$2&gt;=09_ガント元データ!$G108,X$2&lt;=09_ガント元データ!$H108),"■",""))</f>
        <v/>
      </c>
      <c r="Y109" s="24" t="str">
        <f aca="false">IF($A109="","",IF(AND(Y$2&gt;=09_ガント元データ!$G108,Y$2&lt;=09_ガント元データ!$H108),"■",""))</f>
        <v/>
      </c>
      <c r="Z109" s="24" t="str">
        <f aca="false">IF($A109="","",IF(AND(Z$2&gt;=09_ガント元データ!$G108,Z$2&lt;=09_ガント元データ!$H108),"■",""))</f>
        <v/>
      </c>
      <c r="AA109" s="24" t="str">
        <f aca="false">IF($A109="","",IF(AND(AA$2&gt;=09_ガント元データ!$G108,AA$2&lt;=09_ガント元データ!$H108),"■",""))</f>
        <v/>
      </c>
      <c r="AB109" s="24" t="str">
        <f aca="false">IF($A109="","",IF(AND(AB$2&gt;=09_ガント元データ!$G108,AB$2&lt;=09_ガント元データ!$H108),"■",""))</f>
        <v/>
      </c>
      <c r="AC109" s="24" t="str">
        <f aca="false">IF($A109="","",IF(AND(AC$2&gt;=09_ガント元データ!$G108,AC$2&lt;=09_ガント元データ!$H108),"■",""))</f>
        <v/>
      </c>
      <c r="AD109" s="24" t="str">
        <f aca="false">IF($A109="","",IF(AND(AD$2&gt;=09_ガント元データ!$G108,AD$2&lt;=09_ガント元データ!$H108),"■",""))</f>
        <v/>
      </c>
      <c r="AE109" s="24" t="str">
        <f aca="false">IF($A109="","",IF(AND(AE$2&gt;=09_ガント元データ!$G108,AE$2&lt;=09_ガント元データ!$H108),"■",""))</f>
        <v/>
      </c>
      <c r="AF109" s="24" t="str">
        <f aca="false">IF($A109="","",IF(AND(AF$2&gt;=09_ガント元データ!$G108,AF$2&lt;=09_ガント元データ!$H108),"■",""))</f>
        <v/>
      </c>
      <c r="AG109" s="24" t="str">
        <f aca="false">IF($A109="","",IF(AND(AG$2&gt;=09_ガント元データ!$G108,AG$2&lt;=09_ガント元データ!$H108),"■",""))</f>
        <v/>
      </c>
      <c r="AH109" s="24" t="str">
        <f aca="false">IF($A109="","",IF(AND(AH$2&gt;=09_ガント元データ!$G108,AH$2&lt;=09_ガント元データ!$H108),"■",""))</f>
        <v/>
      </c>
      <c r="AI109" s="24" t="str">
        <f aca="false">IF($A109="","",IF(AND(AI$2&gt;=09_ガント元データ!$G108,AI$2&lt;=09_ガント元データ!$H108),"■",""))</f>
        <v/>
      </c>
      <c r="AJ109" s="24" t="str">
        <f aca="false">IF($A109="","",IF(AND(AJ$2&gt;=09_ガント元データ!$G108,AJ$2&lt;=09_ガント元データ!$H108),"■",""))</f>
        <v/>
      </c>
      <c r="AK109" s="24" t="str">
        <f aca="false">IF($A109="","",IF(AND(AK$2&gt;=09_ガント元データ!$G108,AK$2&lt;=09_ガント元データ!$H108),"■",""))</f>
        <v/>
      </c>
      <c r="AL109" s="24" t="str">
        <f aca="false">IF($A109="","",IF(AND(AL$2&gt;=09_ガント元データ!$G108,AL$2&lt;=09_ガント元データ!$H108),"■",""))</f>
        <v/>
      </c>
      <c r="AM109" s="24" t="str">
        <f aca="false">IF($A109="","",IF(AND(AM$2&gt;=09_ガント元データ!$G108,AM$2&lt;=09_ガント元データ!$H108),"■",""))</f>
        <v/>
      </c>
    </row>
    <row r="110" customFormat="false" ht="15" hidden="false" customHeight="false" outlineLevel="0" collapsed="false">
      <c r="A110" s="22" t="str">
        <f aca="false">09_ガント元データ!A109</f>
        <v/>
      </c>
      <c r="B110" s="22" t="str">
        <f aca="false">09_ガント元データ!B109</f>
        <v/>
      </c>
      <c r="C110" s="23" t="str">
        <f aca="false">09_ガント元データ!C109</f>
        <v/>
      </c>
      <c r="D110" s="24" t="str">
        <f aca="false">IF($A110="","",IF(AND(D$2&gt;=09_ガント元データ!$G109,D$2&lt;=09_ガント元データ!$H109),"■",""))</f>
        <v/>
      </c>
      <c r="E110" s="24" t="str">
        <f aca="false">IF($A110="","",IF(AND(E$2&gt;=09_ガント元データ!$G109,E$2&lt;=09_ガント元データ!$H109),"■",""))</f>
        <v/>
      </c>
      <c r="F110" s="24" t="str">
        <f aca="false">IF($A110="","",IF(AND(F$2&gt;=09_ガント元データ!$G109,F$2&lt;=09_ガント元データ!$H109),"■",""))</f>
        <v/>
      </c>
      <c r="G110" s="24" t="str">
        <f aca="false">IF($A110="","",IF(AND(G$2&gt;=09_ガント元データ!$G109,G$2&lt;=09_ガント元データ!$H109),"■",""))</f>
        <v/>
      </c>
      <c r="H110" s="24" t="str">
        <f aca="false">IF($A110="","",IF(AND(H$2&gt;=09_ガント元データ!$G109,H$2&lt;=09_ガント元データ!$H109),"■",""))</f>
        <v/>
      </c>
      <c r="I110" s="24" t="str">
        <f aca="false">IF($A110="","",IF(AND(I$2&gt;=09_ガント元データ!$G109,I$2&lt;=09_ガント元データ!$H109),"■",""))</f>
        <v/>
      </c>
      <c r="J110" s="24" t="str">
        <f aca="false">IF($A110="","",IF(AND(J$2&gt;=09_ガント元データ!$G109,J$2&lt;=09_ガント元データ!$H109),"■",""))</f>
        <v/>
      </c>
      <c r="K110" s="24" t="str">
        <f aca="false">IF($A110="","",IF(AND(K$2&gt;=09_ガント元データ!$G109,K$2&lt;=09_ガント元データ!$H109),"■",""))</f>
        <v/>
      </c>
      <c r="L110" s="24" t="str">
        <f aca="false">IF($A110="","",IF(AND(L$2&gt;=09_ガント元データ!$G109,L$2&lt;=09_ガント元データ!$H109),"■",""))</f>
        <v/>
      </c>
      <c r="M110" s="24" t="str">
        <f aca="false">IF($A110="","",IF(AND(M$2&gt;=09_ガント元データ!$G109,M$2&lt;=09_ガント元データ!$H109),"■",""))</f>
        <v/>
      </c>
      <c r="N110" s="24" t="str">
        <f aca="false">IF($A110="","",IF(AND(N$2&gt;=09_ガント元データ!$G109,N$2&lt;=09_ガント元データ!$H109),"■",""))</f>
        <v/>
      </c>
      <c r="O110" s="24" t="str">
        <f aca="false">IF($A110="","",IF(AND(O$2&gt;=09_ガント元データ!$G109,O$2&lt;=09_ガント元データ!$H109),"■",""))</f>
        <v/>
      </c>
      <c r="P110" s="24" t="str">
        <f aca="false">IF($A110="","",IF(AND(P$2&gt;=09_ガント元データ!$G109,P$2&lt;=09_ガント元データ!$H109),"■",""))</f>
        <v/>
      </c>
      <c r="Q110" s="24" t="str">
        <f aca="false">IF($A110="","",IF(AND(Q$2&gt;=09_ガント元データ!$G109,Q$2&lt;=09_ガント元データ!$H109),"■",""))</f>
        <v/>
      </c>
      <c r="R110" s="24" t="str">
        <f aca="false">IF($A110="","",IF(AND(R$2&gt;=09_ガント元データ!$G109,R$2&lt;=09_ガント元データ!$H109),"■",""))</f>
        <v/>
      </c>
      <c r="S110" s="24" t="str">
        <f aca="false">IF($A110="","",IF(AND(S$2&gt;=09_ガント元データ!$G109,S$2&lt;=09_ガント元データ!$H109),"■",""))</f>
        <v/>
      </c>
      <c r="T110" s="24" t="str">
        <f aca="false">IF($A110="","",IF(AND(T$2&gt;=09_ガント元データ!$G109,T$2&lt;=09_ガント元データ!$H109),"■",""))</f>
        <v/>
      </c>
      <c r="U110" s="24" t="str">
        <f aca="false">IF($A110="","",IF(AND(U$2&gt;=09_ガント元データ!$G109,U$2&lt;=09_ガント元データ!$H109),"■",""))</f>
        <v/>
      </c>
      <c r="V110" s="24" t="str">
        <f aca="false">IF($A110="","",IF(AND(V$2&gt;=09_ガント元データ!$G109,V$2&lt;=09_ガント元データ!$H109),"■",""))</f>
        <v/>
      </c>
      <c r="W110" s="24" t="str">
        <f aca="false">IF($A110="","",IF(AND(W$2&gt;=09_ガント元データ!$G109,W$2&lt;=09_ガント元データ!$H109),"■",""))</f>
        <v/>
      </c>
      <c r="X110" s="24" t="str">
        <f aca="false">IF($A110="","",IF(AND(X$2&gt;=09_ガント元データ!$G109,X$2&lt;=09_ガント元データ!$H109),"■",""))</f>
        <v/>
      </c>
      <c r="Y110" s="24" t="str">
        <f aca="false">IF($A110="","",IF(AND(Y$2&gt;=09_ガント元データ!$G109,Y$2&lt;=09_ガント元データ!$H109),"■",""))</f>
        <v/>
      </c>
      <c r="Z110" s="24" t="str">
        <f aca="false">IF($A110="","",IF(AND(Z$2&gt;=09_ガント元データ!$G109,Z$2&lt;=09_ガント元データ!$H109),"■",""))</f>
        <v/>
      </c>
      <c r="AA110" s="24" t="str">
        <f aca="false">IF($A110="","",IF(AND(AA$2&gt;=09_ガント元データ!$G109,AA$2&lt;=09_ガント元データ!$H109),"■",""))</f>
        <v/>
      </c>
      <c r="AB110" s="24" t="str">
        <f aca="false">IF($A110="","",IF(AND(AB$2&gt;=09_ガント元データ!$G109,AB$2&lt;=09_ガント元データ!$H109),"■",""))</f>
        <v/>
      </c>
      <c r="AC110" s="24" t="str">
        <f aca="false">IF($A110="","",IF(AND(AC$2&gt;=09_ガント元データ!$G109,AC$2&lt;=09_ガント元データ!$H109),"■",""))</f>
        <v/>
      </c>
      <c r="AD110" s="24" t="str">
        <f aca="false">IF($A110="","",IF(AND(AD$2&gt;=09_ガント元データ!$G109,AD$2&lt;=09_ガント元データ!$H109),"■",""))</f>
        <v/>
      </c>
      <c r="AE110" s="24" t="str">
        <f aca="false">IF($A110="","",IF(AND(AE$2&gt;=09_ガント元データ!$G109,AE$2&lt;=09_ガント元データ!$H109),"■",""))</f>
        <v/>
      </c>
      <c r="AF110" s="24" t="str">
        <f aca="false">IF($A110="","",IF(AND(AF$2&gt;=09_ガント元データ!$G109,AF$2&lt;=09_ガント元データ!$H109),"■",""))</f>
        <v/>
      </c>
      <c r="AG110" s="24" t="str">
        <f aca="false">IF($A110="","",IF(AND(AG$2&gt;=09_ガント元データ!$G109,AG$2&lt;=09_ガント元データ!$H109),"■",""))</f>
        <v/>
      </c>
      <c r="AH110" s="24" t="str">
        <f aca="false">IF($A110="","",IF(AND(AH$2&gt;=09_ガント元データ!$G109,AH$2&lt;=09_ガント元データ!$H109),"■",""))</f>
        <v/>
      </c>
      <c r="AI110" s="24" t="str">
        <f aca="false">IF($A110="","",IF(AND(AI$2&gt;=09_ガント元データ!$G109,AI$2&lt;=09_ガント元データ!$H109),"■",""))</f>
        <v/>
      </c>
      <c r="AJ110" s="24" t="str">
        <f aca="false">IF($A110="","",IF(AND(AJ$2&gt;=09_ガント元データ!$G109,AJ$2&lt;=09_ガント元データ!$H109),"■",""))</f>
        <v/>
      </c>
      <c r="AK110" s="24" t="str">
        <f aca="false">IF($A110="","",IF(AND(AK$2&gt;=09_ガント元データ!$G109,AK$2&lt;=09_ガント元データ!$H109),"■",""))</f>
        <v/>
      </c>
      <c r="AL110" s="24" t="str">
        <f aca="false">IF($A110="","",IF(AND(AL$2&gt;=09_ガント元データ!$G109,AL$2&lt;=09_ガント元データ!$H109),"■",""))</f>
        <v/>
      </c>
      <c r="AM110" s="24" t="str">
        <f aca="false">IF($A110="","",IF(AND(AM$2&gt;=09_ガント元データ!$G109,AM$2&lt;=09_ガント元データ!$H109),"■",""))</f>
        <v/>
      </c>
    </row>
    <row r="111" customFormat="false" ht="15" hidden="false" customHeight="false" outlineLevel="0" collapsed="false">
      <c r="A111" s="22" t="str">
        <f aca="false">09_ガント元データ!A110</f>
        <v/>
      </c>
      <c r="B111" s="22" t="str">
        <f aca="false">09_ガント元データ!B110</f>
        <v/>
      </c>
      <c r="C111" s="23" t="str">
        <f aca="false">09_ガント元データ!C110</f>
        <v/>
      </c>
      <c r="D111" s="24" t="str">
        <f aca="false">IF($A111="","",IF(AND(D$2&gt;=09_ガント元データ!$G110,D$2&lt;=09_ガント元データ!$H110),"■",""))</f>
        <v/>
      </c>
      <c r="E111" s="24" t="str">
        <f aca="false">IF($A111="","",IF(AND(E$2&gt;=09_ガント元データ!$G110,E$2&lt;=09_ガント元データ!$H110),"■",""))</f>
        <v/>
      </c>
      <c r="F111" s="24" t="str">
        <f aca="false">IF($A111="","",IF(AND(F$2&gt;=09_ガント元データ!$G110,F$2&lt;=09_ガント元データ!$H110),"■",""))</f>
        <v/>
      </c>
      <c r="G111" s="24" t="str">
        <f aca="false">IF($A111="","",IF(AND(G$2&gt;=09_ガント元データ!$G110,G$2&lt;=09_ガント元データ!$H110),"■",""))</f>
        <v/>
      </c>
      <c r="H111" s="24" t="str">
        <f aca="false">IF($A111="","",IF(AND(H$2&gt;=09_ガント元データ!$G110,H$2&lt;=09_ガント元データ!$H110),"■",""))</f>
        <v/>
      </c>
      <c r="I111" s="24" t="str">
        <f aca="false">IF($A111="","",IF(AND(I$2&gt;=09_ガント元データ!$G110,I$2&lt;=09_ガント元データ!$H110),"■",""))</f>
        <v/>
      </c>
      <c r="J111" s="24" t="str">
        <f aca="false">IF($A111="","",IF(AND(J$2&gt;=09_ガント元データ!$G110,J$2&lt;=09_ガント元データ!$H110),"■",""))</f>
        <v/>
      </c>
      <c r="K111" s="24" t="str">
        <f aca="false">IF($A111="","",IF(AND(K$2&gt;=09_ガント元データ!$G110,K$2&lt;=09_ガント元データ!$H110),"■",""))</f>
        <v/>
      </c>
      <c r="L111" s="24" t="str">
        <f aca="false">IF($A111="","",IF(AND(L$2&gt;=09_ガント元データ!$G110,L$2&lt;=09_ガント元データ!$H110),"■",""))</f>
        <v/>
      </c>
      <c r="M111" s="24" t="str">
        <f aca="false">IF($A111="","",IF(AND(M$2&gt;=09_ガント元データ!$G110,M$2&lt;=09_ガント元データ!$H110),"■",""))</f>
        <v/>
      </c>
      <c r="N111" s="24" t="str">
        <f aca="false">IF($A111="","",IF(AND(N$2&gt;=09_ガント元データ!$G110,N$2&lt;=09_ガント元データ!$H110),"■",""))</f>
        <v/>
      </c>
      <c r="O111" s="24" t="str">
        <f aca="false">IF($A111="","",IF(AND(O$2&gt;=09_ガント元データ!$G110,O$2&lt;=09_ガント元データ!$H110),"■",""))</f>
        <v/>
      </c>
      <c r="P111" s="24" t="str">
        <f aca="false">IF($A111="","",IF(AND(P$2&gt;=09_ガント元データ!$G110,P$2&lt;=09_ガント元データ!$H110),"■",""))</f>
        <v/>
      </c>
      <c r="Q111" s="24" t="str">
        <f aca="false">IF($A111="","",IF(AND(Q$2&gt;=09_ガント元データ!$G110,Q$2&lt;=09_ガント元データ!$H110),"■",""))</f>
        <v/>
      </c>
      <c r="R111" s="24" t="str">
        <f aca="false">IF($A111="","",IF(AND(R$2&gt;=09_ガント元データ!$G110,R$2&lt;=09_ガント元データ!$H110),"■",""))</f>
        <v/>
      </c>
      <c r="S111" s="24" t="str">
        <f aca="false">IF($A111="","",IF(AND(S$2&gt;=09_ガント元データ!$G110,S$2&lt;=09_ガント元データ!$H110),"■",""))</f>
        <v/>
      </c>
      <c r="T111" s="24" t="str">
        <f aca="false">IF($A111="","",IF(AND(T$2&gt;=09_ガント元データ!$G110,T$2&lt;=09_ガント元データ!$H110),"■",""))</f>
        <v/>
      </c>
      <c r="U111" s="24" t="str">
        <f aca="false">IF($A111="","",IF(AND(U$2&gt;=09_ガント元データ!$G110,U$2&lt;=09_ガント元データ!$H110),"■",""))</f>
        <v/>
      </c>
      <c r="V111" s="24" t="str">
        <f aca="false">IF($A111="","",IF(AND(V$2&gt;=09_ガント元データ!$G110,V$2&lt;=09_ガント元データ!$H110),"■",""))</f>
        <v/>
      </c>
      <c r="W111" s="24" t="str">
        <f aca="false">IF($A111="","",IF(AND(W$2&gt;=09_ガント元データ!$G110,W$2&lt;=09_ガント元データ!$H110),"■",""))</f>
        <v/>
      </c>
      <c r="X111" s="24" t="str">
        <f aca="false">IF($A111="","",IF(AND(X$2&gt;=09_ガント元データ!$G110,X$2&lt;=09_ガント元データ!$H110),"■",""))</f>
        <v/>
      </c>
      <c r="Y111" s="24" t="str">
        <f aca="false">IF($A111="","",IF(AND(Y$2&gt;=09_ガント元データ!$G110,Y$2&lt;=09_ガント元データ!$H110),"■",""))</f>
        <v/>
      </c>
      <c r="Z111" s="24" t="str">
        <f aca="false">IF($A111="","",IF(AND(Z$2&gt;=09_ガント元データ!$G110,Z$2&lt;=09_ガント元データ!$H110),"■",""))</f>
        <v/>
      </c>
      <c r="AA111" s="24" t="str">
        <f aca="false">IF($A111="","",IF(AND(AA$2&gt;=09_ガント元データ!$G110,AA$2&lt;=09_ガント元データ!$H110),"■",""))</f>
        <v/>
      </c>
      <c r="AB111" s="24" t="str">
        <f aca="false">IF($A111="","",IF(AND(AB$2&gt;=09_ガント元データ!$G110,AB$2&lt;=09_ガント元データ!$H110),"■",""))</f>
        <v/>
      </c>
      <c r="AC111" s="24" t="str">
        <f aca="false">IF($A111="","",IF(AND(AC$2&gt;=09_ガント元データ!$G110,AC$2&lt;=09_ガント元データ!$H110),"■",""))</f>
        <v/>
      </c>
      <c r="AD111" s="24" t="str">
        <f aca="false">IF($A111="","",IF(AND(AD$2&gt;=09_ガント元データ!$G110,AD$2&lt;=09_ガント元データ!$H110),"■",""))</f>
        <v/>
      </c>
      <c r="AE111" s="24" t="str">
        <f aca="false">IF($A111="","",IF(AND(AE$2&gt;=09_ガント元データ!$G110,AE$2&lt;=09_ガント元データ!$H110),"■",""))</f>
        <v/>
      </c>
      <c r="AF111" s="24" t="str">
        <f aca="false">IF($A111="","",IF(AND(AF$2&gt;=09_ガント元データ!$G110,AF$2&lt;=09_ガント元データ!$H110),"■",""))</f>
        <v/>
      </c>
      <c r="AG111" s="24" t="str">
        <f aca="false">IF($A111="","",IF(AND(AG$2&gt;=09_ガント元データ!$G110,AG$2&lt;=09_ガント元データ!$H110),"■",""))</f>
        <v/>
      </c>
      <c r="AH111" s="24" t="str">
        <f aca="false">IF($A111="","",IF(AND(AH$2&gt;=09_ガント元データ!$G110,AH$2&lt;=09_ガント元データ!$H110),"■",""))</f>
        <v/>
      </c>
      <c r="AI111" s="24" t="str">
        <f aca="false">IF($A111="","",IF(AND(AI$2&gt;=09_ガント元データ!$G110,AI$2&lt;=09_ガント元データ!$H110),"■",""))</f>
        <v/>
      </c>
      <c r="AJ111" s="24" t="str">
        <f aca="false">IF($A111="","",IF(AND(AJ$2&gt;=09_ガント元データ!$G110,AJ$2&lt;=09_ガント元データ!$H110),"■",""))</f>
        <v/>
      </c>
      <c r="AK111" s="24" t="str">
        <f aca="false">IF($A111="","",IF(AND(AK$2&gt;=09_ガント元データ!$G110,AK$2&lt;=09_ガント元データ!$H110),"■",""))</f>
        <v/>
      </c>
      <c r="AL111" s="24" t="str">
        <f aca="false">IF($A111="","",IF(AND(AL$2&gt;=09_ガント元データ!$G110,AL$2&lt;=09_ガント元データ!$H110),"■",""))</f>
        <v/>
      </c>
      <c r="AM111" s="24" t="str">
        <f aca="false">IF($A111="","",IF(AND(AM$2&gt;=09_ガント元データ!$G110,AM$2&lt;=09_ガント元データ!$H110),"■",""))</f>
        <v/>
      </c>
    </row>
    <row r="112" customFormat="false" ht="15" hidden="false" customHeight="false" outlineLevel="0" collapsed="false">
      <c r="A112" s="22" t="str">
        <f aca="false">09_ガント元データ!A111</f>
        <v/>
      </c>
      <c r="B112" s="22" t="str">
        <f aca="false">09_ガント元データ!B111</f>
        <v/>
      </c>
      <c r="C112" s="23" t="str">
        <f aca="false">09_ガント元データ!C111</f>
        <v/>
      </c>
      <c r="D112" s="24" t="str">
        <f aca="false">IF($A112="","",IF(AND(D$2&gt;=09_ガント元データ!$G111,D$2&lt;=09_ガント元データ!$H111),"■",""))</f>
        <v/>
      </c>
      <c r="E112" s="24" t="str">
        <f aca="false">IF($A112="","",IF(AND(E$2&gt;=09_ガント元データ!$G111,E$2&lt;=09_ガント元データ!$H111),"■",""))</f>
        <v/>
      </c>
      <c r="F112" s="24" t="str">
        <f aca="false">IF($A112="","",IF(AND(F$2&gt;=09_ガント元データ!$G111,F$2&lt;=09_ガント元データ!$H111),"■",""))</f>
        <v/>
      </c>
      <c r="G112" s="24" t="str">
        <f aca="false">IF($A112="","",IF(AND(G$2&gt;=09_ガント元データ!$G111,G$2&lt;=09_ガント元データ!$H111),"■",""))</f>
        <v/>
      </c>
      <c r="H112" s="24" t="str">
        <f aca="false">IF($A112="","",IF(AND(H$2&gt;=09_ガント元データ!$G111,H$2&lt;=09_ガント元データ!$H111),"■",""))</f>
        <v/>
      </c>
      <c r="I112" s="24" t="str">
        <f aca="false">IF($A112="","",IF(AND(I$2&gt;=09_ガント元データ!$G111,I$2&lt;=09_ガント元データ!$H111),"■",""))</f>
        <v/>
      </c>
      <c r="J112" s="24" t="str">
        <f aca="false">IF($A112="","",IF(AND(J$2&gt;=09_ガント元データ!$G111,J$2&lt;=09_ガント元データ!$H111),"■",""))</f>
        <v/>
      </c>
      <c r="K112" s="24" t="str">
        <f aca="false">IF($A112="","",IF(AND(K$2&gt;=09_ガント元データ!$G111,K$2&lt;=09_ガント元データ!$H111),"■",""))</f>
        <v/>
      </c>
      <c r="L112" s="24" t="str">
        <f aca="false">IF($A112="","",IF(AND(L$2&gt;=09_ガント元データ!$G111,L$2&lt;=09_ガント元データ!$H111),"■",""))</f>
        <v/>
      </c>
      <c r="M112" s="24" t="str">
        <f aca="false">IF($A112="","",IF(AND(M$2&gt;=09_ガント元データ!$G111,M$2&lt;=09_ガント元データ!$H111),"■",""))</f>
        <v/>
      </c>
      <c r="N112" s="24" t="str">
        <f aca="false">IF($A112="","",IF(AND(N$2&gt;=09_ガント元データ!$G111,N$2&lt;=09_ガント元データ!$H111),"■",""))</f>
        <v/>
      </c>
      <c r="O112" s="24" t="str">
        <f aca="false">IF($A112="","",IF(AND(O$2&gt;=09_ガント元データ!$G111,O$2&lt;=09_ガント元データ!$H111),"■",""))</f>
        <v/>
      </c>
      <c r="P112" s="24" t="str">
        <f aca="false">IF($A112="","",IF(AND(P$2&gt;=09_ガント元データ!$G111,P$2&lt;=09_ガント元データ!$H111),"■",""))</f>
        <v/>
      </c>
      <c r="Q112" s="24" t="str">
        <f aca="false">IF($A112="","",IF(AND(Q$2&gt;=09_ガント元データ!$G111,Q$2&lt;=09_ガント元データ!$H111),"■",""))</f>
        <v/>
      </c>
      <c r="R112" s="24" t="str">
        <f aca="false">IF($A112="","",IF(AND(R$2&gt;=09_ガント元データ!$G111,R$2&lt;=09_ガント元データ!$H111),"■",""))</f>
        <v/>
      </c>
      <c r="S112" s="24" t="str">
        <f aca="false">IF($A112="","",IF(AND(S$2&gt;=09_ガント元データ!$G111,S$2&lt;=09_ガント元データ!$H111),"■",""))</f>
        <v/>
      </c>
      <c r="T112" s="24" t="str">
        <f aca="false">IF($A112="","",IF(AND(T$2&gt;=09_ガント元データ!$G111,T$2&lt;=09_ガント元データ!$H111),"■",""))</f>
        <v/>
      </c>
      <c r="U112" s="24" t="str">
        <f aca="false">IF($A112="","",IF(AND(U$2&gt;=09_ガント元データ!$G111,U$2&lt;=09_ガント元データ!$H111),"■",""))</f>
        <v/>
      </c>
      <c r="V112" s="24" t="str">
        <f aca="false">IF($A112="","",IF(AND(V$2&gt;=09_ガント元データ!$G111,V$2&lt;=09_ガント元データ!$H111),"■",""))</f>
        <v/>
      </c>
      <c r="W112" s="24" t="str">
        <f aca="false">IF($A112="","",IF(AND(W$2&gt;=09_ガント元データ!$G111,W$2&lt;=09_ガント元データ!$H111),"■",""))</f>
        <v/>
      </c>
      <c r="X112" s="24" t="str">
        <f aca="false">IF($A112="","",IF(AND(X$2&gt;=09_ガント元データ!$G111,X$2&lt;=09_ガント元データ!$H111),"■",""))</f>
        <v/>
      </c>
      <c r="Y112" s="24" t="str">
        <f aca="false">IF($A112="","",IF(AND(Y$2&gt;=09_ガント元データ!$G111,Y$2&lt;=09_ガント元データ!$H111),"■",""))</f>
        <v/>
      </c>
      <c r="Z112" s="24" t="str">
        <f aca="false">IF($A112="","",IF(AND(Z$2&gt;=09_ガント元データ!$G111,Z$2&lt;=09_ガント元データ!$H111),"■",""))</f>
        <v/>
      </c>
      <c r="AA112" s="24" t="str">
        <f aca="false">IF($A112="","",IF(AND(AA$2&gt;=09_ガント元データ!$G111,AA$2&lt;=09_ガント元データ!$H111),"■",""))</f>
        <v/>
      </c>
      <c r="AB112" s="24" t="str">
        <f aca="false">IF($A112="","",IF(AND(AB$2&gt;=09_ガント元データ!$G111,AB$2&lt;=09_ガント元データ!$H111),"■",""))</f>
        <v/>
      </c>
      <c r="AC112" s="24" t="str">
        <f aca="false">IF($A112="","",IF(AND(AC$2&gt;=09_ガント元データ!$G111,AC$2&lt;=09_ガント元データ!$H111),"■",""))</f>
        <v/>
      </c>
      <c r="AD112" s="24" t="str">
        <f aca="false">IF($A112="","",IF(AND(AD$2&gt;=09_ガント元データ!$G111,AD$2&lt;=09_ガント元データ!$H111),"■",""))</f>
        <v/>
      </c>
      <c r="AE112" s="24" t="str">
        <f aca="false">IF($A112="","",IF(AND(AE$2&gt;=09_ガント元データ!$G111,AE$2&lt;=09_ガント元データ!$H111),"■",""))</f>
        <v/>
      </c>
      <c r="AF112" s="24" t="str">
        <f aca="false">IF($A112="","",IF(AND(AF$2&gt;=09_ガント元データ!$G111,AF$2&lt;=09_ガント元データ!$H111),"■",""))</f>
        <v/>
      </c>
      <c r="AG112" s="24" t="str">
        <f aca="false">IF($A112="","",IF(AND(AG$2&gt;=09_ガント元データ!$G111,AG$2&lt;=09_ガント元データ!$H111),"■",""))</f>
        <v/>
      </c>
      <c r="AH112" s="24" t="str">
        <f aca="false">IF($A112="","",IF(AND(AH$2&gt;=09_ガント元データ!$G111,AH$2&lt;=09_ガント元データ!$H111),"■",""))</f>
        <v/>
      </c>
      <c r="AI112" s="24" t="str">
        <f aca="false">IF($A112="","",IF(AND(AI$2&gt;=09_ガント元データ!$G111,AI$2&lt;=09_ガント元データ!$H111),"■",""))</f>
        <v/>
      </c>
      <c r="AJ112" s="24" t="str">
        <f aca="false">IF($A112="","",IF(AND(AJ$2&gt;=09_ガント元データ!$G111,AJ$2&lt;=09_ガント元データ!$H111),"■",""))</f>
        <v/>
      </c>
      <c r="AK112" s="24" t="str">
        <f aca="false">IF($A112="","",IF(AND(AK$2&gt;=09_ガント元データ!$G111,AK$2&lt;=09_ガント元データ!$H111),"■",""))</f>
        <v/>
      </c>
      <c r="AL112" s="24" t="str">
        <f aca="false">IF($A112="","",IF(AND(AL$2&gt;=09_ガント元データ!$G111,AL$2&lt;=09_ガント元データ!$H111),"■",""))</f>
        <v/>
      </c>
      <c r="AM112" s="24" t="str">
        <f aca="false">IF($A112="","",IF(AND(AM$2&gt;=09_ガント元データ!$G111,AM$2&lt;=09_ガント元データ!$H111),"■",""))</f>
        <v/>
      </c>
    </row>
    <row r="113" customFormat="false" ht="15" hidden="false" customHeight="false" outlineLevel="0" collapsed="false">
      <c r="A113" s="22" t="str">
        <f aca="false">09_ガント元データ!A112</f>
        <v/>
      </c>
      <c r="B113" s="22" t="str">
        <f aca="false">09_ガント元データ!B112</f>
        <v/>
      </c>
      <c r="C113" s="23" t="str">
        <f aca="false">09_ガント元データ!C112</f>
        <v/>
      </c>
      <c r="D113" s="24" t="str">
        <f aca="false">IF($A113="","",IF(AND(D$2&gt;=09_ガント元データ!$G112,D$2&lt;=09_ガント元データ!$H112),"■",""))</f>
        <v/>
      </c>
      <c r="E113" s="24" t="str">
        <f aca="false">IF($A113="","",IF(AND(E$2&gt;=09_ガント元データ!$G112,E$2&lt;=09_ガント元データ!$H112),"■",""))</f>
        <v/>
      </c>
      <c r="F113" s="24" t="str">
        <f aca="false">IF($A113="","",IF(AND(F$2&gt;=09_ガント元データ!$G112,F$2&lt;=09_ガント元データ!$H112),"■",""))</f>
        <v/>
      </c>
      <c r="G113" s="24" t="str">
        <f aca="false">IF($A113="","",IF(AND(G$2&gt;=09_ガント元データ!$G112,G$2&lt;=09_ガント元データ!$H112),"■",""))</f>
        <v/>
      </c>
      <c r="H113" s="24" t="str">
        <f aca="false">IF($A113="","",IF(AND(H$2&gt;=09_ガント元データ!$G112,H$2&lt;=09_ガント元データ!$H112),"■",""))</f>
        <v/>
      </c>
      <c r="I113" s="24" t="str">
        <f aca="false">IF($A113="","",IF(AND(I$2&gt;=09_ガント元データ!$G112,I$2&lt;=09_ガント元データ!$H112),"■",""))</f>
        <v/>
      </c>
      <c r="J113" s="24" t="str">
        <f aca="false">IF($A113="","",IF(AND(J$2&gt;=09_ガント元データ!$G112,J$2&lt;=09_ガント元データ!$H112),"■",""))</f>
        <v/>
      </c>
      <c r="K113" s="24" t="str">
        <f aca="false">IF($A113="","",IF(AND(K$2&gt;=09_ガント元データ!$G112,K$2&lt;=09_ガント元データ!$H112),"■",""))</f>
        <v/>
      </c>
      <c r="L113" s="24" t="str">
        <f aca="false">IF($A113="","",IF(AND(L$2&gt;=09_ガント元データ!$G112,L$2&lt;=09_ガント元データ!$H112),"■",""))</f>
        <v/>
      </c>
      <c r="M113" s="24" t="str">
        <f aca="false">IF($A113="","",IF(AND(M$2&gt;=09_ガント元データ!$G112,M$2&lt;=09_ガント元データ!$H112),"■",""))</f>
        <v/>
      </c>
      <c r="N113" s="24" t="str">
        <f aca="false">IF($A113="","",IF(AND(N$2&gt;=09_ガント元データ!$G112,N$2&lt;=09_ガント元データ!$H112),"■",""))</f>
        <v/>
      </c>
      <c r="O113" s="24" t="str">
        <f aca="false">IF($A113="","",IF(AND(O$2&gt;=09_ガント元データ!$G112,O$2&lt;=09_ガント元データ!$H112),"■",""))</f>
        <v/>
      </c>
      <c r="P113" s="24" t="str">
        <f aca="false">IF($A113="","",IF(AND(P$2&gt;=09_ガント元データ!$G112,P$2&lt;=09_ガント元データ!$H112),"■",""))</f>
        <v/>
      </c>
      <c r="Q113" s="24" t="str">
        <f aca="false">IF($A113="","",IF(AND(Q$2&gt;=09_ガント元データ!$G112,Q$2&lt;=09_ガント元データ!$H112),"■",""))</f>
        <v/>
      </c>
      <c r="R113" s="24" t="str">
        <f aca="false">IF($A113="","",IF(AND(R$2&gt;=09_ガント元データ!$G112,R$2&lt;=09_ガント元データ!$H112),"■",""))</f>
        <v/>
      </c>
      <c r="S113" s="24" t="str">
        <f aca="false">IF($A113="","",IF(AND(S$2&gt;=09_ガント元データ!$G112,S$2&lt;=09_ガント元データ!$H112),"■",""))</f>
        <v/>
      </c>
      <c r="T113" s="24" t="str">
        <f aca="false">IF($A113="","",IF(AND(T$2&gt;=09_ガント元データ!$G112,T$2&lt;=09_ガント元データ!$H112),"■",""))</f>
        <v/>
      </c>
      <c r="U113" s="24" t="str">
        <f aca="false">IF($A113="","",IF(AND(U$2&gt;=09_ガント元データ!$G112,U$2&lt;=09_ガント元データ!$H112),"■",""))</f>
        <v/>
      </c>
      <c r="V113" s="24" t="str">
        <f aca="false">IF($A113="","",IF(AND(V$2&gt;=09_ガント元データ!$G112,V$2&lt;=09_ガント元データ!$H112),"■",""))</f>
        <v/>
      </c>
      <c r="W113" s="24" t="str">
        <f aca="false">IF($A113="","",IF(AND(W$2&gt;=09_ガント元データ!$G112,W$2&lt;=09_ガント元データ!$H112),"■",""))</f>
        <v/>
      </c>
      <c r="X113" s="24" t="str">
        <f aca="false">IF($A113="","",IF(AND(X$2&gt;=09_ガント元データ!$G112,X$2&lt;=09_ガント元データ!$H112),"■",""))</f>
        <v/>
      </c>
      <c r="Y113" s="24" t="str">
        <f aca="false">IF($A113="","",IF(AND(Y$2&gt;=09_ガント元データ!$G112,Y$2&lt;=09_ガント元データ!$H112),"■",""))</f>
        <v/>
      </c>
      <c r="Z113" s="24" t="str">
        <f aca="false">IF($A113="","",IF(AND(Z$2&gt;=09_ガント元データ!$G112,Z$2&lt;=09_ガント元データ!$H112),"■",""))</f>
        <v/>
      </c>
      <c r="AA113" s="24" t="str">
        <f aca="false">IF($A113="","",IF(AND(AA$2&gt;=09_ガント元データ!$G112,AA$2&lt;=09_ガント元データ!$H112),"■",""))</f>
        <v/>
      </c>
      <c r="AB113" s="24" t="str">
        <f aca="false">IF($A113="","",IF(AND(AB$2&gt;=09_ガント元データ!$G112,AB$2&lt;=09_ガント元データ!$H112),"■",""))</f>
        <v/>
      </c>
      <c r="AC113" s="24" t="str">
        <f aca="false">IF($A113="","",IF(AND(AC$2&gt;=09_ガント元データ!$G112,AC$2&lt;=09_ガント元データ!$H112),"■",""))</f>
        <v/>
      </c>
      <c r="AD113" s="24" t="str">
        <f aca="false">IF($A113="","",IF(AND(AD$2&gt;=09_ガント元データ!$G112,AD$2&lt;=09_ガント元データ!$H112),"■",""))</f>
        <v/>
      </c>
      <c r="AE113" s="24" t="str">
        <f aca="false">IF($A113="","",IF(AND(AE$2&gt;=09_ガント元データ!$G112,AE$2&lt;=09_ガント元データ!$H112),"■",""))</f>
        <v/>
      </c>
      <c r="AF113" s="24" t="str">
        <f aca="false">IF($A113="","",IF(AND(AF$2&gt;=09_ガント元データ!$G112,AF$2&lt;=09_ガント元データ!$H112),"■",""))</f>
        <v/>
      </c>
      <c r="AG113" s="24" t="str">
        <f aca="false">IF($A113="","",IF(AND(AG$2&gt;=09_ガント元データ!$G112,AG$2&lt;=09_ガント元データ!$H112),"■",""))</f>
        <v/>
      </c>
      <c r="AH113" s="24" t="str">
        <f aca="false">IF($A113="","",IF(AND(AH$2&gt;=09_ガント元データ!$G112,AH$2&lt;=09_ガント元データ!$H112),"■",""))</f>
        <v/>
      </c>
      <c r="AI113" s="24" t="str">
        <f aca="false">IF($A113="","",IF(AND(AI$2&gt;=09_ガント元データ!$G112,AI$2&lt;=09_ガント元データ!$H112),"■",""))</f>
        <v/>
      </c>
      <c r="AJ113" s="24" t="str">
        <f aca="false">IF($A113="","",IF(AND(AJ$2&gt;=09_ガント元データ!$G112,AJ$2&lt;=09_ガント元データ!$H112),"■",""))</f>
        <v/>
      </c>
      <c r="AK113" s="24" t="str">
        <f aca="false">IF($A113="","",IF(AND(AK$2&gt;=09_ガント元データ!$G112,AK$2&lt;=09_ガント元データ!$H112),"■",""))</f>
        <v/>
      </c>
      <c r="AL113" s="24" t="str">
        <f aca="false">IF($A113="","",IF(AND(AL$2&gt;=09_ガント元データ!$G112,AL$2&lt;=09_ガント元データ!$H112),"■",""))</f>
        <v/>
      </c>
      <c r="AM113" s="24" t="str">
        <f aca="false">IF($A113="","",IF(AND(AM$2&gt;=09_ガント元データ!$G112,AM$2&lt;=09_ガント元データ!$H112),"■",""))</f>
        <v/>
      </c>
    </row>
    <row r="114" customFormat="false" ht="15" hidden="false" customHeight="false" outlineLevel="0" collapsed="false">
      <c r="A114" s="22" t="str">
        <f aca="false">09_ガント元データ!A113</f>
        <v/>
      </c>
      <c r="B114" s="22" t="str">
        <f aca="false">09_ガント元データ!B113</f>
        <v/>
      </c>
      <c r="C114" s="23" t="str">
        <f aca="false">09_ガント元データ!C113</f>
        <v/>
      </c>
      <c r="D114" s="24" t="str">
        <f aca="false">IF($A114="","",IF(AND(D$2&gt;=09_ガント元データ!$G113,D$2&lt;=09_ガント元データ!$H113),"■",""))</f>
        <v/>
      </c>
      <c r="E114" s="24" t="str">
        <f aca="false">IF($A114="","",IF(AND(E$2&gt;=09_ガント元データ!$G113,E$2&lt;=09_ガント元データ!$H113),"■",""))</f>
        <v/>
      </c>
      <c r="F114" s="24" t="str">
        <f aca="false">IF($A114="","",IF(AND(F$2&gt;=09_ガント元データ!$G113,F$2&lt;=09_ガント元データ!$H113),"■",""))</f>
        <v/>
      </c>
      <c r="G114" s="24" t="str">
        <f aca="false">IF($A114="","",IF(AND(G$2&gt;=09_ガント元データ!$G113,G$2&lt;=09_ガント元データ!$H113),"■",""))</f>
        <v/>
      </c>
      <c r="H114" s="24" t="str">
        <f aca="false">IF($A114="","",IF(AND(H$2&gt;=09_ガント元データ!$G113,H$2&lt;=09_ガント元データ!$H113),"■",""))</f>
        <v/>
      </c>
      <c r="I114" s="24" t="str">
        <f aca="false">IF($A114="","",IF(AND(I$2&gt;=09_ガント元データ!$G113,I$2&lt;=09_ガント元データ!$H113),"■",""))</f>
        <v/>
      </c>
      <c r="J114" s="24" t="str">
        <f aca="false">IF($A114="","",IF(AND(J$2&gt;=09_ガント元データ!$G113,J$2&lt;=09_ガント元データ!$H113),"■",""))</f>
        <v/>
      </c>
      <c r="K114" s="24" t="str">
        <f aca="false">IF($A114="","",IF(AND(K$2&gt;=09_ガント元データ!$G113,K$2&lt;=09_ガント元データ!$H113),"■",""))</f>
        <v/>
      </c>
      <c r="L114" s="24" t="str">
        <f aca="false">IF($A114="","",IF(AND(L$2&gt;=09_ガント元データ!$G113,L$2&lt;=09_ガント元データ!$H113),"■",""))</f>
        <v/>
      </c>
      <c r="M114" s="24" t="str">
        <f aca="false">IF($A114="","",IF(AND(M$2&gt;=09_ガント元データ!$G113,M$2&lt;=09_ガント元データ!$H113),"■",""))</f>
        <v/>
      </c>
      <c r="N114" s="24" t="str">
        <f aca="false">IF($A114="","",IF(AND(N$2&gt;=09_ガント元データ!$G113,N$2&lt;=09_ガント元データ!$H113),"■",""))</f>
        <v/>
      </c>
      <c r="O114" s="24" t="str">
        <f aca="false">IF($A114="","",IF(AND(O$2&gt;=09_ガント元データ!$G113,O$2&lt;=09_ガント元データ!$H113),"■",""))</f>
        <v/>
      </c>
      <c r="P114" s="24" t="str">
        <f aca="false">IF($A114="","",IF(AND(P$2&gt;=09_ガント元データ!$G113,P$2&lt;=09_ガント元データ!$H113),"■",""))</f>
        <v/>
      </c>
      <c r="Q114" s="24" t="str">
        <f aca="false">IF($A114="","",IF(AND(Q$2&gt;=09_ガント元データ!$G113,Q$2&lt;=09_ガント元データ!$H113),"■",""))</f>
        <v/>
      </c>
      <c r="R114" s="24" t="str">
        <f aca="false">IF($A114="","",IF(AND(R$2&gt;=09_ガント元データ!$G113,R$2&lt;=09_ガント元データ!$H113),"■",""))</f>
        <v/>
      </c>
      <c r="S114" s="24" t="str">
        <f aca="false">IF($A114="","",IF(AND(S$2&gt;=09_ガント元データ!$G113,S$2&lt;=09_ガント元データ!$H113),"■",""))</f>
        <v/>
      </c>
      <c r="T114" s="24" t="str">
        <f aca="false">IF($A114="","",IF(AND(T$2&gt;=09_ガント元データ!$G113,T$2&lt;=09_ガント元データ!$H113),"■",""))</f>
        <v/>
      </c>
      <c r="U114" s="24" t="str">
        <f aca="false">IF($A114="","",IF(AND(U$2&gt;=09_ガント元データ!$G113,U$2&lt;=09_ガント元データ!$H113),"■",""))</f>
        <v/>
      </c>
      <c r="V114" s="24" t="str">
        <f aca="false">IF($A114="","",IF(AND(V$2&gt;=09_ガント元データ!$G113,V$2&lt;=09_ガント元データ!$H113),"■",""))</f>
        <v/>
      </c>
      <c r="W114" s="24" t="str">
        <f aca="false">IF($A114="","",IF(AND(W$2&gt;=09_ガント元データ!$G113,W$2&lt;=09_ガント元データ!$H113),"■",""))</f>
        <v/>
      </c>
      <c r="X114" s="24" t="str">
        <f aca="false">IF($A114="","",IF(AND(X$2&gt;=09_ガント元データ!$G113,X$2&lt;=09_ガント元データ!$H113),"■",""))</f>
        <v/>
      </c>
      <c r="Y114" s="24" t="str">
        <f aca="false">IF($A114="","",IF(AND(Y$2&gt;=09_ガント元データ!$G113,Y$2&lt;=09_ガント元データ!$H113),"■",""))</f>
        <v/>
      </c>
      <c r="Z114" s="24" t="str">
        <f aca="false">IF($A114="","",IF(AND(Z$2&gt;=09_ガント元データ!$G113,Z$2&lt;=09_ガント元データ!$H113),"■",""))</f>
        <v/>
      </c>
      <c r="AA114" s="24" t="str">
        <f aca="false">IF($A114="","",IF(AND(AA$2&gt;=09_ガント元データ!$G113,AA$2&lt;=09_ガント元データ!$H113),"■",""))</f>
        <v/>
      </c>
      <c r="AB114" s="24" t="str">
        <f aca="false">IF($A114="","",IF(AND(AB$2&gt;=09_ガント元データ!$G113,AB$2&lt;=09_ガント元データ!$H113),"■",""))</f>
        <v/>
      </c>
      <c r="AC114" s="24" t="str">
        <f aca="false">IF($A114="","",IF(AND(AC$2&gt;=09_ガント元データ!$G113,AC$2&lt;=09_ガント元データ!$H113),"■",""))</f>
        <v/>
      </c>
      <c r="AD114" s="24" t="str">
        <f aca="false">IF($A114="","",IF(AND(AD$2&gt;=09_ガント元データ!$G113,AD$2&lt;=09_ガント元データ!$H113),"■",""))</f>
        <v/>
      </c>
      <c r="AE114" s="24" t="str">
        <f aca="false">IF($A114="","",IF(AND(AE$2&gt;=09_ガント元データ!$G113,AE$2&lt;=09_ガント元データ!$H113),"■",""))</f>
        <v/>
      </c>
      <c r="AF114" s="24" t="str">
        <f aca="false">IF($A114="","",IF(AND(AF$2&gt;=09_ガント元データ!$G113,AF$2&lt;=09_ガント元データ!$H113),"■",""))</f>
        <v/>
      </c>
      <c r="AG114" s="24" t="str">
        <f aca="false">IF($A114="","",IF(AND(AG$2&gt;=09_ガント元データ!$G113,AG$2&lt;=09_ガント元データ!$H113),"■",""))</f>
        <v/>
      </c>
      <c r="AH114" s="24" t="str">
        <f aca="false">IF($A114="","",IF(AND(AH$2&gt;=09_ガント元データ!$G113,AH$2&lt;=09_ガント元データ!$H113),"■",""))</f>
        <v/>
      </c>
      <c r="AI114" s="24" t="str">
        <f aca="false">IF($A114="","",IF(AND(AI$2&gt;=09_ガント元データ!$G113,AI$2&lt;=09_ガント元データ!$H113),"■",""))</f>
        <v/>
      </c>
      <c r="AJ114" s="24" t="str">
        <f aca="false">IF($A114="","",IF(AND(AJ$2&gt;=09_ガント元データ!$G113,AJ$2&lt;=09_ガント元データ!$H113),"■",""))</f>
        <v/>
      </c>
      <c r="AK114" s="24" t="str">
        <f aca="false">IF($A114="","",IF(AND(AK$2&gt;=09_ガント元データ!$G113,AK$2&lt;=09_ガント元データ!$H113),"■",""))</f>
        <v/>
      </c>
      <c r="AL114" s="24" t="str">
        <f aca="false">IF($A114="","",IF(AND(AL$2&gt;=09_ガント元データ!$G113,AL$2&lt;=09_ガント元データ!$H113),"■",""))</f>
        <v/>
      </c>
      <c r="AM114" s="24" t="str">
        <f aca="false">IF($A114="","",IF(AND(AM$2&gt;=09_ガント元データ!$G113,AM$2&lt;=09_ガント元データ!$H113),"■",""))</f>
        <v/>
      </c>
    </row>
    <row r="115" customFormat="false" ht="15" hidden="false" customHeight="false" outlineLevel="0" collapsed="false">
      <c r="A115" s="22" t="str">
        <f aca="false">09_ガント元データ!A114</f>
        <v/>
      </c>
      <c r="B115" s="22" t="str">
        <f aca="false">09_ガント元データ!B114</f>
        <v/>
      </c>
      <c r="C115" s="23" t="str">
        <f aca="false">09_ガント元データ!C114</f>
        <v/>
      </c>
      <c r="D115" s="24" t="str">
        <f aca="false">IF($A115="","",IF(AND(D$2&gt;=09_ガント元データ!$G114,D$2&lt;=09_ガント元データ!$H114),"■",""))</f>
        <v/>
      </c>
      <c r="E115" s="24" t="str">
        <f aca="false">IF($A115="","",IF(AND(E$2&gt;=09_ガント元データ!$G114,E$2&lt;=09_ガント元データ!$H114),"■",""))</f>
        <v/>
      </c>
      <c r="F115" s="24" t="str">
        <f aca="false">IF($A115="","",IF(AND(F$2&gt;=09_ガント元データ!$G114,F$2&lt;=09_ガント元データ!$H114),"■",""))</f>
        <v/>
      </c>
      <c r="G115" s="24" t="str">
        <f aca="false">IF($A115="","",IF(AND(G$2&gt;=09_ガント元データ!$G114,G$2&lt;=09_ガント元データ!$H114),"■",""))</f>
        <v/>
      </c>
      <c r="H115" s="24" t="str">
        <f aca="false">IF($A115="","",IF(AND(H$2&gt;=09_ガント元データ!$G114,H$2&lt;=09_ガント元データ!$H114),"■",""))</f>
        <v/>
      </c>
      <c r="I115" s="24" t="str">
        <f aca="false">IF($A115="","",IF(AND(I$2&gt;=09_ガント元データ!$G114,I$2&lt;=09_ガント元データ!$H114),"■",""))</f>
        <v/>
      </c>
      <c r="J115" s="24" t="str">
        <f aca="false">IF($A115="","",IF(AND(J$2&gt;=09_ガント元データ!$G114,J$2&lt;=09_ガント元データ!$H114),"■",""))</f>
        <v/>
      </c>
      <c r="K115" s="24" t="str">
        <f aca="false">IF($A115="","",IF(AND(K$2&gt;=09_ガント元データ!$G114,K$2&lt;=09_ガント元データ!$H114),"■",""))</f>
        <v/>
      </c>
      <c r="L115" s="24" t="str">
        <f aca="false">IF($A115="","",IF(AND(L$2&gt;=09_ガント元データ!$G114,L$2&lt;=09_ガント元データ!$H114),"■",""))</f>
        <v/>
      </c>
      <c r="M115" s="24" t="str">
        <f aca="false">IF($A115="","",IF(AND(M$2&gt;=09_ガント元データ!$G114,M$2&lt;=09_ガント元データ!$H114),"■",""))</f>
        <v/>
      </c>
      <c r="N115" s="24" t="str">
        <f aca="false">IF($A115="","",IF(AND(N$2&gt;=09_ガント元データ!$G114,N$2&lt;=09_ガント元データ!$H114),"■",""))</f>
        <v/>
      </c>
      <c r="O115" s="24" t="str">
        <f aca="false">IF($A115="","",IF(AND(O$2&gt;=09_ガント元データ!$G114,O$2&lt;=09_ガント元データ!$H114),"■",""))</f>
        <v/>
      </c>
      <c r="P115" s="24" t="str">
        <f aca="false">IF($A115="","",IF(AND(P$2&gt;=09_ガント元データ!$G114,P$2&lt;=09_ガント元データ!$H114),"■",""))</f>
        <v/>
      </c>
      <c r="Q115" s="24" t="str">
        <f aca="false">IF($A115="","",IF(AND(Q$2&gt;=09_ガント元データ!$G114,Q$2&lt;=09_ガント元データ!$H114),"■",""))</f>
        <v/>
      </c>
      <c r="R115" s="24" t="str">
        <f aca="false">IF($A115="","",IF(AND(R$2&gt;=09_ガント元データ!$G114,R$2&lt;=09_ガント元データ!$H114),"■",""))</f>
        <v/>
      </c>
      <c r="S115" s="24" t="str">
        <f aca="false">IF($A115="","",IF(AND(S$2&gt;=09_ガント元データ!$G114,S$2&lt;=09_ガント元データ!$H114),"■",""))</f>
        <v/>
      </c>
      <c r="T115" s="24" t="str">
        <f aca="false">IF($A115="","",IF(AND(T$2&gt;=09_ガント元データ!$G114,T$2&lt;=09_ガント元データ!$H114),"■",""))</f>
        <v/>
      </c>
      <c r="U115" s="24" t="str">
        <f aca="false">IF($A115="","",IF(AND(U$2&gt;=09_ガント元データ!$G114,U$2&lt;=09_ガント元データ!$H114),"■",""))</f>
        <v/>
      </c>
      <c r="V115" s="24" t="str">
        <f aca="false">IF($A115="","",IF(AND(V$2&gt;=09_ガント元データ!$G114,V$2&lt;=09_ガント元データ!$H114),"■",""))</f>
        <v/>
      </c>
      <c r="W115" s="24" t="str">
        <f aca="false">IF($A115="","",IF(AND(W$2&gt;=09_ガント元データ!$G114,W$2&lt;=09_ガント元データ!$H114),"■",""))</f>
        <v/>
      </c>
      <c r="X115" s="24" t="str">
        <f aca="false">IF($A115="","",IF(AND(X$2&gt;=09_ガント元データ!$G114,X$2&lt;=09_ガント元データ!$H114),"■",""))</f>
        <v/>
      </c>
      <c r="Y115" s="24" t="str">
        <f aca="false">IF($A115="","",IF(AND(Y$2&gt;=09_ガント元データ!$G114,Y$2&lt;=09_ガント元データ!$H114),"■",""))</f>
        <v/>
      </c>
      <c r="Z115" s="24" t="str">
        <f aca="false">IF($A115="","",IF(AND(Z$2&gt;=09_ガント元データ!$G114,Z$2&lt;=09_ガント元データ!$H114),"■",""))</f>
        <v/>
      </c>
      <c r="AA115" s="24" t="str">
        <f aca="false">IF($A115="","",IF(AND(AA$2&gt;=09_ガント元データ!$G114,AA$2&lt;=09_ガント元データ!$H114),"■",""))</f>
        <v/>
      </c>
      <c r="AB115" s="24" t="str">
        <f aca="false">IF($A115="","",IF(AND(AB$2&gt;=09_ガント元データ!$G114,AB$2&lt;=09_ガント元データ!$H114),"■",""))</f>
        <v/>
      </c>
      <c r="AC115" s="24" t="str">
        <f aca="false">IF($A115="","",IF(AND(AC$2&gt;=09_ガント元データ!$G114,AC$2&lt;=09_ガント元データ!$H114),"■",""))</f>
        <v/>
      </c>
      <c r="AD115" s="24" t="str">
        <f aca="false">IF($A115="","",IF(AND(AD$2&gt;=09_ガント元データ!$G114,AD$2&lt;=09_ガント元データ!$H114),"■",""))</f>
        <v/>
      </c>
      <c r="AE115" s="24" t="str">
        <f aca="false">IF($A115="","",IF(AND(AE$2&gt;=09_ガント元データ!$G114,AE$2&lt;=09_ガント元データ!$H114),"■",""))</f>
        <v/>
      </c>
      <c r="AF115" s="24" t="str">
        <f aca="false">IF($A115="","",IF(AND(AF$2&gt;=09_ガント元データ!$G114,AF$2&lt;=09_ガント元データ!$H114),"■",""))</f>
        <v/>
      </c>
      <c r="AG115" s="24" t="str">
        <f aca="false">IF($A115="","",IF(AND(AG$2&gt;=09_ガント元データ!$G114,AG$2&lt;=09_ガント元データ!$H114),"■",""))</f>
        <v/>
      </c>
      <c r="AH115" s="24" t="str">
        <f aca="false">IF($A115="","",IF(AND(AH$2&gt;=09_ガント元データ!$G114,AH$2&lt;=09_ガント元データ!$H114),"■",""))</f>
        <v/>
      </c>
      <c r="AI115" s="24" t="str">
        <f aca="false">IF($A115="","",IF(AND(AI$2&gt;=09_ガント元データ!$G114,AI$2&lt;=09_ガント元データ!$H114),"■",""))</f>
        <v/>
      </c>
      <c r="AJ115" s="24" t="str">
        <f aca="false">IF($A115="","",IF(AND(AJ$2&gt;=09_ガント元データ!$G114,AJ$2&lt;=09_ガント元データ!$H114),"■",""))</f>
        <v/>
      </c>
      <c r="AK115" s="24" t="str">
        <f aca="false">IF($A115="","",IF(AND(AK$2&gt;=09_ガント元データ!$G114,AK$2&lt;=09_ガント元データ!$H114),"■",""))</f>
        <v/>
      </c>
      <c r="AL115" s="24" t="str">
        <f aca="false">IF($A115="","",IF(AND(AL$2&gt;=09_ガント元データ!$G114,AL$2&lt;=09_ガント元データ!$H114),"■",""))</f>
        <v/>
      </c>
      <c r="AM115" s="24" t="str">
        <f aca="false">IF($A115="","",IF(AND(AM$2&gt;=09_ガント元データ!$G114,AM$2&lt;=09_ガント元データ!$H114),"■",""))</f>
        <v/>
      </c>
    </row>
    <row r="116" customFormat="false" ht="15" hidden="false" customHeight="false" outlineLevel="0" collapsed="false">
      <c r="A116" s="22" t="str">
        <f aca="false">09_ガント元データ!A115</f>
        <v/>
      </c>
      <c r="B116" s="22" t="str">
        <f aca="false">09_ガント元データ!B115</f>
        <v/>
      </c>
      <c r="C116" s="23" t="str">
        <f aca="false">09_ガント元データ!C115</f>
        <v/>
      </c>
      <c r="D116" s="24" t="str">
        <f aca="false">IF($A116="","",IF(AND(D$2&gt;=09_ガント元データ!$G115,D$2&lt;=09_ガント元データ!$H115),"■",""))</f>
        <v/>
      </c>
      <c r="E116" s="24" t="str">
        <f aca="false">IF($A116="","",IF(AND(E$2&gt;=09_ガント元データ!$G115,E$2&lt;=09_ガント元データ!$H115),"■",""))</f>
        <v/>
      </c>
      <c r="F116" s="24" t="str">
        <f aca="false">IF($A116="","",IF(AND(F$2&gt;=09_ガント元データ!$G115,F$2&lt;=09_ガント元データ!$H115),"■",""))</f>
        <v/>
      </c>
      <c r="G116" s="24" t="str">
        <f aca="false">IF($A116="","",IF(AND(G$2&gt;=09_ガント元データ!$G115,G$2&lt;=09_ガント元データ!$H115),"■",""))</f>
        <v/>
      </c>
      <c r="H116" s="24" t="str">
        <f aca="false">IF($A116="","",IF(AND(H$2&gt;=09_ガント元データ!$G115,H$2&lt;=09_ガント元データ!$H115),"■",""))</f>
        <v/>
      </c>
      <c r="I116" s="24" t="str">
        <f aca="false">IF($A116="","",IF(AND(I$2&gt;=09_ガント元データ!$G115,I$2&lt;=09_ガント元データ!$H115),"■",""))</f>
        <v/>
      </c>
      <c r="J116" s="24" t="str">
        <f aca="false">IF($A116="","",IF(AND(J$2&gt;=09_ガント元データ!$G115,J$2&lt;=09_ガント元データ!$H115),"■",""))</f>
        <v/>
      </c>
      <c r="K116" s="24" t="str">
        <f aca="false">IF($A116="","",IF(AND(K$2&gt;=09_ガント元データ!$G115,K$2&lt;=09_ガント元データ!$H115),"■",""))</f>
        <v/>
      </c>
      <c r="L116" s="24" t="str">
        <f aca="false">IF($A116="","",IF(AND(L$2&gt;=09_ガント元データ!$G115,L$2&lt;=09_ガント元データ!$H115),"■",""))</f>
        <v/>
      </c>
      <c r="M116" s="24" t="str">
        <f aca="false">IF($A116="","",IF(AND(M$2&gt;=09_ガント元データ!$G115,M$2&lt;=09_ガント元データ!$H115),"■",""))</f>
        <v/>
      </c>
      <c r="N116" s="24" t="str">
        <f aca="false">IF($A116="","",IF(AND(N$2&gt;=09_ガント元データ!$G115,N$2&lt;=09_ガント元データ!$H115),"■",""))</f>
        <v/>
      </c>
      <c r="O116" s="24" t="str">
        <f aca="false">IF($A116="","",IF(AND(O$2&gt;=09_ガント元データ!$G115,O$2&lt;=09_ガント元データ!$H115),"■",""))</f>
        <v/>
      </c>
      <c r="P116" s="24" t="str">
        <f aca="false">IF($A116="","",IF(AND(P$2&gt;=09_ガント元データ!$G115,P$2&lt;=09_ガント元データ!$H115),"■",""))</f>
        <v/>
      </c>
      <c r="Q116" s="24" t="str">
        <f aca="false">IF($A116="","",IF(AND(Q$2&gt;=09_ガント元データ!$G115,Q$2&lt;=09_ガント元データ!$H115),"■",""))</f>
        <v/>
      </c>
      <c r="R116" s="24" t="str">
        <f aca="false">IF($A116="","",IF(AND(R$2&gt;=09_ガント元データ!$G115,R$2&lt;=09_ガント元データ!$H115),"■",""))</f>
        <v/>
      </c>
      <c r="S116" s="24" t="str">
        <f aca="false">IF($A116="","",IF(AND(S$2&gt;=09_ガント元データ!$G115,S$2&lt;=09_ガント元データ!$H115),"■",""))</f>
        <v/>
      </c>
      <c r="T116" s="24" t="str">
        <f aca="false">IF($A116="","",IF(AND(T$2&gt;=09_ガント元データ!$G115,T$2&lt;=09_ガント元データ!$H115),"■",""))</f>
        <v/>
      </c>
      <c r="U116" s="24" t="str">
        <f aca="false">IF($A116="","",IF(AND(U$2&gt;=09_ガント元データ!$G115,U$2&lt;=09_ガント元データ!$H115),"■",""))</f>
        <v/>
      </c>
      <c r="V116" s="24" t="str">
        <f aca="false">IF($A116="","",IF(AND(V$2&gt;=09_ガント元データ!$G115,V$2&lt;=09_ガント元データ!$H115),"■",""))</f>
        <v/>
      </c>
      <c r="W116" s="24" t="str">
        <f aca="false">IF($A116="","",IF(AND(W$2&gt;=09_ガント元データ!$G115,W$2&lt;=09_ガント元データ!$H115),"■",""))</f>
        <v/>
      </c>
      <c r="X116" s="24" t="str">
        <f aca="false">IF($A116="","",IF(AND(X$2&gt;=09_ガント元データ!$G115,X$2&lt;=09_ガント元データ!$H115),"■",""))</f>
        <v/>
      </c>
      <c r="Y116" s="24" t="str">
        <f aca="false">IF($A116="","",IF(AND(Y$2&gt;=09_ガント元データ!$G115,Y$2&lt;=09_ガント元データ!$H115),"■",""))</f>
        <v/>
      </c>
      <c r="Z116" s="24" t="str">
        <f aca="false">IF($A116="","",IF(AND(Z$2&gt;=09_ガント元データ!$G115,Z$2&lt;=09_ガント元データ!$H115),"■",""))</f>
        <v/>
      </c>
      <c r="AA116" s="24" t="str">
        <f aca="false">IF($A116="","",IF(AND(AA$2&gt;=09_ガント元データ!$G115,AA$2&lt;=09_ガント元データ!$H115),"■",""))</f>
        <v/>
      </c>
      <c r="AB116" s="24" t="str">
        <f aca="false">IF($A116="","",IF(AND(AB$2&gt;=09_ガント元データ!$G115,AB$2&lt;=09_ガント元データ!$H115),"■",""))</f>
        <v/>
      </c>
      <c r="AC116" s="24" t="str">
        <f aca="false">IF($A116="","",IF(AND(AC$2&gt;=09_ガント元データ!$G115,AC$2&lt;=09_ガント元データ!$H115),"■",""))</f>
        <v/>
      </c>
      <c r="AD116" s="24" t="str">
        <f aca="false">IF($A116="","",IF(AND(AD$2&gt;=09_ガント元データ!$G115,AD$2&lt;=09_ガント元データ!$H115),"■",""))</f>
        <v/>
      </c>
      <c r="AE116" s="24" t="str">
        <f aca="false">IF($A116="","",IF(AND(AE$2&gt;=09_ガント元データ!$G115,AE$2&lt;=09_ガント元データ!$H115),"■",""))</f>
        <v/>
      </c>
      <c r="AF116" s="24" t="str">
        <f aca="false">IF($A116="","",IF(AND(AF$2&gt;=09_ガント元データ!$G115,AF$2&lt;=09_ガント元データ!$H115),"■",""))</f>
        <v/>
      </c>
      <c r="AG116" s="24" t="str">
        <f aca="false">IF($A116="","",IF(AND(AG$2&gt;=09_ガント元データ!$G115,AG$2&lt;=09_ガント元データ!$H115),"■",""))</f>
        <v/>
      </c>
      <c r="AH116" s="24" t="str">
        <f aca="false">IF($A116="","",IF(AND(AH$2&gt;=09_ガント元データ!$G115,AH$2&lt;=09_ガント元データ!$H115),"■",""))</f>
        <v/>
      </c>
      <c r="AI116" s="24" t="str">
        <f aca="false">IF($A116="","",IF(AND(AI$2&gt;=09_ガント元データ!$G115,AI$2&lt;=09_ガント元データ!$H115),"■",""))</f>
        <v/>
      </c>
      <c r="AJ116" s="24" t="str">
        <f aca="false">IF($A116="","",IF(AND(AJ$2&gt;=09_ガント元データ!$G115,AJ$2&lt;=09_ガント元データ!$H115),"■",""))</f>
        <v/>
      </c>
      <c r="AK116" s="24" t="str">
        <f aca="false">IF($A116="","",IF(AND(AK$2&gt;=09_ガント元データ!$G115,AK$2&lt;=09_ガント元データ!$H115),"■",""))</f>
        <v/>
      </c>
      <c r="AL116" s="24" t="str">
        <f aca="false">IF($A116="","",IF(AND(AL$2&gt;=09_ガント元データ!$G115,AL$2&lt;=09_ガント元データ!$H115),"■",""))</f>
        <v/>
      </c>
      <c r="AM116" s="24" t="str">
        <f aca="false">IF($A116="","",IF(AND(AM$2&gt;=09_ガント元データ!$G115,AM$2&lt;=09_ガント元データ!$H115),"■",""))</f>
        <v/>
      </c>
    </row>
    <row r="117" customFormat="false" ht="15" hidden="false" customHeight="false" outlineLevel="0" collapsed="false">
      <c r="A117" s="22" t="str">
        <f aca="false">09_ガント元データ!A116</f>
        <v/>
      </c>
      <c r="B117" s="22" t="str">
        <f aca="false">09_ガント元データ!B116</f>
        <v/>
      </c>
      <c r="C117" s="23" t="str">
        <f aca="false">09_ガント元データ!C116</f>
        <v/>
      </c>
      <c r="D117" s="24" t="str">
        <f aca="false">IF($A117="","",IF(AND(D$2&gt;=09_ガント元データ!$G116,D$2&lt;=09_ガント元データ!$H116),"■",""))</f>
        <v/>
      </c>
      <c r="E117" s="24" t="str">
        <f aca="false">IF($A117="","",IF(AND(E$2&gt;=09_ガント元データ!$G116,E$2&lt;=09_ガント元データ!$H116),"■",""))</f>
        <v/>
      </c>
      <c r="F117" s="24" t="str">
        <f aca="false">IF($A117="","",IF(AND(F$2&gt;=09_ガント元データ!$G116,F$2&lt;=09_ガント元データ!$H116),"■",""))</f>
        <v/>
      </c>
      <c r="G117" s="24" t="str">
        <f aca="false">IF($A117="","",IF(AND(G$2&gt;=09_ガント元データ!$G116,G$2&lt;=09_ガント元データ!$H116),"■",""))</f>
        <v/>
      </c>
      <c r="H117" s="24" t="str">
        <f aca="false">IF($A117="","",IF(AND(H$2&gt;=09_ガント元データ!$G116,H$2&lt;=09_ガント元データ!$H116),"■",""))</f>
        <v/>
      </c>
      <c r="I117" s="24" t="str">
        <f aca="false">IF($A117="","",IF(AND(I$2&gt;=09_ガント元データ!$G116,I$2&lt;=09_ガント元データ!$H116),"■",""))</f>
        <v/>
      </c>
      <c r="J117" s="24" t="str">
        <f aca="false">IF($A117="","",IF(AND(J$2&gt;=09_ガント元データ!$G116,J$2&lt;=09_ガント元データ!$H116),"■",""))</f>
        <v/>
      </c>
      <c r="K117" s="24" t="str">
        <f aca="false">IF($A117="","",IF(AND(K$2&gt;=09_ガント元データ!$G116,K$2&lt;=09_ガント元データ!$H116),"■",""))</f>
        <v/>
      </c>
      <c r="L117" s="24" t="str">
        <f aca="false">IF($A117="","",IF(AND(L$2&gt;=09_ガント元データ!$G116,L$2&lt;=09_ガント元データ!$H116),"■",""))</f>
        <v/>
      </c>
      <c r="M117" s="24" t="str">
        <f aca="false">IF($A117="","",IF(AND(M$2&gt;=09_ガント元データ!$G116,M$2&lt;=09_ガント元データ!$H116),"■",""))</f>
        <v/>
      </c>
      <c r="N117" s="24" t="str">
        <f aca="false">IF($A117="","",IF(AND(N$2&gt;=09_ガント元データ!$G116,N$2&lt;=09_ガント元データ!$H116),"■",""))</f>
        <v/>
      </c>
      <c r="O117" s="24" t="str">
        <f aca="false">IF($A117="","",IF(AND(O$2&gt;=09_ガント元データ!$G116,O$2&lt;=09_ガント元データ!$H116),"■",""))</f>
        <v/>
      </c>
      <c r="P117" s="24" t="str">
        <f aca="false">IF($A117="","",IF(AND(P$2&gt;=09_ガント元データ!$G116,P$2&lt;=09_ガント元データ!$H116),"■",""))</f>
        <v/>
      </c>
      <c r="Q117" s="24" t="str">
        <f aca="false">IF($A117="","",IF(AND(Q$2&gt;=09_ガント元データ!$G116,Q$2&lt;=09_ガント元データ!$H116),"■",""))</f>
        <v/>
      </c>
      <c r="R117" s="24" t="str">
        <f aca="false">IF($A117="","",IF(AND(R$2&gt;=09_ガント元データ!$G116,R$2&lt;=09_ガント元データ!$H116),"■",""))</f>
        <v/>
      </c>
      <c r="S117" s="24" t="str">
        <f aca="false">IF($A117="","",IF(AND(S$2&gt;=09_ガント元データ!$G116,S$2&lt;=09_ガント元データ!$H116),"■",""))</f>
        <v/>
      </c>
      <c r="T117" s="24" t="str">
        <f aca="false">IF($A117="","",IF(AND(T$2&gt;=09_ガント元データ!$G116,T$2&lt;=09_ガント元データ!$H116),"■",""))</f>
        <v/>
      </c>
      <c r="U117" s="24" t="str">
        <f aca="false">IF($A117="","",IF(AND(U$2&gt;=09_ガント元データ!$G116,U$2&lt;=09_ガント元データ!$H116),"■",""))</f>
        <v/>
      </c>
      <c r="V117" s="24" t="str">
        <f aca="false">IF($A117="","",IF(AND(V$2&gt;=09_ガント元データ!$G116,V$2&lt;=09_ガント元データ!$H116),"■",""))</f>
        <v/>
      </c>
      <c r="W117" s="24" t="str">
        <f aca="false">IF($A117="","",IF(AND(W$2&gt;=09_ガント元データ!$G116,W$2&lt;=09_ガント元データ!$H116),"■",""))</f>
        <v/>
      </c>
      <c r="X117" s="24" t="str">
        <f aca="false">IF($A117="","",IF(AND(X$2&gt;=09_ガント元データ!$G116,X$2&lt;=09_ガント元データ!$H116),"■",""))</f>
        <v/>
      </c>
      <c r="Y117" s="24" t="str">
        <f aca="false">IF($A117="","",IF(AND(Y$2&gt;=09_ガント元データ!$G116,Y$2&lt;=09_ガント元データ!$H116),"■",""))</f>
        <v/>
      </c>
      <c r="Z117" s="24" t="str">
        <f aca="false">IF($A117="","",IF(AND(Z$2&gt;=09_ガント元データ!$G116,Z$2&lt;=09_ガント元データ!$H116),"■",""))</f>
        <v/>
      </c>
      <c r="AA117" s="24" t="str">
        <f aca="false">IF($A117="","",IF(AND(AA$2&gt;=09_ガント元データ!$G116,AA$2&lt;=09_ガント元データ!$H116),"■",""))</f>
        <v/>
      </c>
      <c r="AB117" s="24" t="str">
        <f aca="false">IF($A117="","",IF(AND(AB$2&gt;=09_ガント元データ!$G116,AB$2&lt;=09_ガント元データ!$H116),"■",""))</f>
        <v/>
      </c>
      <c r="AC117" s="24" t="str">
        <f aca="false">IF($A117="","",IF(AND(AC$2&gt;=09_ガント元データ!$G116,AC$2&lt;=09_ガント元データ!$H116),"■",""))</f>
        <v/>
      </c>
      <c r="AD117" s="24" t="str">
        <f aca="false">IF($A117="","",IF(AND(AD$2&gt;=09_ガント元データ!$G116,AD$2&lt;=09_ガント元データ!$H116),"■",""))</f>
        <v/>
      </c>
      <c r="AE117" s="24" t="str">
        <f aca="false">IF($A117="","",IF(AND(AE$2&gt;=09_ガント元データ!$G116,AE$2&lt;=09_ガント元データ!$H116),"■",""))</f>
        <v/>
      </c>
      <c r="AF117" s="24" t="str">
        <f aca="false">IF($A117="","",IF(AND(AF$2&gt;=09_ガント元データ!$G116,AF$2&lt;=09_ガント元データ!$H116),"■",""))</f>
        <v/>
      </c>
      <c r="AG117" s="24" t="str">
        <f aca="false">IF($A117="","",IF(AND(AG$2&gt;=09_ガント元データ!$G116,AG$2&lt;=09_ガント元データ!$H116),"■",""))</f>
        <v/>
      </c>
      <c r="AH117" s="24" t="str">
        <f aca="false">IF($A117="","",IF(AND(AH$2&gt;=09_ガント元データ!$G116,AH$2&lt;=09_ガント元データ!$H116),"■",""))</f>
        <v/>
      </c>
      <c r="AI117" s="24" t="str">
        <f aca="false">IF($A117="","",IF(AND(AI$2&gt;=09_ガント元データ!$G116,AI$2&lt;=09_ガント元データ!$H116),"■",""))</f>
        <v/>
      </c>
      <c r="AJ117" s="24" t="str">
        <f aca="false">IF($A117="","",IF(AND(AJ$2&gt;=09_ガント元データ!$G116,AJ$2&lt;=09_ガント元データ!$H116),"■",""))</f>
        <v/>
      </c>
      <c r="AK117" s="24" t="str">
        <f aca="false">IF($A117="","",IF(AND(AK$2&gt;=09_ガント元データ!$G116,AK$2&lt;=09_ガント元データ!$H116),"■",""))</f>
        <v/>
      </c>
      <c r="AL117" s="24" t="str">
        <f aca="false">IF($A117="","",IF(AND(AL$2&gt;=09_ガント元データ!$G116,AL$2&lt;=09_ガント元データ!$H116),"■",""))</f>
        <v/>
      </c>
      <c r="AM117" s="24" t="str">
        <f aca="false">IF($A117="","",IF(AND(AM$2&gt;=09_ガント元データ!$G116,AM$2&lt;=09_ガント元データ!$H116),"■",""))</f>
        <v/>
      </c>
    </row>
    <row r="118" customFormat="false" ht="15" hidden="false" customHeight="false" outlineLevel="0" collapsed="false">
      <c r="A118" s="22" t="str">
        <f aca="false">09_ガント元データ!A117</f>
        <v/>
      </c>
      <c r="B118" s="22" t="str">
        <f aca="false">09_ガント元データ!B117</f>
        <v/>
      </c>
      <c r="C118" s="23" t="str">
        <f aca="false">09_ガント元データ!C117</f>
        <v/>
      </c>
      <c r="D118" s="24" t="str">
        <f aca="false">IF($A118="","",IF(AND(D$2&gt;=09_ガント元データ!$G117,D$2&lt;=09_ガント元データ!$H117),"■",""))</f>
        <v/>
      </c>
      <c r="E118" s="24" t="str">
        <f aca="false">IF($A118="","",IF(AND(E$2&gt;=09_ガント元データ!$G117,E$2&lt;=09_ガント元データ!$H117),"■",""))</f>
        <v/>
      </c>
      <c r="F118" s="24" t="str">
        <f aca="false">IF($A118="","",IF(AND(F$2&gt;=09_ガント元データ!$G117,F$2&lt;=09_ガント元データ!$H117),"■",""))</f>
        <v/>
      </c>
      <c r="G118" s="24" t="str">
        <f aca="false">IF($A118="","",IF(AND(G$2&gt;=09_ガント元データ!$G117,G$2&lt;=09_ガント元データ!$H117),"■",""))</f>
        <v/>
      </c>
      <c r="H118" s="24" t="str">
        <f aca="false">IF($A118="","",IF(AND(H$2&gt;=09_ガント元データ!$G117,H$2&lt;=09_ガント元データ!$H117),"■",""))</f>
        <v/>
      </c>
      <c r="I118" s="24" t="str">
        <f aca="false">IF($A118="","",IF(AND(I$2&gt;=09_ガント元データ!$G117,I$2&lt;=09_ガント元データ!$H117),"■",""))</f>
        <v/>
      </c>
      <c r="J118" s="24" t="str">
        <f aca="false">IF($A118="","",IF(AND(J$2&gt;=09_ガント元データ!$G117,J$2&lt;=09_ガント元データ!$H117),"■",""))</f>
        <v/>
      </c>
      <c r="K118" s="24" t="str">
        <f aca="false">IF($A118="","",IF(AND(K$2&gt;=09_ガント元データ!$G117,K$2&lt;=09_ガント元データ!$H117),"■",""))</f>
        <v/>
      </c>
      <c r="L118" s="24" t="str">
        <f aca="false">IF($A118="","",IF(AND(L$2&gt;=09_ガント元データ!$G117,L$2&lt;=09_ガント元データ!$H117),"■",""))</f>
        <v/>
      </c>
      <c r="M118" s="24" t="str">
        <f aca="false">IF($A118="","",IF(AND(M$2&gt;=09_ガント元データ!$G117,M$2&lt;=09_ガント元データ!$H117),"■",""))</f>
        <v/>
      </c>
      <c r="N118" s="24" t="str">
        <f aca="false">IF($A118="","",IF(AND(N$2&gt;=09_ガント元データ!$G117,N$2&lt;=09_ガント元データ!$H117),"■",""))</f>
        <v/>
      </c>
      <c r="O118" s="24" t="str">
        <f aca="false">IF($A118="","",IF(AND(O$2&gt;=09_ガント元データ!$G117,O$2&lt;=09_ガント元データ!$H117),"■",""))</f>
        <v/>
      </c>
      <c r="P118" s="24" t="str">
        <f aca="false">IF($A118="","",IF(AND(P$2&gt;=09_ガント元データ!$G117,P$2&lt;=09_ガント元データ!$H117),"■",""))</f>
        <v/>
      </c>
      <c r="Q118" s="24" t="str">
        <f aca="false">IF($A118="","",IF(AND(Q$2&gt;=09_ガント元データ!$G117,Q$2&lt;=09_ガント元データ!$H117),"■",""))</f>
        <v/>
      </c>
      <c r="R118" s="24" t="str">
        <f aca="false">IF($A118="","",IF(AND(R$2&gt;=09_ガント元データ!$G117,R$2&lt;=09_ガント元データ!$H117),"■",""))</f>
        <v/>
      </c>
      <c r="S118" s="24" t="str">
        <f aca="false">IF($A118="","",IF(AND(S$2&gt;=09_ガント元データ!$G117,S$2&lt;=09_ガント元データ!$H117),"■",""))</f>
        <v/>
      </c>
      <c r="T118" s="24" t="str">
        <f aca="false">IF($A118="","",IF(AND(T$2&gt;=09_ガント元データ!$G117,T$2&lt;=09_ガント元データ!$H117),"■",""))</f>
        <v/>
      </c>
      <c r="U118" s="24" t="str">
        <f aca="false">IF($A118="","",IF(AND(U$2&gt;=09_ガント元データ!$G117,U$2&lt;=09_ガント元データ!$H117),"■",""))</f>
        <v/>
      </c>
      <c r="V118" s="24" t="str">
        <f aca="false">IF($A118="","",IF(AND(V$2&gt;=09_ガント元データ!$G117,V$2&lt;=09_ガント元データ!$H117),"■",""))</f>
        <v/>
      </c>
      <c r="W118" s="24" t="str">
        <f aca="false">IF($A118="","",IF(AND(W$2&gt;=09_ガント元データ!$G117,W$2&lt;=09_ガント元データ!$H117),"■",""))</f>
        <v/>
      </c>
      <c r="X118" s="24" t="str">
        <f aca="false">IF($A118="","",IF(AND(X$2&gt;=09_ガント元データ!$G117,X$2&lt;=09_ガント元データ!$H117),"■",""))</f>
        <v/>
      </c>
      <c r="Y118" s="24" t="str">
        <f aca="false">IF($A118="","",IF(AND(Y$2&gt;=09_ガント元データ!$G117,Y$2&lt;=09_ガント元データ!$H117),"■",""))</f>
        <v/>
      </c>
      <c r="Z118" s="24" t="str">
        <f aca="false">IF($A118="","",IF(AND(Z$2&gt;=09_ガント元データ!$G117,Z$2&lt;=09_ガント元データ!$H117),"■",""))</f>
        <v/>
      </c>
      <c r="AA118" s="24" t="str">
        <f aca="false">IF($A118="","",IF(AND(AA$2&gt;=09_ガント元データ!$G117,AA$2&lt;=09_ガント元データ!$H117),"■",""))</f>
        <v/>
      </c>
      <c r="AB118" s="24" t="str">
        <f aca="false">IF($A118="","",IF(AND(AB$2&gt;=09_ガント元データ!$G117,AB$2&lt;=09_ガント元データ!$H117),"■",""))</f>
        <v/>
      </c>
      <c r="AC118" s="24" t="str">
        <f aca="false">IF($A118="","",IF(AND(AC$2&gt;=09_ガント元データ!$G117,AC$2&lt;=09_ガント元データ!$H117),"■",""))</f>
        <v/>
      </c>
      <c r="AD118" s="24" t="str">
        <f aca="false">IF($A118="","",IF(AND(AD$2&gt;=09_ガント元データ!$G117,AD$2&lt;=09_ガント元データ!$H117),"■",""))</f>
        <v/>
      </c>
      <c r="AE118" s="24" t="str">
        <f aca="false">IF($A118="","",IF(AND(AE$2&gt;=09_ガント元データ!$G117,AE$2&lt;=09_ガント元データ!$H117),"■",""))</f>
        <v/>
      </c>
      <c r="AF118" s="24" t="str">
        <f aca="false">IF($A118="","",IF(AND(AF$2&gt;=09_ガント元データ!$G117,AF$2&lt;=09_ガント元データ!$H117),"■",""))</f>
        <v/>
      </c>
      <c r="AG118" s="24" t="str">
        <f aca="false">IF($A118="","",IF(AND(AG$2&gt;=09_ガント元データ!$G117,AG$2&lt;=09_ガント元データ!$H117),"■",""))</f>
        <v/>
      </c>
      <c r="AH118" s="24" t="str">
        <f aca="false">IF($A118="","",IF(AND(AH$2&gt;=09_ガント元データ!$G117,AH$2&lt;=09_ガント元データ!$H117),"■",""))</f>
        <v/>
      </c>
      <c r="AI118" s="24" t="str">
        <f aca="false">IF($A118="","",IF(AND(AI$2&gt;=09_ガント元データ!$G117,AI$2&lt;=09_ガント元データ!$H117),"■",""))</f>
        <v/>
      </c>
      <c r="AJ118" s="24" t="str">
        <f aca="false">IF($A118="","",IF(AND(AJ$2&gt;=09_ガント元データ!$G117,AJ$2&lt;=09_ガント元データ!$H117),"■",""))</f>
        <v/>
      </c>
      <c r="AK118" s="24" t="str">
        <f aca="false">IF($A118="","",IF(AND(AK$2&gt;=09_ガント元データ!$G117,AK$2&lt;=09_ガント元データ!$H117),"■",""))</f>
        <v/>
      </c>
      <c r="AL118" s="24" t="str">
        <f aca="false">IF($A118="","",IF(AND(AL$2&gt;=09_ガント元データ!$G117,AL$2&lt;=09_ガント元データ!$H117),"■",""))</f>
        <v/>
      </c>
      <c r="AM118" s="24" t="str">
        <f aca="false">IF($A118="","",IF(AND(AM$2&gt;=09_ガント元データ!$G117,AM$2&lt;=09_ガント元データ!$H117),"■",""))</f>
        <v/>
      </c>
    </row>
    <row r="119" customFormat="false" ht="15" hidden="false" customHeight="false" outlineLevel="0" collapsed="false">
      <c r="A119" s="22" t="str">
        <f aca="false">09_ガント元データ!A118</f>
        <v/>
      </c>
      <c r="B119" s="22" t="str">
        <f aca="false">09_ガント元データ!B118</f>
        <v/>
      </c>
      <c r="C119" s="23" t="str">
        <f aca="false">09_ガント元データ!C118</f>
        <v/>
      </c>
      <c r="D119" s="24" t="str">
        <f aca="false">IF($A119="","",IF(AND(D$2&gt;=09_ガント元データ!$G118,D$2&lt;=09_ガント元データ!$H118),"■",""))</f>
        <v/>
      </c>
      <c r="E119" s="24" t="str">
        <f aca="false">IF($A119="","",IF(AND(E$2&gt;=09_ガント元データ!$G118,E$2&lt;=09_ガント元データ!$H118),"■",""))</f>
        <v/>
      </c>
      <c r="F119" s="24" t="str">
        <f aca="false">IF($A119="","",IF(AND(F$2&gt;=09_ガント元データ!$G118,F$2&lt;=09_ガント元データ!$H118),"■",""))</f>
        <v/>
      </c>
      <c r="G119" s="24" t="str">
        <f aca="false">IF($A119="","",IF(AND(G$2&gt;=09_ガント元データ!$G118,G$2&lt;=09_ガント元データ!$H118),"■",""))</f>
        <v/>
      </c>
      <c r="H119" s="24" t="str">
        <f aca="false">IF($A119="","",IF(AND(H$2&gt;=09_ガント元データ!$G118,H$2&lt;=09_ガント元データ!$H118),"■",""))</f>
        <v/>
      </c>
      <c r="I119" s="24" t="str">
        <f aca="false">IF($A119="","",IF(AND(I$2&gt;=09_ガント元データ!$G118,I$2&lt;=09_ガント元データ!$H118),"■",""))</f>
        <v/>
      </c>
      <c r="J119" s="24" t="str">
        <f aca="false">IF($A119="","",IF(AND(J$2&gt;=09_ガント元データ!$G118,J$2&lt;=09_ガント元データ!$H118),"■",""))</f>
        <v/>
      </c>
      <c r="K119" s="24" t="str">
        <f aca="false">IF($A119="","",IF(AND(K$2&gt;=09_ガント元データ!$G118,K$2&lt;=09_ガント元データ!$H118),"■",""))</f>
        <v/>
      </c>
      <c r="L119" s="24" t="str">
        <f aca="false">IF($A119="","",IF(AND(L$2&gt;=09_ガント元データ!$G118,L$2&lt;=09_ガント元データ!$H118),"■",""))</f>
        <v/>
      </c>
      <c r="M119" s="24" t="str">
        <f aca="false">IF($A119="","",IF(AND(M$2&gt;=09_ガント元データ!$G118,M$2&lt;=09_ガント元データ!$H118),"■",""))</f>
        <v/>
      </c>
      <c r="N119" s="24" t="str">
        <f aca="false">IF($A119="","",IF(AND(N$2&gt;=09_ガント元データ!$G118,N$2&lt;=09_ガント元データ!$H118),"■",""))</f>
        <v/>
      </c>
      <c r="O119" s="24" t="str">
        <f aca="false">IF($A119="","",IF(AND(O$2&gt;=09_ガント元データ!$G118,O$2&lt;=09_ガント元データ!$H118),"■",""))</f>
        <v/>
      </c>
      <c r="P119" s="24" t="str">
        <f aca="false">IF($A119="","",IF(AND(P$2&gt;=09_ガント元データ!$G118,P$2&lt;=09_ガント元データ!$H118),"■",""))</f>
        <v/>
      </c>
      <c r="Q119" s="24" t="str">
        <f aca="false">IF($A119="","",IF(AND(Q$2&gt;=09_ガント元データ!$G118,Q$2&lt;=09_ガント元データ!$H118),"■",""))</f>
        <v/>
      </c>
      <c r="R119" s="24" t="str">
        <f aca="false">IF($A119="","",IF(AND(R$2&gt;=09_ガント元データ!$G118,R$2&lt;=09_ガント元データ!$H118),"■",""))</f>
        <v/>
      </c>
      <c r="S119" s="24" t="str">
        <f aca="false">IF($A119="","",IF(AND(S$2&gt;=09_ガント元データ!$G118,S$2&lt;=09_ガント元データ!$H118),"■",""))</f>
        <v/>
      </c>
      <c r="T119" s="24" t="str">
        <f aca="false">IF($A119="","",IF(AND(T$2&gt;=09_ガント元データ!$G118,T$2&lt;=09_ガント元データ!$H118),"■",""))</f>
        <v/>
      </c>
      <c r="U119" s="24" t="str">
        <f aca="false">IF($A119="","",IF(AND(U$2&gt;=09_ガント元データ!$G118,U$2&lt;=09_ガント元データ!$H118),"■",""))</f>
        <v/>
      </c>
      <c r="V119" s="24" t="str">
        <f aca="false">IF($A119="","",IF(AND(V$2&gt;=09_ガント元データ!$G118,V$2&lt;=09_ガント元データ!$H118),"■",""))</f>
        <v/>
      </c>
      <c r="W119" s="24" t="str">
        <f aca="false">IF($A119="","",IF(AND(W$2&gt;=09_ガント元データ!$G118,W$2&lt;=09_ガント元データ!$H118),"■",""))</f>
        <v/>
      </c>
      <c r="X119" s="24" t="str">
        <f aca="false">IF($A119="","",IF(AND(X$2&gt;=09_ガント元データ!$G118,X$2&lt;=09_ガント元データ!$H118),"■",""))</f>
        <v/>
      </c>
      <c r="Y119" s="24" t="str">
        <f aca="false">IF($A119="","",IF(AND(Y$2&gt;=09_ガント元データ!$G118,Y$2&lt;=09_ガント元データ!$H118),"■",""))</f>
        <v/>
      </c>
      <c r="Z119" s="24" t="str">
        <f aca="false">IF($A119="","",IF(AND(Z$2&gt;=09_ガント元データ!$G118,Z$2&lt;=09_ガント元データ!$H118),"■",""))</f>
        <v/>
      </c>
      <c r="AA119" s="24" t="str">
        <f aca="false">IF($A119="","",IF(AND(AA$2&gt;=09_ガント元データ!$G118,AA$2&lt;=09_ガント元データ!$H118),"■",""))</f>
        <v/>
      </c>
      <c r="AB119" s="24" t="str">
        <f aca="false">IF($A119="","",IF(AND(AB$2&gt;=09_ガント元データ!$G118,AB$2&lt;=09_ガント元データ!$H118),"■",""))</f>
        <v/>
      </c>
      <c r="AC119" s="24" t="str">
        <f aca="false">IF($A119="","",IF(AND(AC$2&gt;=09_ガント元データ!$G118,AC$2&lt;=09_ガント元データ!$H118),"■",""))</f>
        <v/>
      </c>
      <c r="AD119" s="24" t="str">
        <f aca="false">IF($A119="","",IF(AND(AD$2&gt;=09_ガント元データ!$G118,AD$2&lt;=09_ガント元データ!$H118),"■",""))</f>
        <v/>
      </c>
      <c r="AE119" s="24" t="str">
        <f aca="false">IF($A119="","",IF(AND(AE$2&gt;=09_ガント元データ!$G118,AE$2&lt;=09_ガント元データ!$H118),"■",""))</f>
        <v/>
      </c>
      <c r="AF119" s="24" t="str">
        <f aca="false">IF($A119="","",IF(AND(AF$2&gt;=09_ガント元データ!$G118,AF$2&lt;=09_ガント元データ!$H118),"■",""))</f>
        <v/>
      </c>
      <c r="AG119" s="24" t="str">
        <f aca="false">IF($A119="","",IF(AND(AG$2&gt;=09_ガント元データ!$G118,AG$2&lt;=09_ガント元データ!$H118),"■",""))</f>
        <v/>
      </c>
      <c r="AH119" s="24" t="str">
        <f aca="false">IF($A119="","",IF(AND(AH$2&gt;=09_ガント元データ!$G118,AH$2&lt;=09_ガント元データ!$H118),"■",""))</f>
        <v/>
      </c>
      <c r="AI119" s="24" t="str">
        <f aca="false">IF($A119="","",IF(AND(AI$2&gt;=09_ガント元データ!$G118,AI$2&lt;=09_ガント元データ!$H118),"■",""))</f>
        <v/>
      </c>
      <c r="AJ119" s="24" t="str">
        <f aca="false">IF($A119="","",IF(AND(AJ$2&gt;=09_ガント元データ!$G118,AJ$2&lt;=09_ガント元データ!$H118),"■",""))</f>
        <v/>
      </c>
      <c r="AK119" s="24" t="str">
        <f aca="false">IF($A119="","",IF(AND(AK$2&gt;=09_ガント元データ!$G118,AK$2&lt;=09_ガント元データ!$H118),"■",""))</f>
        <v/>
      </c>
      <c r="AL119" s="24" t="str">
        <f aca="false">IF($A119="","",IF(AND(AL$2&gt;=09_ガント元データ!$G118,AL$2&lt;=09_ガント元データ!$H118),"■",""))</f>
        <v/>
      </c>
      <c r="AM119" s="24" t="str">
        <f aca="false">IF($A119="","",IF(AND(AM$2&gt;=09_ガント元データ!$G118,AM$2&lt;=09_ガント元データ!$H118),"■",""))</f>
        <v/>
      </c>
    </row>
    <row r="120" customFormat="false" ht="15" hidden="false" customHeight="false" outlineLevel="0" collapsed="false">
      <c r="A120" s="22" t="str">
        <f aca="false">09_ガント元データ!A119</f>
        <v/>
      </c>
      <c r="B120" s="22" t="str">
        <f aca="false">09_ガント元データ!B119</f>
        <v/>
      </c>
      <c r="C120" s="23" t="str">
        <f aca="false">09_ガント元データ!C119</f>
        <v/>
      </c>
      <c r="D120" s="24" t="str">
        <f aca="false">IF($A120="","",IF(AND(D$2&gt;=09_ガント元データ!$G119,D$2&lt;=09_ガント元データ!$H119),"■",""))</f>
        <v/>
      </c>
      <c r="E120" s="24" t="str">
        <f aca="false">IF($A120="","",IF(AND(E$2&gt;=09_ガント元データ!$G119,E$2&lt;=09_ガント元データ!$H119),"■",""))</f>
        <v/>
      </c>
      <c r="F120" s="24" t="str">
        <f aca="false">IF($A120="","",IF(AND(F$2&gt;=09_ガント元データ!$G119,F$2&lt;=09_ガント元データ!$H119),"■",""))</f>
        <v/>
      </c>
      <c r="G120" s="24" t="str">
        <f aca="false">IF($A120="","",IF(AND(G$2&gt;=09_ガント元データ!$G119,G$2&lt;=09_ガント元データ!$H119),"■",""))</f>
        <v/>
      </c>
      <c r="H120" s="24" t="str">
        <f aca="false">IF($A120="","",IF(AND(H$2&gt;=09_ガント元データ!$G119,H$2&lt;=09_ガント元データ!$H119),"■",""))</f>
        <v/>
      </c>
      <c r="I120" s="24" t="str">
        <f aca="false">IF($A120="","",IF(AND(I$2&gt;=09_ガント元データ!$G119,I$2&lt;=09_ガント元データ!$H119),"■",""))</f>
        <v/>
      </c>
      <c r="J120" s="24" t="str">
        <f aca="false">IF($A120="","",IF(AND(J$2&gt;=09_ガント元データ!$G119,J$2&lt;=09_ガント元データ!$H119),"■",""))</f>
        <v/>
      </c>
      <c r="K120" s="24" t="str">
        <f aca="false">IF($A120="","",IF(AND(K$2&gt;=09_ガント元データ!$G119,K$2&lt;=09_ガント元データ!$H119),"■",""))</f>
        <v/>
      </c>
      <c r="L120" s="24" t="str">
        <f aca="false">IF($A120="","",IF(AND(L$2&gt;=09_ガント元データ!$G119,L$2&lt;=09_ガント元データ!$H119),"■",""))</f>
        <v/>
      </c>
      <c r="M120" s="24" t="str">
        <f aca="false">IF($A120="","",IF(AND(M$2&gt;=09_ガント元データ!$G119,M$2&lt;=09_ガント元データ!$H119),"■",""))</f>
        <v/>
      </c>
      <c r="N120" s="24" t="str">
        <f aca="false">IF($A120="","",IF(AND(N$2&gt;=09_ガント元データ!$G119,N$2&lt;=09_ガント元データ!$H119),"■",""))</f>
        <v/>
      </c>
      <c r="O120" s="24" t="str">
        <f aca="false">IF($A120="","",IF(AND(O$2&gt;=09_ガント元データ!$G119,O$2&lt;=09_ガント元データ!$H119),"■",""))</f>
        <v/>
      </c>
      <c r="P120" s="24" t="str">
        <f aca="false">IF($A120="","",IF(AND(P$2&gt;=09_ガント元データ!$G119,P$2&lt;=09_ガント元データ!$H119),"■",""))</f>
        <v/>
      </c>
      <c r="Q120" s="24" t="str">
        <f aca="false">IF($A120="","",IF(AND(Q$2&gt;=09_ガント元データ!$G119,Q$2&lt;=09_ガント元データ!$H119),"■",""))</f>
        <v/>
      </c>
      <c r="R120" s="24" t="str">
        <f aca="false">IF($A120="","",IF(AND(R$2&gt;=09_ガント元データ!$G119,R$2&lt;=09_ガント元データ!$H119),"■",""))</f>
        <v/>
      </c>
      <c r="S120" s="24" t="str">
        <f aca="false">IF($A120="","",IF(AND(S$2&gt;=09_ガント元データ!$G119,S$2&lt;=09_ガント元データ!$H119),"■",""))</f>
        <v/>
      </c>
      <c r="T120" s="24" t="str">
        <f aca="false">IF($A120="","",IF(AND(T$2&gt;=09_ガント元データ!$G119,T$2&lt;=09_ガント元データ!$H119),"■",""))</f>
        <v/>
      </c>
      <c r="U120" s="24" t="str">
        <f aca="false">IF($A120="","",IF(AND(U$2&gt;=09_ガント元データ!$G119,U$2&lt;=09_ガント元データ!$H119),"■",""))</f>
        <v/>
      </c>
      <c r="V120" s="24" t="str">
        <f aca="false">IF($A120="","",IF(AND(V$2&gt;=09_ガント元データ!$G119,V$2&lt;=09_ガント元データ!$H119),"■",""))</f>
        <v/>
      </c>
      <c r="W120" s="24" t="str">
        <f aca="false">IF($A120="","",IF(AND(W$2&gt;=09_ガント元データ!$G119,W$2&lt;=09_ガント元データ!$H119),"■",""))</f>
        <v/>
      </c>
      <c r="X120" s="24" t="str">
        <f aca="false">IF($A120="","",IF(AND(X$2&gt;=09_ガント元データ!$G119,X$2&lt;=09_ガント元データ!$H119),"■",""))</f>
        <v/>
      </c>
      <c r="Y120" s="24" t="str">
        <f aca="false">IF($A120="","",IF(AND(Y$2&gt;=09_ガント元データ!$G119,Y$2&lt;=09_ガント元データ!$H119),"■",""))</f>
        <v/>
      </c>
      <c r="Z120" s="24" t="str">
        <f aca="false">IF($A120="","",IF(AND(Z$2&gt;=09_ガント元データ!$G119,Z$2&lt;=09_ガント元データ!$H119),"■",""))</f>
        <v/>
      </c>
      <c r="AA120" s="24" t="str">
        <f aca="false">IF($A120="","",IF(AND(AA$2&gt;=09_ガント元データ!$G119,AA$2&lt;=09_ガント元データ!$H119),"■",""))</f>
        <v/>
      </c>
      <c r="AB120" s="24" t="str">
        <f aca="false">IF($A120="","",IF(AND(AB$2&gt;=09_ガント元データ!$G119,AB$2&lt;=09_ガント元データ!$H119),"■",""))</f>
        <v/>
      </c>
      <c r="AC120" s="24" t="str">
        <f aca="false">IF($A120="","",IF(AND(AC$2&gt;=09_ガント元データ!$G119,AC$2&lt;=09_ガント元データ!$H119),"■",""))</f>
        <v/>
      </c>
      <c r="AD120" s="24" t="str">
        <f aca="false">IF($A120="","",IF(AND(AD$2&gt;=09_ガント元データ!$G119,AD$2&lt;=09_ガント元データ!$H119),"■",""))</f>
        <v/>
      </c>
      <c r="AE120" s="24" t="str">
        <f aca="false">IF($A120="","",IF(AND(AE$2&gt;=09_ガント元データ!$G119,AE$2&lt;=09_ガント元データ!$H119),"■",""))</f>
        <v/>
      </c>
      <c r="AF120" s="24" t="str">
        <f aca="false">IF($A120="","",IF(AND(AF$2&gt;=09_ガント元データ!$G119,AF$2&lt;=09_ガント元データ!$H119),"■",""))</f>
        <v/>
      </c>
      <c r="AG120" s="24" t="str">
        <f aca="false">IF($A120="","",IF(AND(AG$2&gt;=09_ガント元データ!$G119,AG$2&lt;=09_ガント元データ!$H119),"■",""))</f>
        <v/>
      </c>
      <c r="AH120" s="24" t="str">
        <f aca="false">IF($A120="","",IF(AND(AH$2&gt;=09_ガント元データ!$G119,AH$2&lt;=09_ガント元データ!$H119),"■",""))</f>
        <v/>
      </c>
      <c r="AI120" s="24" t="str">
        <f aca="false">IF($A120="","",IF(AND(AI$2&gt;=09_ガント元データ!$G119,AI$2&lt;=09_ガント元データ!$H119),"■",""))</f>
        <v/>
      </c>
      <c r="AJ120" s="24" t="str">
        <f aca="false">IF($A120="","",IF(AND(AJ$2&gt;=09_ガント元データ!$G119,AJ$2&lt;=09_ガント元データ!$H119),"■",""))</f>
        <v/>
      </c>
      <c r="AK120" s="24" t="str">
        <f aca="false">IF($A120="","",IF(AND(AK$2&gt;=09_ガント元データ!$G119,AK$2&lt;=09_ガント元データ!$H119),"■",""))</f>
        <v/>
      </c>
      <c r="AL120" s="24" t="str">
        <f aca="false">IF($A120="","",IF(AND(AL$2&gt;=09_ガント元データ!$G119,AL$2&lt;=09_ガント元データ!$H119),"■",""))</f>
        <v/>
      </c>
      <c r="AM120" s="24" t="str">
        <f aca="false">IF($A120="","",IF(AND(AM$2&gt;=09_ガント元データ!$G119,AM$2&lt;=09_ガント元データ!$H119),"■",""))</f>
        <v/>
      </c>
    </row>
    <row r="121" customFormat="false" ht="15" hidden="false" customHeight="false" outlineLevel="0" collapsed="false">
      <c r="A121" s="22" t="str">
        <f aca="false">09_ガント元データ!A120</f>
        <v/>
      </c>
      <c r="B121" s="22" t="str">
        <f aca="false">09_ガント元データ!B120</f>
        <v/>
      </c>
      <c r="C121" s="23" t="str">
        <f aca="false">09_ガント元データ!C120</f>
        <v/>
      </c>
      <c r="D121" s="24" t="str">
        <f aca="false">IF($A121="","",IF(AND(D$2&gt;=09_ガント元データ!$G120,D$2&lt;=09_ガント元データ!$H120),"■",""))</f>
        <v/>
      </c>
      <c r="E121" s="24" t="str">
        <f aca="false">IF($A121="","",IF(AND(E$2&gt;=09_ガント元データ!$G120,E$2&lt;=09_ガント元データ!$H120),"■",""))</f>
        <v/>
      </c>
      <c r="F121" s="24" t="str">
        <f aca="false">IF($A121="","",IF(AND(F$2&gt;=09_ガント元データ!$G120,F$2&lt;=09_ガント元データ!$H120),"■",""))</f>
        <v/>
      </c>
      <c r="G121" s="24" t="str">
        <f aca="false">IF($A121="","",IF(AND(G$2&gt;=09_ガント元データ!$G120,G$2&lt;=09_ガント元データ!$H120),"■",""))</f>
        <v/>
      </c>
      <c r="H121" s="24" t="str">
        <f aca="false">IF($A121="","",IF(AND(H$2&gt;=09_ガント元データ!$G120,H$2&lt;=09_ガント元データ!$H120),"■",""))</f>
        <v/>
      </c>
      <c r="I121" s="24" t="str">
        <f aca="false">IF($A121="","",IF(AND(I$2&gt;=09_ガント元データ!$G120,I$2&lt;=09_ガント元データ!$H120),"■",""))</f>
        <v/>
      </c>
      <c r="J121" s="24" t="str">
        <f aca="false">IF($A121="","",IF(AND(J$2&gt;=09_ガント元データ!$G120,J$2&lt;=09_ガント元データ!$H120),"■",""))</f>
        <v/>
      </c>
      <c r="K121" s="24" t="str">
        <f aca="false">IF($A121="","",IF(AND(K$2&gt;=09_ガント元データ!$G120,K$2&lt;=09_ガント元データ!$H120),"■",""))</f>
        <v/>
      </c>
      <c r="L121" s="24" t="str">
        <f aca="false">IF($A121="","",IF(AND(L$2&gt;=09_ガント元データ!$G120,L$2&lt;=09_ガント元データ!$H120),"■",""))</f>
        <v/>
      </c>
      <c r="M121" s="24" t="str">
        <f aca="false">IF($A121="","",IF(AND(M$2&gt;=09_ガント元データ!$G120,M$2&lt;=09_ガント元データ!$H120),"■",""))</f>
        <v/>
      </c>
      <c r="N121" s="24" t="str">
        <f aca="false">IF($A121="","",IF(AND(N$2&gt;=09_ガント元データ!$G120,N$2&lt;=09_ガント元データ!$H120),"■",""))</f>
        <v/>
      </c>
      <c r="O121" s="24" t="str">
        <f aca="false">IF($A121="","",IF(AND(O$2&gt;=09_ガント元データ!$G120,O$2&lt;=09_ガント元データ!$H120),"■",""))</f>
        <v/>
      </c>
      <c r="P121" s="24" t="str">
        <f aca="false">IF($A121="","",IF(AND(P$2&gt;=09_ガント元データ!$G120,P$2&lt;=09_ガント元データ!$H120),"■",""))</f>
        <v/>
      </c>
      <c r="Q121" s="24" t="str">
        <f aca="false">IF($A121="","",IF(AND(Q$2&gt;=09_ガント元データ!$G120,Q$2&lt;=09_ガント元データ!$H120),"■",""))</f>
        <v/>
      </c>
      <c r="R121" s="24" t="str">
        <f aca="false">IF($A121="","",IF(AND(R$2&gt;=09_ガント元データ!$G120,R$2&lt;=09_ガント元データ!$H120),"■",""))</f>
        <v/>
      </c>
      <c r="S121" s="24" t="str">
        <f aca="false">IF($A121="","",IF(AND(S$2&gt;=09_ガント元データ!$G120,S$2&lt;=09_ガント元データ!$H120),"■",""))</f>
        <v/>
      </c>
      <c r="T121" s="24" t="str">
        <f aca="false">IF($A121="","",IF(AND(T$2&gt;=09_ガント元データ!$G120,T$2&lt;=09_ガント元データ!$H120),"■",""))</f>
        <v/>
      </c>
      <c r="U121" s="24" t="str">
        <f aca="false">IF($A121="","",IF(AND(U$2&gt;=09_ガント元データ!$G120,U$2&lt;=09_ガント元データ!$H120),"■",""))</f>
        <v/>
      </c>
      <c r="V121" s="24" t="str">
        <f aca="false">IF($A121="","",IF(AND(V$2&gt;=09_ガント元データ!$G120,V$2&lt;=09_ガント元データ!$H120),"■",""))</f>
        <v/>
      </c>
      <c r="W121" s="24" t="str">
        <f aca="false">IF($A121="","",IF(AND(W$2&gt;=09_ガント元データ!$G120,W$2&lt;=09_ガント元データ!$H120),"■",""))</f>
        <v/>
      </c>
      <c r="X121" s="24" t="str">
        <f aca="false">IF($A121="","",IF(AND(X$2&gt;=09_ガント元データ!$G120,X$2&lt;=09_ガント元データ!$H120),"■",""))</f>
        <v/>
      </c>
      <c r="Y121" s="24" t="str">
        <f aca="false">IF($A121="","",IF(AND(Y$2&gt;=09_ガント元データ!$G120,Y$2&lt;=09_ガント元データ!$H120),"■",""))</f>
        <v/>
      </c>
      <c r="Z121" s="24" t="str">
        <f aca="false">IF($A121="","",IF(AND(Z$2&gt;=09_ガント元データ!$G120,Z$2&lt;=09_ガント元データ!$H120),"■",""))</f>
        <v/>
      </c>
      <c r="AA121" s="24" t="str">
        <f aca="false">IF($A121="","",IF(AND(AA$2&gt;=09_ガント元データ!$G120,AA$2&lt;=09_ガント元データ!$H120),"■",""))</f>
        <v/>
      </c>
      <c r="AB121" s="24" t="str">
        <f aca="false">IF($A121="","",IF(AND(AB$2&gt;=09_ガント元データ!$G120,AB$2&lt;=09_ガント元データ!$H120),"■",""))</f>
        <v/>
      </c>
      <c r="AC121" s="24" t="str">
        <f aca="false">IF($A121="","",IF(AND(AC$2&gt;=09_ガント元データ!$G120,AC$2&lt;=09_ガント元データ!$H120),"■",""))</f>
        <v/>
      </c>
      <c r="AD121" s="24" t="str">
        <f aca="false">IF($A121="","",IF(AND(AD$2&gt;=09_ガント元データ!$G120,AD$2&lt;=09_ガント元データ!$H120),"■",""))</f>
        <v/>
      </c>
      <c r="AE121" s="24" t="str">
        <f aca="false">IF($A121="","",IF(AND(AE$2&gt;=09_ガント元データ!$G120,AE$2&lt;=09_ガント元データ!$H120),"■",""))</f>
        <v/>
      </c>
      <c r="AF121" s="24" t="str">
        <f aca="false">IF($A121="","",IF(AND(AF$2&gt;=09_ガント元データ!$G120,AF$2&lt;=09_ガント元データ!$H120),"■",""))</f>
        <v/>
      </c>
      <c r="AG121" s="24" t="str">
        <f aca="false">IF($A121="","",IF(AND(AG$2&gt;=09_ガント元データ!$G120,AG$2&lt;=09_ガント元データ!$H120),"■",""))</f>
        <v/>
      </c>
      <c r="AH121" s="24" t="str">
        <f aca="false">IF($A121="","",IF(AND(AH$2&gt;=09_ガント元データ!$G120,AH$2&lt;=09_ガント元データ!$H120),"■",""))</f>
        <v/>
      </c>
      <c r="AI121" s="24" t="str">
        <f aca="false">IF($A121="","",IF(AND(AI$2&gt;=09_ガント元データ!$G120,AI$2&lt;=09_ガント元データ!$H120),"■",""))</f>
        <v/>
      </c>
      <c r="AJ121" s="24" t="str">
        <f aca="false">IF($A121="","",IF(AND(AJ$2&gt;=09_ガント元データ!$G120,AJ$2&lt;=09_ガント元データ!$H120),"■",""))</f>
        <v/>
      </c>
      <c r="AK121" s="24" t="str">
        <f aca="false">IF($A121="","",IF(AND(AK$2&gt;=09_ガント元データ!$G120,AK$2&lt;=09_ガント元データ!$H120),"■",""))</f>
        <v/>
      </c>
      <c r="AL121" s="24" t="str">
        <f aca="false">IF($A121="","",IF(AND(AL$2&gt;=09_ガント元データ!$G120,AL$2&lt;=09_ガント元データ!$H120),"■",""))</f>
        <v/>
      </c>
      <c r="AM121" s="24" t="str">
        <f aca="false">IF($A121="","",IF(AND(AM$2&gt;=09_ガント元データ!$G120,AM$2&lt;=09_ガント元データ!$H120),"■",""))</f>
        <v/>
      </c>
    </row>
    <row r="122" customFormat="false" ht="15" hidden="false" customHeight="false" outlineLevel="0" collapsed="false">
      <c r="A122" s="22" t="str">
        <f aca="false">09_ガント元データ!A121</f>
        <v/>
      </c>
      <c r="B122" s="22" t="str">
        <f aca="false">09_ガント元データ!B121</f>
        <v/>
      </c>
      <c r="C122" s="23" t="str">
        <f aca="false">09_ガント元データ!C121</f>
        <v/>
      </c>
      <c r="D122" s="24" t="str">
        <f aca="false">IF($A122="","",IF(AND(D$2&gt;=09_ガント元データ!$G121,D$2&lt;=09_ガント元データ!$H121),"■",""))</f>
        <v/>
      </c>
      <c r="E122" s="24" t="str">
        <f aca="false">IF($A122="","",IF(AND(E$2&gt;=09_ガント元データ!$G121,E$2&lt;=09_ガント元データ!$H121),"■",""))</f>
        <v/>
      </c>
      <c r="F122" s="24" t="str">
        <f aca="false">IF($A122="","",IF(AND(F$2&gt;=09_ガント元データ!$G121,F$2&lt;=09_ガント元データ!$H121),"■",""))</f>
        <v/>
      </c>
      <c r="G122" s="24" t="str">
        <f aca="false">IF($A122="","",IF(AND(G$2&gt;=09_ガント元データ!$G121,G$2&lt;=09_ガント元データ!$H121),"■",""))</f>
        <v/>
      </c>
      <c r="H122" s="24" t="str">
        <f aca="false">IF($A122="","",IF(AND(H$2&gt;=09_ガント元データ!$G121,H$2&lt;=09_ガント元データ!$H121),"■",""))</f>
        <v/>
      </c>
      <c r="I122" s="24" t="str">
        <f aca="false">IF($A122="","",IF(AND(I$2&gt;=09_ガント元データ!$G121,I$2&lt;=09_ガント元データ!$H121),"■",""))</f>
        <v/>
      </c>
      <c r="J122" s="24" t="str">
        <f aca="false">IF($A122="","",IF(AND(J$2&gt;=09_ガント元データ!$G121,J$2&lt;=09_ガント元データ!$H121),"■",""))</f>
        <v/>
      </c>
      <c r="K122" s="24" t="str">
        <f aca="false">IF($A122="","",IF(AND(K$2&gt;=09_ガント元データ!$G121,K$2&lt;=09_ガント元データ!$H121),"■",""))</f>
        <v/>
      </c>
      <c r="L122" s="24" t="str">
        <f aca="false">IF($A122="","",IF(AND(L$2&gt;=09_ガント元データ!$G121,L$2&lt;=09_ガント元データ!$H121),"■",""))</f>
        <v/>
      </c>
      <c r="M122" s="24" t="str">
        <f aca="false">IF($A122="","",IF(AND(M$2&gt;=09_ガント元データ!$G121,M$2&lt;=09_ガント元データ!$H121),"■",""))</f>
        <v/>
      </c>
      <c r="N122" s="24" t="str">
        <f aca="false">IF($A122="","",IF(AND(N$2&gt;=09_ガント元データ!$G121,N$2&lt;=09_ガント元データ!$H121),"■",""))</f>
        <v/>
      </c>
      <c r="O122" s="24" t="str">
        <f aca="false">IF($A122="","",IF(AND(O$2&gt;=09_ガント元データ!$G121,O$2&lt;=09_ガント元データ!$H121),"■",""))</f>
        <v/>
      </c>
      <c r="P122" s="24" t="str">
        <f aca="false">IF($A122="","",IF(AND(P$2&gt;=09_ガント元データ!$G121,P$2&lt;=09_ガント元データ!$H121),"■",""))</f>
        <v/>
      </c>
      <c r="Q122" s="24" t="str">
        <f aca="false">IF($A122="","",IF(AND(Q$2&gt;=09_ガント元データ!$G121,Q$2&lt;=09_ガント元データ!$H121),"■",""))</f>
        <v/>
      </c>
      <c r="R122" s="24" t="str">
        <f aca="false">IF($A122="","",IF(AND(R$2&gt;=09_ガント元データ!$G121,R$2&lt;=09_ガント元データ!$H121),"■",""))</f>
        <v/>
      </c>
      <c r="S122" s="24" t="str">
        <f aca="false">IF($A122="","",IF(AND(S$2&gt;=09_ガント元データ!$G121,S$2&lt;=09_ガント元データ!$H121),"■",""))</f>
        <v/>
      </c>
      <c r="T122" s="24" t="str">
        <f aca="false">IF($A122="","",IF(AND(T$2&gt;=09_ガント元データ!$G121,T$2&lt;=09_ガント元データ!$H121),"■",""))</f>
        <v/>
      </c>
      <c r="U122" s="24" t="str">
        <f aca="false">IF($A122="","",IF(AND(U$2&gt;=09_ガント元データ!$G121,U$2&lt;=09_ガント元データ!$H121),"■",""))</f>
        <v/>
      </c>
      <c r="V122" s="24" t="str">
        <f aca="false">IF($A122="","",IF(AND(V$2&gt;=09_ガント元データ!$G121,V$2&lt;=09_ガント元データ!$H121),"■",""))</f>
        <v/>
      </c>
      <c r="W122" s="24" t="str">
        <f aca="false">IF($A122="","",IF(AND(W$2&gt;=09_ガント元データ!$G121,W$2&lt;=09_ガント元データ!$H121),"■",""))</f>
        <v/>
      </c>
      <c r="X122" s="24" t="str">
        <f aca="false">IF($A122="","",IF(AND(X$2&gt;=09_ガント元データ!$G121,X$2&lt;=09_ガント元データ!$H121),"■",""))</f>
        <v/>
      </c>
      <c r="Y122" s="24" t="str">
        <f aca="false">IF($A122="","",IF(AND(Y$2&gt;=09_ガント元データ!$G121,Y$2&lt;=09_ガント元データ!$H121),"■",""))</f>
        <v/>
      </c>
      <c r="Z122" s="24" t="str">
        <f aca="false">IF($A122="","",IF(AND(Z$2&gt;=09_ガント元データ!$G121,Z$2&lt;=09_ガント元データ!$H121),"■",""))</f>
        <v/>
      </c>
      <c r="AA122" s="24" t="str">
        <f aca="false">IF($A122="","",IF(AND(AA$2&gt;=09_ガント元データ!$G121,AA$2&lt;=09_ガント元データ!$H121),"■",""))</f>
        <v/>
      </c>
      <c r="AB122" s="24" t="str">
        <f aca="false">IF($A122="","",IF(AND(AB$2&gt;=09_ガント元データ!$G121,AB$2&lt;=09_ガント元データ!$H121),"■",""))</f>
        <v/>
      </c>
      <c r="AC122" s="24" t="str">
        <f aca="false">IF($A122="","",IF(AND(AC$2&gt;=09_ガント元データ!$G121,AC$2&lt;=09_ガント元データ!$H121),"■",""))</f>
        <v/>
      </c>
      <c r="AD122" s="24" t="str">
        <f aca="false">IF($A122="","",IF(AND(AD$2&gt;=09_ガント元データ!$G121,AD$2&lt;=09_ガント元データ!$H121),"■",""))</f>
        <v/>
      </c>
      <c r="AE122" s="24" t="str">
        <f aca="false">IF($A122="","",IF(AND(AE$2&gt;=09_ガント元データ!$G121,AE$2&lt;=09_ガント元データ!$H121),"■",""))</f>
        <v/>
      </c>
      <c r="AF122" s="24" t="str">
        <f aca="false">IF($A122="","",IF(AND(AF$2&gt;=09_ガント元データ!$G121,AF$2&lt;=09_ガント元データ!$H121),"■",""))</f>
        <v/>
      </c>
      <c r="AG122" s="24" t="str">
        <f aca="false">IF($A122="","",IF(AND(AG$2&gt;=09_ガント元データ!$G121,AG$2&lt;=09_ガント元データ!$H121),"■",""))</f>
        <v/>
      </c>
      <c r="AH122" s="24" t="str">
        <f aca="false">IF($A122="","",IF(AND(AH$2&gt;=09_ガント元データ!$G121,AH$2&lt;=09_ガント元データ!$H121),"■",""))</f>
        <v/>
      </c>
      <c r="AI122" s="24" t="str">
        <f aca="false">IF($A122="","",IF(AND(AI$2&gt;=09_ガント元データ!$G121,AI$2&lt;=09_ガント元データ!$H121),"■",""))</f>
        <v/>
      </c>
      <c r="AJ122" s="24" t="str">
        <f aca="false">IF($A122="","",IF(AND(AJ$2&gt;=09_ガント元データ!$G121,AJ$2&lt;=09_ガント元データ!$H121),"■",""))</f>
        <v/>
      </c>
      <c r="AK122" s="24" t="str">
        <f aca="false">IF($A122="","",IF(AND(AK$2&gt;=09_ガント元データ!$G121,AK$2&lt;=09_ガント元データ!$H121),"■",""))</f>
        <v/>
      </c>
      <c r="AL122" s="24" t="str">
        <f aca="false">IF($A122="","",IF(AND(AL$2&gt;=09_ガント元データ!$G121,AL$2&lt;=09_ガント元データ!$H121),"■",""))</f>
        <v/>
      </c>
      <c r="AM122" s="24" t="str">
        <f aca="false">IF($A122="","",IF(AND(AM$2&gt;=09_ガント元データ!$G121,AM$2&lt;=09_ガント元データ!$H121),"■",""))</f>
        <v/>
      </c>
    </row>
    <row r="123" customFormat="false" ht="15" hidden="false" customHeight="false" outlineLevel="0" collapsed="false">
      <c r="A123" s="22" t="str">
        <f aca="false">09_ガント元データ!A122</f>
        <v/>
      </c>
      <c r="B123" s="22" t="str">
        <f aca="false">09_ガント元データ!B122</f>
        <v/>
      </c>
      <c r="C123" s="23" t="str">
        <f aca="false">09_ガント元データ!C122</f>
        <v/>
      </c>
      <c r="D123" s="24" t="str">
        <f aca="false">IF($A123="","",IF(AND(D$2&gt;=09_ガント元データ!$G122,D$2&lt;=09_ガント元データ!$H122),"■",""))</f>
        <v/>
      </c>
      <c r="E123" s="24" t="str">
        <f aca="false">IF($A123="","",IF(AND(E$2&gt;=09_ガント元データ!$G122,E$2&lt;=09_ガント元データ!$H122),"■",""))</f>
        <v/>
      </c>
      <c r="F123" s="24" t="str">
        <f aca="false">IF($A123="","",IF(AND(F$2&gt;=09_ガント元データ!$G122,F$2&lt;=09_ガント元データ!$H122),"■",""))</f>
        <v/>
      </c>
      <c r="G123" s="24" t="str">
        <f aca="false">IF($A123="","",IF(AND(G$2&gt;=09_ガント元データ!$G122,G$2&lt;=09_ガント元データ!$H122),"■",""))</f>
        <v/>
      </c>
      <c r="H123" s="24" t="str">
        <f aca="false">IF($A123="","",IF(AND(H$2&gt;=09_ガント元データ!$G122,H$2&lt;=09_ガント元データ!$H122),"■",""))</f>
        <v/>
      </c>
      <c r="I123" s="24" t="str">
        <f aca="false">IF($A123="","",IF(AND(I$2&gt;=09_ガント元データ!$G122,I$2&lt;=09_ガント元データ!$H122),"■",""))</f>
        <v/>
      </c>
      <c r="J123" s="24" t="str">
        <f aca="false">IF($A123="","",IF(AND(J$2&gt;=09_ガント元データ!$G122,J$2&lt;=09_ガント元データ!$H122),"■",""))</f>
        <v/>
      </c>
      <c r="K123" s="24" t="str">
        <f aca="false">IF($A123="","",IF(AND(K$2&gt;=09_ガント元データ!$G122,K$2&lt;=09_ガント元データ!$H122),"■",""))</f>
        <v/>
      </c>
      <c r="L123" s="24" t="str">
        <f aca="false">IF($A123="","",IF(AND(L$2&gt;=09_ガント元データ!$G122,L$2&lt;=09_ガント元データ!$H122),"■",""))</f>
        <v/>
      </c>
      <c r="M123" s="24" t="str">
        <f aca="false">IF($A123="","",IF(AND(M$2&gt;=09_ガント元データ!$G122,M$2&lt;=09_ガント元データ!$H122),"■",""))</f>
        <v/>
      </c>
      <c r="N123" s="24" t="str">
        <f aca="false">IF($A123="","",IF(AND(N$2&gt;=09_ガント元データ!$G122,N$2&lt;=09_ガント元データ!$H122),"■",""))</f>
        <v/>
      </c>
      <c r="O123" s="24" t="str">
        <f aca="false">IF($A123="","",IF(AND(O$2&gt;=09_ガント元データ!$G122,O$2&lt;=09_ガント元データ!$H122),"■",""))</f>
        <v/>
      </c>
      <c r="P123" s="24" t="str">
        <f aca="false">IF($A123="","",IF(AND(P$2&gt;=09_ガント元データ!$G122,P$2&lt;=09_ガント元データ!$H122),"■",""))</f>
        <v/>
      </c>
      <c r="Q123" s="24" t="str">
        <f aca="false">IF($A123="","",IF(AND(Q$2&gt;=09_ガント元データ!$G122,Q$2&lt;=09_ガント元データ!$H122),"■",""))</f>
        <v/>
      </c>
      <c r="R123" s="24" t="str">
        <f aca="false">IF($A123="","",IF(AND(R$2&gt;=09_ガント元データ!$G122,R$2&lt;=09_ガント元データ!$H122),"■",""))</f>
        <v/>
      </c>
      <c r="S123" s="24" t="str">
        <f aca="false">IF($A123="","",IF(AND(S$2&gt;=09_ガント元データ!$G122,S$2&lt;=09_ガント元データ!$H122),"■",""))</f>
        <v/>
      </c>
      <c r="T123" s="24" t="str">
        <f aca="false">IF($A123="","",IF(AND(T$2&gt;=09_ガント元データ!$G122,T$2&lt;=09_ガント元データ!$H122),"■",""))</f>
        <v/>
      </c>
      <c r="U123" s="24" t="str">
        <f aca="false">IF($A123="","",IF(AND(U$2&gt;=09_ガント元データ!$G122,U$2&lt;=09_ガント元データ!$H122),"■",""))</f>
        <v/>
      </c>
      <c r="V123" s="24" t="str">
        <f aca="false">IF($A123="","",IF(AND(V$2&gt;=09_ガント元データ!$G122,V$2&lt;=09_ガント元データ!$H122),"■",""))</f>
        <v/>
      </c>
      <c r="W123" s="24" t="str">
        <f aca="false">IF($A123="","",IF(AND(W$2&gt;=09_ガント元データ!$G122,W$2&lt;=09_ガント元データ!$H122),"■",""))</f>
        <v/>
      </c>
      <c r="X123" s="24" t="str">
        <f aca="false">IF($A123="","",IF(AND(X$2&gt;=09_ガント元データ!$G122,X$2&lt;=09_ガント元データ!$H122),"■",""))</f>
        <v/>
      </c>
      <c r="Y123" s="24" t="str">
        <f aca="false">IF($A123="","",IF(AND(Y$2&gt;=09_ガント元データ!$G122,Y$2&lt;=09_ガント元データ!$H122),"■",""))</f>
        <v/>
      </c>
      <c r="Z123" s="24" t="str">
        <f aca="false">IF($A123="","",IF(AND(Z$2&gt;=09_ガント元データ!$G122,Z$2&lt;=09_ガント元データ!$H122),"■",""))</f>
        <v/>
      </c>
      <c r="AA123" s="24" t="str">
        <f aca="false">IF($A123="","",IF(AND(AA$2&gt;=09_ガント元データ!$G122,AA$2&lt;=09_ガント元データ!$H122),"■",""))</f>
        <v/>
      </c>
      <c r="AB123" s="24" t="str">
        <f aca="false">IF($A123="","",IF(AND(AB$2&gt;=09_ガント元データ!$G122,AB$2&lt;=09_ガント元データ!$H122),"■",""))</f>
        <v/>
      </c>
      <c r="AC123" s="24" t="str">
        <f aca="false">IF($A123="","",IF(AND(AC$2&gt;=09_ガント元データ!$G122,AC$2&lt;=09_ガント元データ!$H122),"■",""))</f>
        <v/>
      </c>
      <c r="AD123" s="24" t="str">
        <f aca="false">IF($A123="","",IF(AND(AD$2&gt;=09_ガント元データ!$G122,AD$2&lt;=09_ガント元データ!$H122),"■",""))</f>
        <v/>
      </c>
      <c r="AE123" s="24" t="str">
        <f aca="false">IF($A123="","",IF(AND(AE$2&gt;=09_ガント元データ!$G122,AE$2&lt;=09_ガント元データ!$H122),"■",""))</f>
        <v/>
      </c>
      <c r="AF123" s="24" t="str">
        <f aca="false">IF($A123="","",IF(AND(AF$2&gt;=09_ガント元データ!$G122,AF$2&lt;=09_ガント元データ!$H122),"■",""))</f>
        <v/>
      </c>
      <c r="AG123" s="24" t="str">
        <f aca="false">IF($A123="","",IF(AND(AG$2&gt;=09_ガント元データ!$G122,AG$2&lt;=09_ガント元データ!$H122),"■",""))</f>
        <v/>
      </c>
      <c r="AH123" s="24" t="str">
        <f aca="false">IF($A123="","",IF(AND(AH$2&gt;=09_ガント元データ!$G122,AH$2&lt;=09_ガント元データ!$H122),"■",""))</f>
        <v/>
      </c>
      <c r="AI123" s="24" t="str">
        <f aca="false">IF($A123="","",IF(AND(AI$2&gt;=09_ガント元データ!$G122,AI$2&lt;=09_ガント元データ!$H122),"■",""))</f>
        <v/>
      </c>
      <c r="AJ123" s="24" t="str">
        <f aca="false">IF($A123="","",IF(AND(AJ$2&gt;=09_ガント元データ!$G122,AJ$2&lt;=09_ガント元データ!$H122),"■",""))</f>
        <v/>
      </c>
      <c r="AK123" s="24" t="str">
        <f aca="false">IF($A123="","",IF(AND(AK$2&gt;=09_ガント元データ!$G122,AK$2&lt;=09_ガント元データ!$H122),"■",""))</f>
        <v/>
      </c>
      <c r="AL123" s="24" t="str">
        <f aca="false">IF($A123="","",IF(AND(AL$2&gt;=09_ガント元データ!$G122,AL$2&lt;=09_ガント元データ!$H122),"■",""))</f>
        <v/>
      </c>
      <c r="AM123" s="24" t="str">
        <f aca="false">IF($A123="","",IF(AND(AM$2&gt;=09_ガント元データ!$G122,AM$2&lt;=09_ガント元データ!$H122),"■",""))</f>
        <v/>
      </c>
    </row>
    <row r="124" customFormat="false" ht="15" hidden="false" customHeight="false" outlineLevel="0" collapsed="false">
      <c r="A124" s="22" t="str">
        <f aca="false">09_ガント元データ!A123</f>
        <v/>
      </c>
      <c r="B124" s="22" t="str">
        <f aca="false">09_ガント元データ!B123</f>
        <v/>
      </c>
      <c r="C124" s="23" t="str">
        <f aca="false">09_ガント元データ!C123</f>
        <v/>
      </c>
      <c r="D124" s="24" t="str">
        <f aca="false">IF($A124="","",IF(AND(D$2&gt;=09_ガント元データ!$G123,D$2&lt;=09_ガント元データ!$H123),"■",""))</f>
        <v/>
      </c>
      <c r="E124" s="24" t="str">
        <f aca="false">IF($A124="","",IF(AND(E$2&gt;=09_ガント元データ!$G123,E$2&lt;=09_ガント元データ!$H123),"■",""))</f>
        <v/>
      </c>
      <c r="F124" s="24" t="str">
        <f aca="false">IF($A124="","",IF(AND(F$2&gt;=09_ガント元データ!$G123,F$2&lt;=09_ガント元データ!$H123),"■",""))</f>
        <v/>
      </c>
      <c r="G124" s="24" t="str">
        <f aca="false">IF($A124="","",IF(AND(G$2&gt;=09_ガント元データ!$G123,G$2&lt;=09_ガント元データ!$H123),"■",""))</f>
        <v/>
      </c>
      <c r="H124" s="24" t="str">
        <f aca="false">IF($A124="","",IF(AND(H$2&gt;=09_ガント元データ!$G123,H$2&lt;=09_ガント元データ!$H123),"■",""))</f>
        <v/>
      </c>
      <c r="I124" s="24" t="str">
        <f aca="false">IF($A124="","",IF(AND(I$2&gt;=09_ガント元データ!$G123,I$2&lt;=09_ガント元データ!$H123),"■",""))</f>
        <v/>
      </c>
      <c r="J124" s="24" t="str">
        <f aca="false">IF($A124="","",IF(AND(J$2&gt;=09_ガント元データ!$G123,J$2&lt;=09_ガント元データ!$H123),"■",""))</f>
        <v/>
      </c>
      <c r="K124" s="24" t="str">
        <f aca="false">IF($A124="","",IF(AND(K$2&gt;=09_ガント元データ!$G123,K$2&lt;=09_ガント元データ!$H123),"■",""))</f>
        <v/>
      </c>
      <c r="L124" s="24" t="str">
        <f aca="false">IF($A124="","",IF(AND(L$2&gt;=09_ガント元データ!$G123,L$2&lt;=09_ガント元データ!$H123),"■",""))</f>
        <v/>
      </c>
      <c r="M124" s="24" t="str">
        <f aca="false">IF($A124="","",IF(AND(M$2&gt;=09_ガント元データ!$G123,M$2&lt;=09_ガント元データ!$H123),"■",""))</f>
        <v/>
      </c>
      <c r="N124" s="24" t="str">
        <f aca="false">IF($A124="","",IF(AND(N$2&gt;=09_ガント元データ!$G123,N$2&lt;=09_ガント元データ!$H123),"■",""))</f>
        <v/>
      </c>
      <c r="O124" s="24" t="str">
        <f aca="false">IF($A124="","",IF(AND(O$2&gt;=09_ガント元データ!$G123,O$2&lt;=09_ガント元データ!$H123),"■",""))</f>
        <v/>
      </c>
      <c r="P124" s="24" t="str">
        <f aca="false">IF($A124="","",IF(AND(P$2&gt;=09_ガント元データ!$G123,P$2&lt;=09_ガント元データ!$H123),"■",""))</f>
        <v/>
      </c>
      <c r="Q124" s="24" t="str">
        <f aca="false">IF($A124="","",IF(AND(Q$2&gt;=09_ガント元データ!$G123,Q$2&lt;=09_ガント元データ!$H123),"■",""))</f>
        <v/>
      </c>
      <c r="R124" s="24" t="str">
        <f aca="false">IF($A124="","",IF(AND(R$2&gt;=09_ガント元データ!$G123,R$2&lt;=09_ガント元データ!$H123),"■",""))</f>
        <v/>
      </c>
      <c r="S124" s="24" t="str">
        <f aca="false">IF($A124="","",IF(AND(S$2&gt;=09_ガント元データ!$G123,S$2&lt;=09_ガント元データ!$H123),"■",""))</f>
        <v/>
      </c>
      <c r="T124" s="24" t="str">
        <f aca="false">IF($A124="","",IF(AND(T$2&gt;=09_ガント元データ!$G123,T$2&lt;=09_ガント元データ!$H123),"■",""))</f>
        <v/>
      </c>
      <c r="U124" s="24" t="str">
        <f aca="false">IF($A124="","",IF(AND(U$2&gt;=09_ガント元データ!$G123,U$2&lt;=09_ガント元データ!$H123),"■",""))</f>
        <v/>
      </c>
      <c r="V124" s="24" t="str">
        <f aca="false">IF($A124="","",IF(AND(V$2&gt;=09_ガント元データ!$G123,V$2&lt;=09_ガント元データ!$H123),"■",""))</f>
        <v/>
      </c>
      <c r="W124" s="24" t="str">
        <f aca="false">IF($A124="","",IF(AND(W$2&gt;=09_ガント元データ!$G123,W$2&lt;=09_ガント元データ!$H123),"■",""))</f>
        <v/>
      </c>
      <c r="X124" s="24" t="str">
        <f aca="false">IF($A124="","",IF(AND(X$2&gt;=09_ガント元データ!$G123,X$2&lt;=09_ガント元データ!$H123),"■",""))</f>
        <v/>
      </c>
      <c r="Y124" s="24" t="str">
        <f aca="false">IF($A124="","",IF(AND(Y$2&gt;=09_ガント元データ!$G123,Y$2&lt;=09_ガント元データ!$H123),"■",""))</f>
        <v/>
      </c>
      <c r="Z124" s="24" t="str">
        <f aca="false">IF($A124="","",IF(AND(Z$2&gt;=09_ガント元データ!$G123,Z$2&lt;=09_ガント元データ!$H123),"■",""))</f>
        <v/>
      </c>
      <c r="AA124" s="24" t="str">
        <f aca="false">IF($A124="","",IF(AND(AA$2&gt;=09_ガント元データ!$G123,AA$2&lt;=09_ガント元データ!$H123),"■",""))</f>
        <v/>
      </c>
      <c r="AB124" s="24" t="str">
        <f aca="false">IF($A124="","",IF(AND(AB$2&gt;=09_ガント元データ!$G123,AB$2&lt;=09_ガント元データ!$H123),"■",""))</f>
        <v/>
      </c>
      <c r="AC124" s="24" t="str">
        <f aca="false">IF($A124="","",IF(AND(AC$2&gt;=09_ガント元データ!$G123,AC$2&lt;=09_ガント元データ!$H123),"■",""))</f>
        <v/>
      </c>
      <c r="AD124" s="24" t="str">
        <f aca="false">IF($A124="","",IF(AND(AD$2&gt;=09_ガント元データ!$G123,AD$2&lt;=09_ガント元データ!$H123),"■",""))</f>
        <v/>
      </c>
      <c r="AE124" s="24" t="str">
        <f aca="false">IF($A124="","",IF(AND(AE$2&gt;=09_ガント元データ!$G123,AE$2&lt;=09_ガント元データ!$H123),"■",""))</f>
        <v/>
      </c>
      <c r="AF124" s="24" t="str">
        <f aca="false">IF($A124="","",IF(AND(AF$2&gt;=09_ガント元データ!$G123,AF$2&lt;=09_ガント元データ!$H123),"■",""))</f>
        <v/>
      </c>
      <c r="AG124" s="24" t="str">
        <f aca="false">IF($A124="","",IF(AND(AG$2&gt;=09_ガント元データ!$G123,AG$2&lt;=09_ガント元データ!$H123),"■",""))</f>
        <v/>
      </c>
      <c r="AH124" s="24" t="str">
        <f aca="false">IF($A124="","",IF(AND(AH$2&gt;=09_ガント元データ!$G123,AH$2&lt;=09_ガント元データ!$H123),"■",""))</f>
        <v/>
      </c>
      <c r="AI124" s="24" t="str">
        <f aca="false">IF($A124="","",IF(AND(AI$2&gt;=09_ガント元データ!$G123,AI$2&lt;=09_ガント元データ!$H123),"■",""))</f>
        <v/>
      </c>
      <c r="AJ124" s="24" t="str">
        <f aca="false">IF($A124="","",IF(AND(AJ$2&gt;=09_ガント元データ!$G123,AJ$2&lt;=09_ガント元データ!$H123),"■",""))</f>
        <v/>
      </c>
      <c r="AK124" s="24" t="str">
        <f aca="false">IF($A124="","",IF(AND(AK$2&gt;=09_ガント元データ!$G123,AK$2&lt;=09_ガント元データ!$H123),"■",""))</f>
        <v/>
      </c>
      <c r="AL124" s="24" t="str">
        <f aca="false">IF($A124="","",IF(AND(AL$2&gt;=09_ガント元データ!$G123,AL$2&lt;=09_ガント元データ!$H123),"■",""))</f>
        <v/>
      </c>
      <c r="AM124" s="24" t="str">
        <f aca="false">IF($A124="","",IF(AND(AM$2&gt;=09_ガント元データ!$G123,AM$2&lt;=09_ガント元データ!$H123),"■",""))</f>
        <v/>
      </c>
    </row>
    <row r="125" customFormat="false" ht="15" hidden="false" customHeight="false" outlineLevel="0" collapsed="false">
      <c r="A125" s="22" t="str">
        <f aca="false">09_ガント元データ!A124</f>
        <v/>
      </c>
      <c r="B125" s="22" t="str">
        <f aca="false">09_ガント元データ!B124</f>
        <v/>
      </c>
      <c r="C125" s="23" t="str">
        <f aca="false">09_ガント元データ!C124</f>
        <v/>
      </c>
      <c r="D125" s="24" t="str">
        <f aca="false">IF($A125="","",IF(AND(D$2&gt;=09_ガント元データ!$G124,D$2&lt;=09_ガント元データ!$H124),"■",""))</f>
        <v/>
      </c>
      <c r="E125" s="24" t="str">
        <f aca="false">IF($A125="","",IF(AND(E$2&gt;=09_ガント元データ!$G124,E$2&lt;=09_ガント元データ!$H124),"■",""))</f>
        <v/>
      </c>
      <c r="F125" s="24" t="str">
        <f aca="false">IF($A125="","",IF(AND(F$2&gt;=09_ガント元データ!$G124,F$2&lt;=09_ガント元データ!$H124),"■",""))</f>
        <v/>
      </c>
      <c r="G125" s="24" t="str">
        <f aca="false">IF($A125="","",IF(AND(G$2&gt;=09_ガント元データ!$G124,G$2&lt;=09_ガント元データ!$H124),"■",""))</f>
        <v/>
      </c>
      <c r="H125" s="24" t="str">
        <f aca="false">IF($A125="","",IF(AND(H$2&gt;=09_ガント元データ!$G124,H$2&lt;=09_ガント元データ!$H124),"■",""))</f>
        <v/>
      </c>
      <c r="I125" s="24" t="str">
        <f aca="false">IF($A125="","",IF(AND(I$2&gt;=09_ガント元データ!$G124,I$2&lt;=09_ガント元データ!$H124),"■",""))</f>
        <v/>
      </c>
      <c r="J125" s="24" t="str">
        <f aca="false">IF($A125="","",IF(AND(J$2&gt;=09_ガント元データ!$G124,J$2&lt;=09_ガント元データ!$H124),"■",""))</f>
        <v/>
      </c>
      <c r="K125" s="24" t="str">
        <f aca="false">IF($A125="","",IF(AND(K$2&gt;=09_ガント元データ!$G124,K$2&lt;=09_ガント元データ!$H124),"■",""))</f>
        <v/>
      </c>
      <c r="L125" s="24" t="str">
        <f aca="false">IF($A125="","",IF(AND(L$2&gt;=09_ガント元データ!$G124,L$2&lt;=09_ガント元データ!$H124),"■",""))</f>
        <v/>
      </c>
      <c r="M125" s="24" t="str">
        <f aca="false">IF($A125="","",IF(AND(M$2&gt;=09_ガント元データ!$G124,M$2&lt;=09_ガント元データ!$H124),"■",""))</f>
        <v/>
      </c>
      <c r="N125" s="24" t="str">
        <f aca="false">IF($A125="","",IF(AND(N$2&gt;=09_ガント元データ!$G124,N$2&lt;=09_ガント元データ!$H124),"■",""))</f>
        <v/>
      </c>
      <c r="O125" s="24" t="str">
        <f aca="false">IF($A125="","",IF(AND(O$2&gt;=09_ガント元データ!$G124,O$2&lt;=09_ガント元データ!$H124),"■",""))</f>
        <v/>
      </c>
      <c r="P125" s="24" t="str">
        <f aca="false">IF($A125="","",IF(AND(P$2&gt;=09_ガント元データ!$G124,P$2&lt;=09_ガント元データ!$H124),"■",""))</f>
        <v/>
      </c>
      <c r="Q125" s="24" t="str">
        <f aca="false">IF($A125="","",IF(AND(Q$2&gt;=09_ガント元データ!$G124,Q$2&lt;=09_ガント元データ!$H124),"■",""))</f>
        <v/>
      </c>
      <c r="R125" s="24" t="str">
        <f aca="false">IF($A125="","",IF(AND(R$2&gt;=09_ガント元データ!$G124,R$2&lt;=09_ガント元データ!$H124),"■",""))</f>
        <v/>
      </c>
      <c r="S125" s="24" t="str">
        <f aca="false">IF($A125="","",IF(AND(S$2&gt;=09_ガント元データ!$G124,S$2&lt;=09_ガント元データ!$H124),"■",""))</f>
        <v/>
      </c>
      <c r="T125" s="24" t="str">
        <f aca="false">IF($A125="","",IF(AND(T$2&gt;=09_ガント元データ!$G124,T$2&lt;=09_ガント元データ!$H124),"■",""))</f>
        <v/>
      </c>
      <c r="U125" s="24" t="str">
        <f aca="false">IF($A125="","",IF(AND(U$2&gt;=09_ガント元データ!$G124,U$2&lt;=09_ガント元データ!$H124),"■",""))</f>
        <v/>
      </c>
      <c r="V125" s="24" t="str">
        <f aca="false">IF($A125="","",IF(AND(V$2&gt;=09_ガント元データ!$G124,V$2&lt;=09_ガント元データ!$H124),"■",""))</f>
        <v/>
      </c>
      <c r="W125" s="24" t="str">
        <f aca="false">IF($A125="","",IF(AND(W$2&gt;=09_ガント元データ!$G124,W$2&lt;=09_ガント元データ!$H124),"■",""))</f>
        <v/>
      </c>
      <c r="X125" s="24" t="str">
        <f aca="false">IF($A125="","",IF(AND(X$2&gt;=09_ガント元データ!$G124,X$2&lt;=09_ガント元データ!$H124),"■",""))</f>
        <v/>
      </c>
      <c r="Y125" s="24" t="str">
        <f aca="false">IF($A125="","",IF(AND(Y$2&gt;=09_ガント元データ!$G124,Y$2&lt;=09_ガント元データ!$H124),"■",""))</f>
        <v/>
      </c>
      <c r="Z125" s="24" t="str">
        <f aca="false">IF($A125="","",IF(AND(Z$2&gt;=09_ガント元データ!$G124,Z$2&lt;=09_ガント元データ!$H124),"■",""))</f>
        <v/>
      </c>
      <c r="AA125" s="24" t="str">
        <f aca="false">IF($A125="","",IF(AND(AA$2&gt;=09_ガント元データ!$G124,AA$2&lt;=09_ガント元データ!$H124),"■",""))</f>
        <v/>
      </c>
      <c r="AB125" s="24" t="str">
        <f aca="false">IF($A125="","",IF(AND(AB$2&gt;=09_ガント元データ!$G124,AB$2&lt;=09_ガント元データ!$H124),"■",""))</f>
        <v/>
      </c>
      <c r="AC125" s="24" t="str">
        <f aca="false">IF($A125="","",IF(AND(AC$2&gt;=09_ガント元データ!$G124,AC$2&lt;=09_ガント元データ!$H124),"■",""))</f>
        <v/>
      </c>
      <c r="AD125" s="24" t="str">
        <f aca="false">IF($A125="","",IF(AND(AD$2&gt;=09_ガント元データ!$G124,AD$2&lt;=09_ガント元データ!$H124),"■",""))</f>
        <v/>
      </c>
      <c r="AE125" s="24" t="str">
        <f aca="false">IF($A125="","",IF(AND(AE$2&gt;=09_ガント元データ!$G124,AE$2&lt;=09_ガント元データ!$H124),"■",""))</f>
        <v/>
      </c>
      <c r="AF125" s="24" t="str">
        <f aca="false">IF($A125="","",IF(AND(AF$2&gt;=09_ガント元データ!$G124,AF$2&lt;=09_ガント元データ!$H124),"■",""))</f>
        <v/>
      </c>
      <c r="AG125" s="24" t="str">
        <f aca="false">IF($A125="","",IF(AND(AG$2&gt;=09_ガント元データ!$G124,AG$2&lt;=09_ガント元データ!$H124),"■",""))</f>
        <v/>
      </c>
      <c r="AH125" s="24" t="str">
        <f aca="false">IF($A125="","",IF(AND(AH$2&gt;=09_ガント元データ!$G124,AH$2&lt;=09_ガント元データ!$H124),"■",""))</f>
        <v/>
      </c>
      <c r="AI125" s="24" t="str">
        <f aca="false">IF($A125="","",IF(AND(AI$2&gt;=09_ガント元データ!$G124,AI$2&lt;=09_ガント元データ!$H124),"■",""))</f>
        <v/>
      </c>
      <c r="AJ125" s="24" t="str">
        <f aca="false">IF($A125="","",IF(AND(AJ$2&gt;=09_ガント元データ!$G124,AJ$2&lt;=09_ガント元データ!$H124),"■",""))</f>
        <v/>
      </c>
      <c r="AK125" s="24" t="str">
        <f aca="false">IF($A125="","",IF(AND(AK$2&gt;=09_ガント元データ!$G124,AK$2&lt;=09_ガント元データ!$H124),"■",""))</f>
        <v/>
      </c>
      <c r="AL125" s="24" t="str">
        <f aca="false">IF($A125="","",IF(AND(AL$2&gt;=09_ガント元データ!$G124,AL$2&lt;=09_ガント元データ!$H124),"■",""))</f>
        <v/>
      </c>
      <c r="AM125" s="24" t="str">
        <f aca="false">IF($A125="","",IF(AND(AM$2&gt;=09_ガント元データ!$G124,AM$2&lt;=09_ガント元データ!$H124),"■",""))</f>
        <v/>
      </c>
    </row>
    <row r="126" customFormat="false" ht="15" hidden="false" customHeight="false" outlineLevel="0" collapsed="false">
      <c r="A126" s="22" t="str">
        <f aca="false">09_ガント元データ!A125</f>
        <v/>
      </c>
      <c r="B126" s="22" t="str">
        <f aca="false">09_ガント元データ!B125</f>
        <v/>
      </c>
      <c r="C126" s="23" t="str">
        <f aca="false">09_ガント元データ!C125</f>
        <v/>
      </c>
      <c r="D126" s="24" t="str">
        <f aca="false">IF($A126="","",IF(AND(D$2&gt;=09_ガント元データ!$G125,D$2&lt;=09_ガント元データ!$H125),"■",""))</f>
        <v/>
      </c>
      <c r="E126" s="24" t="str">
        <f aca="false">IF($A126="","",IF(AND(E$2&gt;=09_ガント元データ!$G125,E$2&lt;=09_ガント元データ!$H125),"■",""))</f>
        <v/>
      </c>
      <c r="F126" s="24" t="str">
        <f aca="false">IF($A126="","",IF(AND(F$2&gt;=09_ガント元データ!$G125,F$2&lt;=09_ガント元データ!$H125),"■",""))</f>
        <v/>
      </c>
      <c r="G126" s="24" t="str">
        <f aca="false">IF($A126="","",IF(AND(G$2&gt;=09_ガント元データ!$G125,G$2&lt;=09_ガント元データ!$H125),"■",""))</f>
        <v/>
      </c>
      <c r="H126" s="24" t="str">
        <f aca="false">IF($A126="","",IF(AND(H$2&gt;=09_ガント元データ!$G125,H$2&lt;=09_ガント元データ!$H125),"■",""))</f>
        <v/>
      </c>
      <c r="I126" s="24" t="str">
        <f aca="false">IF($A126="","",IF(AND(I$2&gt;=09_ガント元データ!$G125,I$2&lt;=09_ガント元データ!$H125),"■",""))</f>
        <v/>
      </c>
      <c r="J126" s="24" t="str">
        <f aca="false">IF($A126="","",IF(AND(J$2&gt;=09_ガント元データ!$G125,J$2&lt;=09_ガント元データ!$H125),"■",""))</f>
        <v/>
      </c>
      <c r="K126" s="24" t="str">
        <f aca="false">IF($A126="","",IF(AND(K$2&gt;=09_ガント元データ!$G125,K$2&lt;=09_ガント元データ!$H125),"■",""))</f>
        <v/>
      </c>
      <c r="L126" s="24" t="str">
        <f aca="false">IF($A126="","",IF(AND(L$2&gt;=09_ガント元データ!$G125,L$2&lt;=09_ガント元データ!$H125),"■",""))</f>
        <v/>
      </c>
      <c r="M126" s="24" t="str">
        <f aca="false">IF($A126="","",IF(AND(M$2&gt;=09_ガント元データ!$G125,M$2&lt;=09_ガント元データ!$H125),"■",""))</f>
        <v/>
      </c>
      <c r="N126" s="24" t="str">
        <f aca="false">IF($A126="","",IF(AND(N$2&gt;=09_ガント元データ!$G125,N$2&lt;=09_ガント元データ!$H125),"■",""))</f>
        <v/>
      </c>
      <c r="O126" s="24" t="str">
        <f aca="false">IF($A126="","",IF(AND(O$2&gt;=09_ガント元データ!$G125,O$2&lt;=09_ガント元データ!$H125),"■",""))</f>
        <v/>
      </c>
      <c r="P126" s="24" t="str">
        <f aca="false">IF($A126="","",IF(AND(P$2&gt;=09_ガント元データ!$G125,P$2&lt;=09_ガント元データ!$H125),"■",""))</f>
        <v/>
      </c>
      <c r="Q126" s="24" t="str">
        <f aca="false">IF($A126="","",IF(AND(Q$2&gt;=09_ガント元データ!$G125,Q$2&lt;=09_ガント元データ!$H125),"■",""))</f>
        <v/>
      </c>
      <c r="R126" s="24" t="str">
        <f aca="false">IF($A126="","",IF(AND(R$2&gt;=09_ガント元データ!$G125,R$2&lt;=09_ガント元データ!$H125),"■",""))</f>
        <v/>
      </c>
      <c r="S126" s="24" t="str">
        <f aca="false">IF($A126="","",IF(AND(S$2&gt;=09_ガント元データ!$G125,S$2&lt;=09_ガント元データ!$H125),"■",""))</f>
        <v/>
      </c>
      <c r="T126" s="24" t="str">
        <f aca="false">IF($A126="","",IF(AND(T$2&gt;=09_ガント元データ!$G125,T$2&lt;=09_ガント元データ!$H125),"■",""))</f>
        <v/>
      </c>
      <c r="U126" s="24" t="str">
        <f aca="false">IF($A126="","",IF(AND(U$2&gt;=09_ガント元データ!$G125,U$2&lt;=09_ガント元データ!$H125),"■",""))</f>
        <v/>
      </c>
      <c r="V126" s="24" t="str">
        <f aca="false">IF($A126="","",IF(AND(V$2&gt;=09_ガント元データ!$G125,V$2&lt;=09_ガント元データ!$H125),"■",""))</f>
        <v/>
      </c>
      <c r="W126" s="24" t="str">
        <f aca="false">IF($A126="","",IF(AND(W$2&gt;=09_ガント元データ!$G125,W$2&lt;=09_ガント元データ!$H125),"■",""))</f>
        <v/>
      </c>
      <c r="X126" s="24" t="str">
        <f aca="false">IF($A126="","",IF(AND(X$2&gt;=09_ガント元データ!$G125,X$2&lt;=09_ガント元データ!$H125),"■",""))</f>
        <v/>
      </c>
      <c r="Y126" s="24" t="str">
        <f aca="false">IF($A126="","",IF(AND(Y$2&gt;=09_ガント元データ!$G125,Y$2&lt;=09_ガント元データ!$H125),"■",""))</f>
        <v/>
      </c>
      <c r="Z126" s="24" t="str">
        <f aca="false">IF($A126="","",IF(AND(Z$2&gt;=09_ガント元データ!$G125,Z$2&lt;=09_ガント元データ!$H125),"■",""))</f>
        <v/>
      </c>
      <c r="AA126" s="24" t="str">
        <f aca="false">IF($A126="","",IF(AND(AA$2&gt;=09_ガント元データ!$G125,AA$2&lt;=09_ガント元データ!$H125),"■",""))</f>
        <v/>
      </c>
      <c r="AB126" s="24" t="str">
        <f aca="false">IF($A126="","",IF(AND(AB$2&gt;=09_ガント元データ!$G125,AB$2&lt;=09_ガント元データ!$H125),"■",""))</f>
        <v/>
      </c>
      <c r="AC126" s="24" t="str">
        <f aca="false">IF($A126="","",IF(AND(AC$2&gt;=09_ガント元データ!$G125,AC$2&lt;=09_ガント元データ!$H125),"■",""))</f>
        <v/>
      </c>
      <c r="AD126" s="24" t="str">
        <f aca="false">IF($A126="","",IF(AND(AD$2&gt;=09_ガント元データ!$G125,AD$2&lt;=09_ガント元データ!$H125),"■",""))</f>
        <v/>
      </c>
      <c r="AE126" s="24" t="str">
        <f aca="false">IF($A126="","",IF(AND(AE$2&gt;=09_ガント元データ!$G125,AE$2&lt;=09_ガント元データ!$H125),"■",""))</f>
        <v/>
      </c>
      <c r="AF126" s="24" t="str">
        <f aca="false">IF($A126="","",IF(AND(AF$2&gt;=09_ガント元データ!$G125,AF$2&lt;=09_ガント元データ!$H125),"■",""))</f>
        <v/>
      </c>
      <c r="AG126" s="24" t="str">
        <f aca="false">IF($A126="","",IF(AND(AG$2&gt;=09_ガント元データ!$G125,AG$2&lt;=09_ガント元データ!$H125),"■",""))</f>
        <v/>
      </c>
      <c r="AH126" s="24" t="str">
        <f aca="false">IF($A126="","",IF(AND(AH$2&gt;=09_ガント元データ!$G125,AH$2&lt;=09_ガント元データ!$H125),"■",""))</f>
        <v/>
      </c>
      <c r="AI126" s="24" t="str">
        <f aca="false">IF($A126="","",IF(AND(AI$2&gt;=09_ガント元データ!$G125,AI$2&lt;=09_ガント元データ!$H125),"■",""))</f>
        <v/>
      </c>
      <c r="AJ126" s="24" t="str">
        <f aca="false">IF($A126="","",IF(AND(AJ$2&gt;=09_ガント元データ!$G125,AJ$2&lt;=09_ガント元データ!$H125),"■",""))</f>
        <v/>
      </c>
      <c r="AK126" s="24" t="str">
        <f aca="false">IF($A126="","",IF(AND(AK$2&gt;=09_ガント元データ!$G125,AK$2&lt;=09_ガント元データ!$H125),"■",""))</f>
        <v/>
      </c>
      <c r="AL126" s="24" t="str">
        <f aca="false">IF($A126="","",IF(AND(AL$2&gt;=09_ガント元データ!$G125,AL$2&lt;=09_ガント元データ!$H125),"■",""))</f>
        <v/>
      </c>
      <c r="AM126" s="24" t="str">
        <f aca="false">IF($A126="","",IF(AND(AM$2&gt;=09_ガント元データ!$G125,AM$2&lt;=09_ガント元データ!$H125),"■",""))</f>
        <v/>
      </c>
    </row>
    <row r="127" customFormat="false" ht="15" hidden="false" customHeight="false" outlineLevel="0" collapsed="false">
      <c r="A127" s="22" t="str">
        <f aca="false">09_ガント元データ!A126</f>
        <v/>
      </c>
      <c r="B127" s="22" t="str">
        <f aca="false">09_ガント元データ!B126</f>
        <v/>
      </c>
      <c r="C127" s="23" t="str">
        <f aca="false">09_ガント元データ!C126</f>
        <v/>
      </c>
      <c r="D127" s="24" t="str">
        <f aca="false">IF($A127="","",IF(AND(D$2&gt;=09_ガント元データ!$G126,D$2&lt;=09_ガント元データ!$H126),"■",""))</f>
        <v/>
      </c>
      <c r="E127" s="24" t="str">
        <f aca="false">IF($A127="","",IF(AND(E$2&gt;=09_ガント元データ!$G126,E$2&lt;=09_ガント元データ!$H126),"■",""))</f>
        <v/>
      </c>
      <c r="F127" s="24" t="str">
        <f aca="false">IF($A127="","",IF(AND(F$2&gt;=09_ガント元データ!$G126,F$2&lt;=09_ガント元データ!$H126),"■",""))</f>
        <v/>
      </c>
      <c r="G127" s="24" t="str">
        <f aca="false">IF($A127="","",IF(AND(G$2&gt;=09_ガント元データ!$G126,G$2&lt;=09_ガント元データ!$H126),"■",""))</f>
        <v/>
      </c>
      <c r="H127" s="24" t="str">
        <f aca="false">IF($A127="","",IF(AND(H$2&gt;=09_ガント元データ!$G126,H$2&lt;=09_ガント元データ!$H126),"■",""))</f>
        <v/>
      </c>
      <c r="I127" s="24" t="str">
        <f aca="false">IF($A127="","",IF(AND(I$2&gt;=09_ガント元データ!$G126,I$2&lt;=09_ガント元データ!$H126),"■",""))</f>
        <v/>
      </c>
      <c r="J127" s="24" t="str">
        <f aca="false">IF($A127="","",IF(AND(J$2&gt;=09_ガント元データ!$G126,J$2&lt;=09_ガント元データ!$H126),"■",""))</f>
        <v/>
      </c>
      <c r="K127" s="24" t="str">
        <f aca="false">IF($A127="","",IF(AND(K$2&gt;=09_ガント元データ!$G126,K$2&lt;=09_ガント元データ!$H126),"■",""))</f>
        <v/>
      </c>
      <c r="L127" s="24" t="str">
        <f aca="false">IF($A127="","",IF(AND(L$2&gt;=09_ガント元データ!$G126,L$2&lt;=09_ガント元データ!$H126),"■",""))</f>
        <v/>
      </c>
      <c r="M127" s="24" t="str">
        <f aca="false">IF($A127="","",IF(AND(M$2&gt;=09_ガント元データ!$G126,M$2&lt;=09_ガント元データ!$H126),"■",""))</f>
        <v/>
      </c>
      <c r="N127" s="24" t="str">
        <f aca="false">IF($A127="","",IF(AND(N$2&gt;=09_ガント元データ!$G126,N$2&lt;=09_ガント元データ!$H126),"■",""))</f>
        <v/>
      </c>
      <c r="O127" s="24" t="str">
        <f aca="false">IF($A127="","",IF(AND(O$2&gt;=09_ガント元データ!$G126,O$2&lt;=09_ガント元データ!$H126),"■",""))</f>
        <v/>
      </c>
      <c r="P127" s="24" t="str">
        <f aca="false">IF($A127="","",IF(AND(P$2&gt;=09_ガント元データ!$G126,P$2&lt;=09_ガント元データ!$H126),"■",""))</f>
        <v/>
      </c>
      <c r="Q127" s="24" t="str">
        <f aca="false">IF($A127="","",IF(AND(Q$2&gt;=09_ガント元データ!$G126,Q$2&lt;=09_ガント元データ!$H126),"■",""))</f>
        <v/>
      </c>
      <c r="R127" s="24" t="str">
        <f aca="false">IF($A127="","",IF(AND(R$2&gt;=09_ガント元データ!$G126,R$2&lt;=09_ガント元データ!$H126),"■",""))</f>
        <v/>
      </c>
      <c r="S127" s="24" t="str">
        <f aca="false">IF($A127="","",IF(AND(S$2&gt;=09_ガント元データ!$G126,S$2&lt;=09_ガント元データ!$H126),"■",""))</f>
        <v/>
      </c>
      <c r="T127" s="24" t="str">
        <f aca="false">IF($A127="","",IF(AND(T$2&gt;=09_ガント元データ!$G126,T$2&lt;=09_ガント元データ!$H126),"■",""))</f>
        <v/>
      </c>
      <c r="U127" s="24" t="str">
        <f aca="false">IF($A127="","",IF(AND(U$2&gt;=09_ガント元データ!$G126,U$2&lt;=09_ガント元データ!$H126),"■",""))</f>
        <v/>
      </c>
      <c r="V127" s="24" t="str">
        <f aca="false">IF($A127="","",IF(AND(V$2&gt;=09_ガント元データ!$G126,V$2&lt;=09_ガント元データ!$H126),"■",""))</f>
        <v/>
      </c>
      <c r="W127" s="24" t="str">
        <f aca="false">IF($A127="","",IF(AND(W$2&gt;=09_ガント元データ!$G126,W$2&lt;=09_ガント元データ!$H126),"■",""))</f>
        <v/>
      </c>
      <c r="X127" s="24" t="str">
        <f aca="false">IF($A127="","",IF(AND(X$2&gt;=09_ガント元データ!$G126,X$2&lt;=09_ガント元データ!$H126),"■",""))</f>
        <v/>
      </c>
      <c r="Y127" s="24" t="str">
        <f aca="false">IF($A127="","",IF(AND(Y$2&gt;=09_ガント元データ!$G126,Y$2&lt;=09_ガント元データ!$H126),"■",""))</f>
        <v/>
      </c>
      <c r="Z127" s="24" t="str">
        <f aca="false">IF($A127="","",IF(AND(Z$2&gt;=09_ガント元データ!$G126,Z$2&lt;=09_ガント元データ!$H126),"■",""))</f>
        <v/>
      </c>
      <c r="AA127" s="24" t="str">
        <f aca="false">IF($A127="","",IF(AND(AA$2&gt;=09_ガント元データ!$G126,AA$2&lt;=09_ガント元データ!$H126),"■",""))</f>
        <v/>
      </c>
      <c r="AB127" s="24" t="str">
        <f aca="false">IF($A127="","",IF(AND(AB$2&gt;=09_ガント元データ!$G126,AB$2&lt;=09_ガント元データ!$H126),"■",""))</f>
        <v/>
      </c>
      <c r="AC127" s="24" t="str">
        <f aca="false">IF($A127="","",IF(AND(AC$2&gt;=09_ガント元データ!$G126,AC$2&lt;=09_ガント元データ!$H126),"■",""))</f>
        <v/>
      </c>
      <c r="AD127" s="24" t="str">
        <f aca="false">IF($A127="","",IF(AND(AD$2&gt;=09_ガント元データ!$G126,AD$2&lt;=09_ガント元データ!$H126),"■",""))</f>
        <v/>
      </c>
      <c r="AE127" s="24" t="str">
        <f aca="false">IF($A127="","",IF(AND(AE$2&gt;=09_ガント元データ!$G126,AE$2&lt;=09_ガント元データ!$H126),"■",""))</f>
        <v/>
      </c>
      <c r="AF127" s="24" t="str">
        <f aca="false">IF($A127="","",IF(AND(AF$2&gt;=09_ガント元データ!$G126,AF$2&lt;=09_ガント元データ!$H126),"■",""))</f>
        <v/>
      </c>
      <c r="AG127" s="24" t="str">
        <f aca="false">IF($A127="","",IF(AND(AG$2&gt;=09_ガント元データ!$G126,AG$2&lt;=09_ガント元データ!$H126),"■",""))</f>
        <v/>
      </c>
      <c r="AH127" s="24" t="str">
        <f aca="false">IF($A127="","",IF(AND(AH$2&gt;=09_ガント元データ!$G126,AH$2&lt;=09_ガント元データ!$H126),"■",""))</f>
        <v/>
      </c>
      <c r="AI127" s="24" t="str">
        <f aca="false">IF($A127="","",IF(AND(AI$2&gt;=09_ガント元データ!$G126,AI$2&lt;=09_ガント元データ!$H126),"■",""))</f>
        <v/>
      </c>
      <c r="AJ127" s="24" t="str">
        <f aca="false">IF($A127="","",IF(AND(AJ$2&gt;=09_ガント元データ!$G126,AJ$2&lt;=09_ガント元データ!$H126),"■",""))</f>
        <v/>
      </c>
      <c r="AK127" s="24" t="str">
        <f aca="false">IF($A127="","",IF(AND(AK$2&gt;=09_ガント元データ!$G126,AK$2&lt;=09_ガント元データ!$H126),"■",""))</f>
        <v/>
      </c>
      <c r="AL127" s="24" t="str">
        <f aca="false">IF($A127="","",IF(AND(AL$2&gt;=09_ガント元データ!$G126,AL$2&lt;=09_ガント元データ!$H126),"■",""))</f>
        <v/>
      </c>
      <c r="AM127" s="24" t="str">
        <f aca="false">IF($A127="","",IF(AND(AM$2&gt;=09_ガント元データ!$G126,AM$2&lt;=09_ガント元データ!$H126),"■",""))</f>
        <v/>
      </c>
    </row>
    <row r="128" customFormat="false" ht="15" hidden="false" customHeight="false" outlineLevel="0" collapsed="false">
      <c r="A128" s="22" t="str">
        <f aca="false">09_ガント元データ!A127</f>
        <v/>
      </c>
      <c r="B128" s="22" t="str">
        <f aca="false">09_ガント元データ!B127</f>
        <v/>
      </c>
      <c r="C128" s="23" t="str">
        <f aca="false">09_ガント元データ!C127</f>
        <v/>
      </c>
      <c r="D128" s="24" t="str">
        <f aca="false">IF($A128="","",IF(AND(D$2&gt;=09_ガント元データ!$G127,D$2&lt;=09_ガント元データ!$H127),"■",""))</f>
        <v/>
      </c>
      <c r="E128" s="24" t="str">
        <f aca="false">IF($A128="","",IF(AND(E$2&gt;=09_ガント元データ!$G127,E$2&lt;=09_ガント元データ!$H127),"■",""))</f>
        <v/>
      </c>
      <c r="F128" s="24" t="str">
        <f aca="false">IF($A128="","",IF(AND(F$2&gt;=09_ガント元データ!$G127,F$2&lt;=09_ガント元データ!$H127),"■",""))</f>
        <v/>
      </c>
      <c r="G128" s="24" t="str">
        <f aca="false">IF($A128="","",IF(AND(G$2&gt;=09_ガント元データ!$G127,G$2&lt;=09_ガント元データ!$H127),"■",""))</f>
        <v/>
      </c>
      <c r="H128" s="24" t="str">
        <f aca="false">IF($A128="","",IF(AND(H$2&gt;=09_ガント元データ!$G127,H$2&lt;=09_ガント元データ!$H127),"■",""))</f>
        <v/>
      </c>
      <c r="I128" s="24" t="str">
        <f aca="false">IF($A128="","",IF(AND(I$2&gt;=09_ガント元データ!$G127,I$2&lt;=09_ガント元データ!$H127),"■",""))</f>
        <v/>
      </c>
      <c r="J128" s="24" t="str">
        <f aca="false">IF($A128="","",IF(AND(J$2&gt;=09_ガント元データ!$G127,J$2&lt;=09_ガント元データ!$H127),"■",""))</f>
        <v/>
      </c>
      <c r="K128" s="24" t="str">
        <f aca="false">IF($A128="","",IF(AND(K$2&gt;=09_ガント元データ!$G127,K$2&lt;=09_ガント元データ!$H127),"■",""))</f>
        <v/>
      </c>
      <c r="L128" s="24" t="str">
        <f aca="false">IF($A128="","",IF(AND(L$2&gt;=09_ガント元データ!$G127,L$2&lt;=09_ガント元データ!$H127),"■",""))</f>
        <v/>
      </c>
      <c r="M128" s="24" t="str">
        <f aca="false">IF($A128="","",IF(AND(M$2&gt;=09_ガント元データ!$G127,M$2&lt;=09_ガント元データ!$H127),"■",""))</f>
        <v/>
      </c>
      <c r="N128" s="24" t="str">
        <f aca="false">IF($A128="","",IF(AND(N$2&gt;=09_ガント元データ!$G127,N$2&lt;=09_ガント元データ!$H127),"■",""))</f>
        <v/>
      </c>
      <c r="O128" s="24" t="str">
        <f aca="false">IF($A128="","",IF(AND(O$2&gt;=09_ガント元データ!$G127,O$2&lt;=09_ガント元データ!$H127),"■",""))</f>
        <v/>
      </c>
      <c r="P128" s="24" t="str">
        <f aca="false">IF($A128="","",IF(AND(P$2&gt;=09_ガント元データ!$G127,P$2&lt;=09_ガント元データ!$H127),"■",""))</f>
        <v/>
      </c>
      <c r="Q128" s="24" t="str">
        <f aca="false">IF($A128="","",IF(AND(Q$2&gt;=09_ガント元データ!$G127,Q$2&lt;=09_ガント元データ!$H127),"■",""))</f>
        <v/>
      </c>
      <c r="R128" s="24" t="str">
        <f aca="false">IF($A128="","",IF(AND(R$2&gt;=09_ガント元データ!$G127,R$2&lt;=09_ガント元データ!$H127),"■",""))</f>
        <v/>
      </c>
      <c r="S128" s="24" t="str">
        <f aca="false">IF($A128="","",IF(AND(S$2&gt;=09_ガント元データ!$G127,S$2&lt;=09_ガント元データ!$H127),"■",""))</f>
        <v/>
      </c>
      <c r="T128" s="24" t="str">
        <f aca="false">IF($A128="","",IF(AND(T$2&gt;=09_ガント元データ!$G127,T$2&lt;=09_ガント元データ!$H127),"■",""))</f>
        <v/>
      </c>
      <c r="U128" s="24" t="str">
        <f aca="false">IF($A128="","",IF(AND(U$2&gt;=09_ガント元データ!$G127,U$2&lt;=09_ガント元データ!$H127),"■",""))</f>
        <v/>
      </c>
      <c r="V128" s="24" t="str">
        <f aca="false">IF($A128="","",IF(AND(V$2&gt;=09_ガント元データ!$G127,V$2&lt;=09_ガント元データ!$H127),"■",""))</f>
        <v/>
      </c>
      <c r="W128" s="24" t="str">
        <f aca="false">IF($A128="","",IF(AND(W$2&gt;=09_ガント元データ!$G127,W$2&lt;=09_ガント元データ!$H127),"■",""))</f>
        <v/>
      </c>
      <c r="X128" s="24" t="str">
        <f aca="false">IF($A128="","",IF(AND(X$2&gt;=09_ガント元データ!$G127,X$2&lt;=09_ガント元データ!$H127),"■",""))</f>
        <v/>
      </c>
      <c r="Y128" s="24" t="str">
        <f aca="false">IF($A128="","",IF(AND(Y$2&gt;=09_ガント元データ!$G127,Y$2&lt;=09_ガント元データ!$H127),"■",""))</f>
        <v/>
      </c>
      <c r="Z128" s="24" t="str">
        <f aca="false">IF($A128="","",IF(AND(Z$2&gt;=09_ガント元データ!$G127,Z$2&lt;=09_ガント元データ!$H127),"■",""))</f>
        <v/>
      </c>
      <c r="AA128" s="24" t="str">
        <f aca="false">IF($A128="","",IF(AND(AA$2&gt;=09_ガント元データ!$G127,AA$2&lt;=09_ガント元データ!$H127),"■",""))</f>
        <v/>
      </c>
      <c r="AB128" s="24" t="str">
        <f aca="false">IF($A128="","",IF(AND(AB$2&gt;=09_ガント元データ!$G127,AB$2&lt;=09_ガント元データ!$H127),"■",""))</f>
        <v/>
      </c>
      <c r="AC128" s="24" t="str">
        <f aca="false">IF($A128="","",IF(AND(AC$2&gt;=09_ガント元データ!$G127,AC$2&lt;=09_ガント元データ!$H127),"■",""))</f>
        <v/>
      </c>
      <c r="AD128" s="24" t="str">
        <f aca="false">IF($A128="","",IF(AND(AD$2&gt;=09_ガント元データ!$G127,AD$2&lt;=09_ガント元データ!$H127),"■",""))</f>
        <v/>
      </c>
      <c r="AE128" s="24" t="str">
        <f aca="false">IF($A128="","",IF(AND(AE$2&gt;=09_ガント元データ!$G127,AE$2&lt;=09_ガント元データ!$H127),"■",""))</f>
        <v/>
      </c>
      <c r="AF128" s="24" t="str">
        <f aca="false">IF($A128="","",IF(AND(AF$2&gt;=09_ガント元データ!$G127,AF$2&lt;=09_ガント元データ!$H127),"■",""))</f>
        <v/>
      </c>
      <c r="AG128" s="24" t="str">
        <f aca="false">IF($A128="","",IF(AND(AG$2&gt;=09_ガント元データ!$G127,AG$2&lt;=09_ガント元データ!$H127),"■",""))</f>
        <v/>
      </c>
      <c r="AH128" s="24" t="str">
        <f aca="false">IF($A128="","",IF(AND(AH$2&gt;=09_ガント元データ!$G127,AH$2&lt;=09_ガント元データ!$H127),"■",""))</f>
        <v/>
      </c>
      <c r="AI128" s="24" t="str">
        <f aca="false">IF($A128="","",IF(AND(AI$2&gt;=09_ガント元データ!$G127,AI$2&lt;=09_ガント元データ!$H127),"■",""))</f>
        <v/>
      </c>
      <c r="AJ128" s="24" t="str">
        <f aca="false">IF($A128="","",IF(AND(AJ$2&gt;=09_ガント元データ!$G127,AJ$2&lt;=09_ガント元データ!$H127),"■",""))</f>
        <v/>
      </c>
      <c r="AK128" s="24" t="str">
        <f aca="false">IF($A128="","",IF(AND(AK$2&gt;=09_ガント元データ!$G127,AK$2&lt;=09_ガント元データ!$H127),"■",""))</f>
        <v/>
      </c>
      <c r="AL128" s="24" t="str">
        <f aca="false">IF($A128="","",IF(AND(AL$2&gt;=09_ガント元データ!$G127,AL$2&lt;=09_ガント元データ!$H127),"■",""))</f>
        <v/>
      </c>
      <c r="AM128" s="24" t="str">
        <f aca="false">IF($A128="","",IF(AND(AM$2&gt;=09_ガント元データ!$G127,AM$2&lt;=09_ガント元データ!$H127),"■",""))</f>
        <v/>
      </c>
    </row>
    <row r="129" customFormat="false" ht="15" hidden="false" customHeight="false" outlineLevel="0" collapsed="false">
      <c r="A129" s="22" t="str">
        <f aca="false">09_ガント元データ!A128</f>
        <v/>
      </c>
      <c r="B129" s="22" t="str">
        <f aca="false">09_ガント元データ!B128</f>
        <v/>
      </c>
      <c r="C129" s="23" t="str">
        <f aca="false">09_ガント元データ!C128</f>
        <v/>
      </c>
      <c r="D129" s="24" t="str">
        <f aca="false">IF($A129="","",IF(AND(D$2&gt;=09_ガント元データ!$G128,D$2&lt;=09_ガント元データ!$H128),"■",""))</f>
        <v/>
      </c>
      <c r="E129" s="24" t="str">
        <f aca="false">IF($A129="","",IF(AND(E$2&gt;=09_ガント元データ!$G128,E$2&lt;=09_ガント元データ!$H128),"■",""))</f>
        <v/>
      </c>
      <c r="F129" s="24" t="str">
        <f aca="false">IF($A129="","",IF(AND(F$2&gt;=09_ガント元データ!$G128,F$2&lt;=09_ガント元データ!$H128),"■",""))</f>
        <v/>
      </c>
      <c r="G129" s="24" t="str">
        <f aca="false">IF($A129="","",IF(AND(G$2&gt;=09_ガント元データ!$G128,G$2&lt;=09_ガント元データ!$H128),"■",""))</f>
        <v/>
      </c>
      <c r="H129" s="24" t="str">
        <f aca="false">IF($A129="","",IF(AND(H$2&gt;=09_ガント元データ!$G128,H$2&lt;=09_ガント元データ!$H128),"■",""))</f>
        <v/>
      </c>
      <c r="I129" s="24" t="str">
        <f aca="false">IF($A129="","",IF(AND(I$2&gt;=09_ガント元データ!$G128,I$2&lt;=09_ガント元データ!$H128),"■",""))</f>
        <v/>
      </c>
      <c r="J129" s="24" t="str">
        <f aca="false">IF($A129="","",IF(AND(J$2&gt;=09_ガント元データ!$G128,J$2&lt;=09_ガント元データ!$H128),"■",""))</f>
        <v/>
      </c>
      <c r="K129" s="24" t="str">
        <f aca="false">IF($A129="","",IF(AND(K$2&gt;=09_ガント元データ!$G128,K$2&lt;=09_ガント元データ!$H128),"■",""))</f>
        <v/>
      </c>
      <c r="L129" s="24" t="str">
        <f aca="false">IF($A129="","",IF(AND(L$2&gt;=09_ガント元データ!$G128,L$2&lt;=09_ガント元データ!$H128),"■",""))</f>
        <v/>
      </c>
      <c r="M129" s="24" t="str">
        <f aca="false">IF($A129="","",IF(AND(M$2&gt;=09_ガント元データ!$G128,M$2&lt;=09_ガント元データ!$H128),"■",""))</f>
        <v/>
      </c>
      <c r="N129" s="24" t="str">
        <f aca="false">IF($A129="","",IF(AND(N$2&gt;=09_ガント元データ!$G128,N$2&lt;=09_ガント元データ!$H128),"■",""))</f>
        <v/>
      </c>
      <c r="O129" s="24" t="str">
        <f aca="false">IF($A129="","",IF(AND(O$2&gt;=09_ガント元データ!$G128,O$2&lt;=09_ガント元データ!$H128),"■",""))</f>
        <v/>
      </c>
      <c r="P129" s="24" t="str">
        <f aca="false">IF($A129="","",IF(AND(P$2&gt;=09_ガント元データ!$G128,P$2&lt;=09_ガント元データ!$H128),"■",""))</f>
        <v/>
      </c>
      <c r="Q129" s="24" t="str">
        <f aca="false">IF($A129="","",IF(AND(Q$2&gt;=09_ガント元データ!$G128,Q$2&lt;=09_ガント元データ!$H128),"■",""))</f>
        <v/>
      </c>
      <c r="R129" s="24" t="str">
        <f aca="false">IF($A129="","",IF(AND(R$2&gt;=09_ガント元データ!$G128,R$2&lt;=09_ガント元データ!$H128),"■",""))</f>
        <v/>
      </c>
      <c r="S129" s="24" t="str">
        <f aca="false">IF($A129="","",IF(AND(S$2&gt;=09_ガント元データ!$G128,S$2&lt;=09_ガント元データ!$H128),"■",""))</f>
        <v/>
      </c>
      <c r="T129" s="24" t="str">
        <f aca="false">IF($A129="","",IF(AND(T$2&gt;=09_ガント元データ!$G128,T$2&lt;=09_ガント元データ!$H128),"■",""))</f>
        <v/>
      </c>
      <c r="U129" s="24" t="str">
        <f aca="false">IF($A129="","",IF(AND(U$2&gt;=09_ガント元データ!$G128,U$2&lt;=09_ガント元データ!$H128),"■",""))</f>
        <v/>
      </c>
      <c r="V129" s="24" t="str">
        <f aca="false">IF($A129="","",IF(AND(V$2&gt;=09_ガント元データ!$G128,V$2&lt;=09_ガント元データ!$H128),"■",""))</f>
        <v/>
      </c>
      <c r="W129" s="24" t="str">
        <f aca="false">IF($A129="","",IF(AND(W$2&gt;=09_ガント元データ!$G128,W$2&lt;=09_ガント元データ!$H128),"■",""))</f>
        <v/>
      </c>
      <c r="X129" s="24" t="str">
        <f aca="false">IF($A129="","",IF(AND(X$2&gt;=09_ガント元データ!$G128,X$2&lt;=09_ガント元データ!$H128),"■",""))</f>
        <v/>
      </c>
      <c r="Y129" s="24" t="str">
        <f aca="false">IF($A129="","",IF(AND(Y$2&gt;=09_ガント元データ!$G128,Y$2&lt;=09_ガント元データ!$H128),"■",""))</f>
        <v/>
      </c>
      <c r="Z129" s="24" t="str">
        <f aca="false">IF($A129="","",IF(AND(Z$2&gt;=09_ガント元データ!$G128,Z$2&lt;=09_ガント元データ!$H128),"■",""))</f>
        <v/>
      </c>
      <c r="AA129" s="24" t="str">
        <f aca="false">IF($A129="","",IF(AND(AA$2&gt;=09_ガント元データ!$G128,AA$2&lt;=09_ガント元データ!$H128),"■",""))</f>
        <v/>
      </c>
      <c r="AB129" s="24" t="str">
        <f aca="false">IF($A129="","",IF(AND(AB$2&gt;=09_ガント元データ!$G128,AB$2&lt;=09_ガント元データ!$H128),"■",""))</f>
        <v/>
      </c>
      <c r="AC129" s="24" t="str">
        <f aca="false">IF($A129="","",IF(AND(AC$2&gt;=09_ガント元データ!$G128,AC$2&lt;=09_ガント元データ!$H128),"■",""))</f>
        <v/>
      </c>
      <c r="AD129" s="24" t="str">
        <f aca="false">IF($A129="","",IF(AND(AD$2&gt;=09_ガント元データ!$G128,AD$2&lt;=09_ガント元データ!$H128),"■",""))</f>
        <v/>
      </c>
      <c r="AE129" s="24" t="str">
        <f aca="false">IF($A129="","",IF(AND(AE$2&gt;=09_ガント元データ!$G128,AE$2&lt;=09_ガント元データ!$H128),"■",""))</f>
        <v/>
      </c>
      <c r="AF129" s="24" t="str">
        <f aca="false">IF($A129="","",IF(AND(AF$2&gt;=09_ガント元データ!$G128,AF$2&lt;=09_ガント元データ!$H128),"■",""))</f>
        <v/>
      </c>
      <c r="AG129" s="24" t="str">
        <f aca="false">IF($A129="","",IF(AND(AG$2&gt;=09_ガント元データ!$G128,AG$2&lt;=09_ガント元データ!$H128),"■",""))</f>
        <v/>
      </c>
      <c r="AH129" s="24" t="str">
        <f aca="false">IF($A129="","",IF(AND(AH$2&gt;=09_ガント元データ!$G128,AH$2&lt;=09_ガント元データ!$H128),"■",""))</f>
        <v/>
      </c>
      <c r="AI129" s="24" t="str">
        <f aca="false">IF($A129="","",IF(AND(AI$2&gt;=09_ガント元データ!$G128,AI$2&lt;=09_ガント元データ!$H128),"■",""))</f>
        <v/>
      </c>
      <c r="AJ129" s="24" t="str">
        <f aca="false">IF($A129="","",IF(AND(AJ$2&gt;=09_ガント元データ!$G128,AJ$2&lt;=09_ガント元データ!$H128),"■",""))</f>
        <v/>
      </c>
      <c r="AK129" s="24" t="str">
        <f aca="false">IF($A129="","",IF(AND(AK$2&gt;=09_ガント元データ!$G128,AK$2&lt;=09_ガント元データ!$H128),"■",""))</f>
        <v/>
      </c>
      <c r="AL129" s="24" t="str">
        <f aca="false">IF($A129="","",IF(AND(AL$2&gt;=09_ガント元データ!$G128,AL$2&lt;=09_ガント元データ!$H128),"■",""))</f>
        <v/>
      </c>
      <c r="AM129" s="24" t="str">
        <f aca="false">IF($A129="","",IF(AND(AM$2&gt;=09_ガント元データ!$G128,AM$2&lt;=09_ガント元データ!$H128),"■",""))</f>
        <v/>
      </c>
    </row>
    <row r="130" customFormat="false" ht="15" hidden="false" customHeight="false" outlineLevel="0" collapsed="false">
      <c r="A130" s="22" t="str">
        <f aca="false">09_ガント元データ!A129</f>
        <v/>
      </c>
      <c r="B130" s="22" t="str">
        <f aca="false">09_ガント元データ!B129</f>
        <v/>
      </c>
      <c r="C130" s="23" t="str">
        <f aca="false">09_ガント元データ!C129</f>
        <v/>
      </c>
      <c r="D130" s="24" t="str">
        <f aca="false">IF($A130="","",IF(AND(D$2&gt;=09_ガント元データ!$G129,D$2&lt;=09_ガント元データ!$H129),"■",""))</f>
        <v/>
      </c>
      <c r="E130" s="24" t="str">
        <f aca="false">IF($A130="","",IF(AND(E$2&gt;=09_ガント元データ!$G129,E$2&lt;=09_ガント元データ!$H129),"■",""))</f>
        <v/>
      </c>
      <c r="F130" s="24" t="str">
        <f aca="false">IF($A130="","",IF(AND(F$2&gt;=09_ガント元データ!$G129,F$2&lt;=09_ガント元データ!$H129),"■",""))</f>
        <v/>
      </c>
      <c r="G130" s="24" t="str">
        <f aca="false">IF($A130="","",IF(AND(G$2&gt;=09_ガント元データ!$G129,G$2&lt;=09_ガント元データ!$H129),"■",""))</f>
        <v/>
      </c>
      <c r="H130" s="24" t="str">
        <f aca="false">IF($A130="","",IF(AND(H$2&gt;=09_ガント元データ!$G129,H$2&lt;=09_ガント元データ!$H129),"■",""))</f>
        <v/>
      </c>
      <c r="I130" s="24" t="str">
        <f aca="false">IF($A130="","",IF(AND(I$2&gt;=09_ガント元データ!$G129,I$2&lt;=09_ガント元データ!$H129),"■",""))</f>
        <v/>
      </c>
      <c r="J130" s="24" t="str">
        <f aca="false">IF($A130="","",IF(AND(J$2&gt;=09_ガント元データ!$G129,J$2&lt;=09_ガント元データ!$H129),"■",""))</f>
        <v/>
      </c>
      <c r="K130" s="24" t="str">
        <f aca="false">IF($A130="","",IF(AND(K$2&gt;=09_ガント元データ!$G129,K$2&lt;=09_ガント元データ!$H129),"■",""))</f>
        <v/>
      </c>
      <c r="L130" s="24" t="str">
        <f aca="false">IF($A130="","",IF(AND(L$2&gt;=09_ガント元データ!$G129,L$2&lt;=09_ガント元データ!$H129),"■",""))</f>
        <v/>
      </c>
      <c r="M130" s="24" t="str">
        <f aca="false">IF($A130="","",IF(AND(M$2&gt;=09_ガント元データ!$G129,M$2&lt;=09_ガント元データ!$H129),"■",""))</f>
        <v/>
      </c>
      <c r="N130" s="24" t="str">
        <f aca="false">IF($A130="","",IF(AND(N$2&gt;=09_ガント元データ!$G129,N$2&lt;=09_ガント元データ!$H129),"■",""))</f>
        <v/>
      </c>
      <c r="O130" s="24" t="str">
        <f aca="false">IF($A130="","",IF(AND(O$2&gt;=09_ガント元データ!$G129,O$2&lt;=09_ガント元データ!$H129),"■",""))</f>
        <v/>
      </c>
      <c r="P130" s="24" t="str">
        <f aca="false">IF($A130="","",IF(AND(P$2&gt;=09_ガント元データ!$G129,P$2&lt;=09_ガント元データ!$H129),"■",""))</f>
        <v/>
      </c>
      <c r="Q130" s="24" t="str">
        <f aca="false">IF($A130="","",IF(AND(Q$2&gt;=09_ガント元データ!$G129,Q$2&lt;=09_ガント元データ!$H129),"■",""))</f>
        <v/>
      </c>
      <c r="R130" s="24" t="str">
        <f aca="false">IF($A130="","",IF(AND(R$2&gt;=09_ガント元データ!$G129,R$2&lt;=09_ガント元データ!$H129),"■",""))</f>
        <v/>
      </c>
      <c r="S130" s="24" t="str">
        <f aca="false">IF($A130="","",IF(AND(S$2&gt;=09_ガント元データ!$G129,S$2&lt;=09_ガント元データ!$H129),"■",""))</f>
        <v/>
      </c>
      <c r="T130" s="24" t="str">
        <f aca="false">IF($A130="","",IF(AND(T$2&gt;=09_ガント元データ!$G129,T$2&lt;=09_ガント元データ!$H129),"■",""))</f>
        <v/>
      </c>
      <c r="U130" s="24" t="str">
        <f aca="false">IF($A130="","",IF(AND(U$2&gt;=09_ガント元データ!$G129,U$2&lt;=09_ガント元データ!$H129),"■",""))</f>
        <v/>
      </c>
      <c r="V130" s="24" t="str">
        <f aca="false">IF($A130="","",IF(AND(V$2&gt;=09_ガント元データ!$G129,V$2&lt;=09_ガント元データ!$H129),"■",""))</f>
        <v/>
      </c>
      <c r="W130" s="24" t="str">
        <f aca="false">IF($A130="","",IF(AND(W$2&gt;=09_ガント元データ!$G129,W$2&lt;=09_ガント元データ!$H129),"■",""))</f>
        <v/>
      </c>
      <c r="X130" s="24" t="str">
        <f aca="false">IF($A130="","",IF(AND(X$2&gt;=09_ガント元データ!$G129,X$2&lt;=09_ガント元データ!$H129),"■",""))</f>
        <v/>
      </c>
      <c r="Y130" s="24" t="str">
        <f aca="false">IF($A130="","",IF(AND(Y$2&gt;=09_ガント元データ!$G129,Y$2&lt;=09_ガント元データ!$H129),"■",""))</f>
        <v/>
      </c>
      <c r="Z130" s="24" t="str">
        <f aca="false">IF($A130="","",IF(AND(Z$2&gt;=09_ガント元データ!$G129,Z$2&lt;=09_ガント元データ!$H129),"■",""))</f>
        <v/>
      </c>
      <c r="AA130" s="24" t="str">
        <f aca="false">IF($A130="","",IF(AND(AA$2&gt;=09_ガント元データ!$G129,AA$2&lt;=09_ガント元データ!$H129),"■",""))</f>
        <v/>
      </c>
      <c r="AB130" s="24" t="str">
        <f aca="false">IF($A130="","",IF(AND(AB$2&gt;=09_ガント元データ!$G129,AB$2&lt;=09_ガント元データ!$H129),"■",""))</f>
        <v/>
      </c>
      <c r="AC130" s="24" t="str">
        <f aca="false">IF($A130="","",IF(AND(AC$2&gt;=09_ガント元データ!$G129,AC$2&lt;=09_ガント元データ!$H129),"■",""))</f>
        <v/>
      </c>
      <c r="AD130" s="24" t="str">
        <f aca="false">IF($A130="","",IF(AND(AD$2&gt;=09_ガント元データ!$G129,AD$2&lt;=09_ガント元データ!$H129),"■",""))</f>
        <v/>
      </c>
      <c r="AE130" s="24" t="str">
        <f aca="false">IF($A130="","",IF(AND(AE$2&gt;=09_ガント元データ!$G129,AE$2&lt;=09_ガント元データ!$H129),"■",""))</f>
        <v/>
      </c>
      <c r="AF130" s="24" t="str">
        <f aca="false">IF($A130="","",IF(AND(AF$2&gt;=09_ガント元データ!$G129,AF$2&lt;=09_ガント元データ!$H129),"■",""))</f>
        <v/>
      </c>
      <c r="AG130" s="24" t="str">
        <f aca="false">IF($A130="","",IF(AND(AG$2&gt;=09_ガント元データ!$G129,AG$2&lt;=09_ガント元データ!$H129),"■",""))</f>
        <v/>
      </c>
      <c r="AH130" s="24" t="str">
        <f aca="false">IF($A130="","",IF(AND(AH$2&gt;=09_ガント元データ!$G129,AH$2&lt;=09_ガント元データ!$H129),"■",""))</f>
        <v/>
      </c>
      <c r="AI130" s="24" t="str">
        <f aca="false">IF($A130="","",IF(AND(AI$2&gt;=09_ガント元データ!$G129,AI$2&lt;=09_ガント元データ!$H129),"■",""))</f>
        <v/>
      </c>
      <c r="AJ130" s="24" t="str">
        <f aca="false">IF($A130="","",IF(AND(AJ$2&gt;=09_ガント元データ!$G129,AJ$2&lt;=09_ガント元データ!$H129),"■",""))</f>
        <v/>
      </c>
      <c r="AK130" s="24" t="str">
        <f aca="false">IF($A130="","",IF(AND(AK$2&gt;=09_ガント元データ!$G129,AK$2&lt;=09_ガント元データ!$H129),"■",""))</f>
        <v/>
      </c>
      <c r="AL130" s="24" t="str">
        <f aca="false">IF($A130="","",IF(AND(AL$2&gt;=09_ガント元データ!$G129,AL$2&lt;=09_ガント元データ!$H129),"■",""))</f>
        <v/>
      </c>
      <c r="AM130" s="24" t="str">
        <f aca="false">IF($A130="","",IF(AND(AM$2&gt;=09_ガント元データ!$G129,AM$2&lt;=09_ガント元データ!$H129),"■",""))</f>
        <v/>
      </c>
    </row>
    <row r="131" customFormat="false" ht="15" hidden="false" customHeight="false" outlineLevel="0" collapsed="false">
      <c r="A131" s="22" t="str">
        <f aca="false">09_ガント元データ!A130</f>
        <v/>
      </c>
      <c r="B131" s="22" t="str">
        <f aca="false">09_ガント元データ!B130</f>
        <v/>
      </c>
      <c r="C131" s="23" t="str">
        <f aca="false">09_ガント元データ!C130</f>
        <v/>
      </c>
      <c r="D131" s="24" t="str">
        <f aca="false">IF($A131="","",IF(AND(D$2&gt;=09_ガント元データ!$G130,D$2&lt;=09_ガント元データ!$H130),"■",""))</f>
        <v/>
      </c>
      <c r="E131" s="24" t="str">
        <f aca="false">IF($A131="","",IF(AND(E$2&gt;=09_ガント元データ!$G130,E$2&lt;=09_ガント元データ!$H130),"■",""))</f>
        <v/>
      </c>
      <c r="F131" s="24" t="str">
        <f aca="false">IF($A131="","",IF(AND(F$2&gt;=09_ガント元データ!$G130,F$2&lt;=09_ガント元データ!$H130),"■",""))</f>
        <v/>
      </c>
      <c r="G131" s="24" t="str">
        <f aca="false">IF($A131="","",IF(AND(G$2&gt;=09_ガント元データ!$G130,G$2&lt;=09_ガント元データ!$H130),"■",""))</f>
        <v/>
      </c>
      <c r="H131" s="24" t="str">
        <f aca="false">IF($A131="","",IF(AND(H$2&gt;=09_ガント元データ!$G130,H$2&lt;=09_ガント元データ!$H130),"■",""))</f>
        <v/>
      </c>
      <c r="I131" s="24" t="str">
        <f aca="false">IF($A131="","",IF(AND(I$2&gt;=09_ガント元データ!$G130,I$2&lt;=09_ガント元データ!$H130),"■",""))</f>
        <v/>
      </c>
      <c r="J131" s="24" t="str">
        <f aca="false">IF($A131="","",IF(AND(J$2&gt;=09_ガント元データ!$G130,J$2&lt;=09_ガント元データ!$H130),"■",""))</f>
        <v/>
      </c>
      <c r="K131" s="24" t="str">
        <f aca="false">IF($A131="","",IF(AND(K$2&gt;=09_ガント元データ!$G130,K$2&lt;=09_ガント元データ!$H130),"■",""))</f>
        <v/>
      </c>
      <c r="L131" s="24" t="str">
        <f aca="false">IF($A131="","",IF(AND(L$2&gt;=09_ガント元データ!$G130,L$2&lt;=09_ガント元データ!$H130),"■",""))</f>
        <v/>
      </c>
      <c r="M131" s="24" t="str">
        <f aca="false">IF($A131="","",IF(AND(M$2&gt;=09_ガント元データ!$G130,M$2&lt;=09_ガント元データ!$H130),"■",""))</f>
        <v/>
      </c>
      <c r="N131" s="24" t="str">
        <f aca="false">IF($A131="","",IF(AND(N$2&gt;=09_ガント元データ!$G130,N$2&lt;=09_ガント元データ!$H130),"■",""))</f>
        <v/>
      </c>
      <c r="O131" s="24" t="str">
        <f aca="false">IF($A131="","",IF(AND(O$2&gt;=09_ガント元データ!$G130,O$2&lt;=09_ガント元データ!$H130),"■",""))</f>
        <v/>
      </c>
      <c r="P131" s="24" t="str">
        <f aca="false">IF($A131="","",IF(AND(P$2&gt;=09_ガント元データ!$G130,P$2&lt;=09_ガント元データ!$H130),"■",""))</f>
        <v/>
      </c>
      <c r="Q131" s="24" t="str">
        <f aca="false">IF($A131="","",IF(AND(Q$2&gt;=09_ガント元データ!$G130,Q$2&lt;=09_ガント元データ!$H130),"■",""))</f>
        <v/>
      </c>
      <c r="R131" s="24" t="str">
        <f aca="false">IF($A131="","",IF(AND(R$2&gt;=09_ガント元データ!$G130,R$2&lt;=09_ガント元データ!$H130),"■",""))</f>
        <v/>
      </c>
      <c r="S131" s="24" t="str">
        <f aca="false">IF($A131="","",IF(AND(S$2&gt;=09_ガント元データ!$G130,S$2&lt;=09_ガント元データ!$H130),"■",""))</f>
        <v/>
      </c>
      <c r="T131" s="24" t="str">
        <f aca="false">IF($A131="","",IF(AND(T$2&gt;=09_ガント元データ!$G130,T$2&lt;=09_ガント元データ!$H130),"■",""))</f>
        <v/>
      </c>
      <c r="U131" s="24" t="str">
        <f aca="false">IF($A131="","",IF(AND(U$2&gt;=09_ガント元データ!$G130,U$2&lt;=09_ガント元データ!$H130),"■",""))</f>
        <v/>
      </c>
      <c r="V131" s="24" t="str">
        <f aca="false">IF($A131="","",IF(AND(V$2&gt;=09_ガント元データ!$G130,V$2&lt;=09_ガント元データ!$H130),"■",""))</f>
        <v/>
      </c>
      <c r="W131" s="24" t="str">
        <f aca="false">IF($A131="","",IF(AND(W$2&gt;=09_ガント元データ!$G130,W$2&lt;=09_ガント元データ!$H130),"■",""))</f>
        <v/>
      </c>
      <c r="X131" s="24" t="str">
        <f aca="false">IF($A131="","",IF(AND(X$2&gt;=09_ガント元データ!$G130,X$2&lt;=09_ガント元データ!$H130),"■",""))</f>
        <v/>
      </c>
      <c r="Y131" s="24" t="str">
        <f aca="false">IF($A131="","",IF(AND(Y$2&gt;=09_ガント元データ!$G130,Y$2&lt;=09_ガント元データ!$H130),"■",""))</f>
        <v/>
      </c>
      <c r="Z131" s="24" t="str">
        <f aca="false">IF($A131="","",IF(AND(Z$2&gt;=09_ガント元データ!$G130,Z$2&lt;=09_ガント元データ!$H130),"■",""))</f>
        <v/>
      </c>
      <c r="AA131" s="24" t="str">
        <f aca="false">IF($A131="","",IF(AND(AA$2&gt;=09_ガント元データ!$G130,AA$2&lt;=09_ガント元データ!$H130),"■",""))</f>
        <v/>
      </c>
      <c r="AB131" s="24" t="str">
        <f aca="false">IF($A131="","",IF(AND(AB$2&gt;=09_ガント元データ!$G130,AB$2&lt;=09_ガント元データ!$H130),"■",""))</f>
        <v/>
      </c>
      <c r="AC131" s="24" t="str">
        <f aca="false">IF($A131="","",IF(AND(AC$2&gt;=09_ガント元データ!$G130,AC$2&lt;=09_ガント元データ!$H130),"■",""))</f>
        <v/>
      </c>
      <c r="AD131" s="24" t="str">
        <f aca="false">IF($A131="","",IF(AND(AD$2&gt;=09_ガント元データ!$G130,AD$2&lt;=09_ガント元データ!$H130),"■",""))</f>
        <v/>
      </c>
      <c r="AE131" s="24" t="str">
        <f aca="false">IF($A131="","",IF(AND(AE$2&gt;=09_ガント元データ!$G130,AE$2&lt;=09_ガント元データ!$H130),"■",""))</f>
        <v/>
      </c>
      <c r="AF131" s="24" t="str">
        <f aca="false">IF($A131="","",IF(AND(AF$2&gt;=09_ガント元データ!$G130,AF$2&lt;=09_ガント元データ!$H130),"■",""))</f>
        <v/>
      </c>
      <c r="AG131" s="24" t="str">
        <f aca="false">IF($A131="","",IF(AND(AG$2&gt;=09_ガント元データ!$G130,AG$2&lt;=09_ガント元データ!$H130),"■",""))</f>
        <v/>
      </c>
      <c r="AH131" s="24" t="str">
        <f aca="false">IF($A131="","",IF(AND(AH$2&gt;=09_ガント元データ!$G130,AH$2&lt;=09_ガント元データ!$H130),"■",""))</f>
        <v/>
      </c>
      <c r="AI131" s="24" t="str">
        <f aca="false">IF($A131="","",IF(AND(AI$2&gt;=09_ガント元データ!$G130,AI$2&lt;=09_ガント元データ!$H130),"■",""))</f>
        <v/>
      </c>
      <c r="AJ131" s="24" t="str">
        <f aca="false">IF($A131="","",IF(AND(AJ$2&gt;=09_ガント元データ!$G130,AJ$2&lt;=09_ガント元データ!$H130),"■",""))</f>
        <v/>
      </c>
      <c r="AK131" s="24" t="str">
        <f aca="false">IF($A131="","",IF(AND(AK$2&gt;=09_ガント元データ!$G130,AK$2&lt;=09_ガント元データ!$H130),"■",""))</f>
        <v/>
      </c>
      <c r="AL131" s="24" t="str">
        <f aca="false">IF($A131="","",IF(AND(AL$2&gt;=09_ガント元データ!$G130,AL$2&lt;=09_ガント元データ!$H130),"■",""))</f>
        <v/>
      </c>
      <c r="AM131" s="24" t="str">
        <f aca="false">IF($A131="","",IF(AND(AM$2&gt;=09_ガント元データ!$G130,AM$2&lt;=09_ガント元データ!$H130),"■",""))</f>
        <v/>
      </c>
    </row>
    <row r="132" customFormat="false" ht="15" hidden="false" customHeight="false" outlineLevel="0" collapsed="false">
      <c r="A132" s="22" t="str">
        <f aca="false">09_ガント元データ!A131</f>
        <v/>
      </c>
      <c r="B132" s="22" t="str">
        <f aca="false">09_ガント元データ!B131</f>
        <v/>
      </c>
      <c r="C132" s="23" t="str">
        <f aca="false">09_ガント元データ!C131</f>
        <v/>
      </c>
      <c r="D132" s="24" t="str">
        <f aca="false">IF($A132="","",IF(AND(D$2&gt;=09_ガント元データ!$G131,D$2&lt;=09_ガント元データ!$H131),"■",""))</f>
        <v/>
      </c>
      <c r="E132" s="24" t="str">
        <f aca="false">IF($A132="","",IF(AND(E$2&gt;=09_ガント元データ!$G131,E$2&lt;=09_ガント元データ!$H131),"■",""))</f>
        <v/>
      </c>
      <c r="F132" s="24" t="str">
        <f aca="false">IF($A132="","",IF(AND(F$2&gt;=09_ガント元データ!$G131,F$2&lt;=09_ガント元データ!$H131),"■",""))</f>
        <v/>
      </c>
      <c r="G132" s="24" t="str">
        <f aca="false">IF($A132="","",IF(AND(G$2&gt;=09_ガント元データ!$G131,G$2&lt;=09_ガント元データ!$H131),"■",""))</f>
        <v/>
      </c>
      <c r="H132" s="24" t="str">
        <f aca="false">IF($A132="","",IF(AND(H$2&gt;=09_ガント元データ!$G131,H$2&lt;=09_ガント元データ!$H131),"■",""))</f>
        <v/>
      </c>
      <c r="I132" s="24" t="str">
        <f aca="false">IF($A132="","",IF(AND(I$2&gt;=09_ガント元データ!$G131,I$2&lt;=09_ガント元データ!$H131),"■",""))</f>
        <v/>
      </c>
      <c r="J132" s="24" t="str">
        <f aca="false">IF($A132="","",IF(AND(J$2&gt;=09_ガント元データ!$G131,J$2&lt;=09_ガント元データ!$H131),"■",""))</f>
        <v/>
      </c>
      <c r="K132" s="24" t="str">
        <f aca="false">IF($A132="","",IF(AND(K$2&gt;=09_ガント元データ!$G131,K$2&lt;=09_ガント元データ!$H131),"■",""))</f>
        <v/>
      </c>
      <c r="L132" s="24" t="str">
        <f aca="false">IF($A132="","",IF(AND(L$2&gt;=09_ガント元データ!$G131,L$2&lt;=09_ガント元データ!$H131),"■",""))</f>
        <v/>
      </c>
      <c r="M132" s="24" t="str">
        <f aca="false">IF($A132="","",IF(AND(M$2&gt;=09_ガント元データ!$G131,M$2&lt;=09_ガント元データ!$H131),"■",""))</f>
        <v/>
      </c>
      <c r="N132" s="24" t="str">
        <f aca="false">IF($A132="","",IF(AND(N$2&gt;=09_ガント元データ!$G131,N$2&lt;=09_ガント元データ!$H131),"■",""))</f>
        <v/>
      </c>
      <c r="O132" s="24" t="str">
        <f aca="false">IF($A132="","",IF(AND(O$2&gt;=09_ガント元データ!$G131,O$2&lt;=09_ガント元データ!$H131),"■",""))</f>
        <v/>
      </c>
      <c r="P132" s="24" t="str">
        <f aca="false">IF($A132="","",IF(AND(P$2&gt;=09_ガント元データ!$G131,P$2&lt;=09_ガント元データ!$H131),"■",""))</f>
        <v/>
      </c>
      <c r="Q132" s="24" t="str">
        <f aca="false">IF($A132="","",IF(AND(Q$2&gt;=09_ガント元データ!$G131,Q$2&lt;=09_ガント元データ!$H131),"■",""))</f>
        <v/>
      </c>
      <c r="R132" s="24" t="str">
        <f aca="false">IF($A132="","",IF(AND(R$2&gt;=09_ガント元データ!$G131,R$2&lt;=09_ガント元データ!$H131),"■",""))</f>
        <v/>
      </c>
      <c r="S132" s="24" t="str">
        <f aca="false">IF($A132="","",IF(AND(S$2&gt;=09_ガント元データ!$G131,S$2&lt;=09_ガント元データ!$H131),"■",""))</f>
        <v/>
      </c>
      <c r="T132" s="24" t="str">
        <f aca="false">IF($A132="","",IF(AND(T$2&gt;=09_ガント元データ!$G131,T$2&lt;=09_ガント元データ!$H131),"■",""))</f>
        <v/>
      </c>
      <c r="U132" s="24" t="str">
        <f aca="false">IF($A132="","",IF(AND(U$2&gt;=09_ガント元データ!$G131,U$2&lt;=09_ガント元データ!$H131),"■",""))</f>
        <v/>
      </c>
      <c r="V132" s="24" t="str">
        <f aca="false">IF($A132="","",IF(AND(V$2&gt;=09_ガント元データ!$G131,V$2&lt;=09_ガント元データ!$H131),"■",""))</f>
        <v/>
      </c>
      <c r="W132" s="24" t="str">
        <f aca="false">IF($A132="","",IF(AND(W$2&gt;=09_ガント元データ!$G131,W$2&lt;=09_ガント元データ!$H131),"■",""))</f>
        <v/>
      </c>
      <c r="X132" s="24" t="str">
        <f aca="false">IF($A132="","",IF(AND(X$2&gt;=09_ガント元データ!$G131,X$2&lt;=09_ガント元データ!$H131),"■",""))</f>
        <v/>
      </c>
      <c r="Y132" s="24" t="str">
        <f aca="false">IF($A132="","",IF(AND(Y$2&gt;=09_ガント元データ!$G131,Y$2&lt;=09_ガント元データ!$H131),"■",""))</f>
        <v/>
      </c>
      <c r="Z132" s="24" t="str">
        <f aca="false">IF($A132="","",IF(AND(Z$2&gt;=09_ガント元データ!$G131,Z$2&lt;=09_ガント元データ!$H131),"■",""))</f>
        <v/>
      </c>
      <c r="AA132" s="24" t="str">
        <f aca="false">IF($A132="","",IF(AND(AA$2&gt;=09_ガント元データ!$G131,AA$2&lt;=09_ガント元データ!$H131),"■",""))</f>
        <v/>
      </c>
      <c r="AB132" s="24" t="str">
        <f aca="false">IF($A132="","",IF(AND(AB$2&gt;=09_ガント元データ!$G131,AB$2&lt;=09_ガント元データ!$H131),"■",""))</f>
        <v/>
      </c>
      <c r="AC132" s="24" t="str">
        <f aca="false">IF($A132="","",IF(AND(AC$2&gt;=09_ガント元データ!$G131,AC$2&lt;=09_ガント元データ!$H131),"■",""))</f>
        <v/>
      </c>
      <c r="AD132" s="24" t="str">
        <f aca="false">IF($A132="","",IF(AND(AD$2&gt;=09_ガント元データ!$G131,AD$2&lt;=09_ガント元データ!$H131),"■",""))</f>
        <v/>
      </c>
      <c r="AE132" s="24" t="str">
        <f aca="false">IF($A132="","",IF(AND(AE$2&gt;=09_ガント元データ!$G131,AE$2&lt;=09_ガント元データ!$H131),"■",""))</f>
        <v/>
      </c>
      <c r="AF132" s="24" t="str">
        <f aca="false">IF($A132="","",IF(AND(AF$2&gt;=09_ガント元データ!$G131,AF$2&lt;=09_ガント元データ!$H131),"■",""))</f>
        <v/>
      </c>
      <c r="AG132" s="24" t="str">
        <f aca="false">IF($A132="","",IF(AND(AG$2&gt;=09_ガント元データ!$G131,AG$2&lt;=09_ガント元データ!$H131),"■",""))</f>
        <v/>
      </c>
      <c r="AH132" s="24" t="str">
        <f aca="false">IF($A132="","",IF(AND(AH$2&gt;=09_ガント元データ!$G131,AH$2&lt;=09_ガント元データ!$H131),"■",""))</f>
        <v/>
      </c>
      <c r="AI132" s="24" t="str">
        <f aca="false">IF($A132="","",IF(AND(AI$2&gt;=09_ガント元データ!$G131,AI$2&lt;=09_ガント元データ!$H131),"■",""))</f>
        <v/>
      </c>
      <c r="AJ132" s="24" t="str">
        <f aca="false">IF($A132="","",IF(AND(AJ$2&gt;=09_ガント元データ!$G131,AJ$2&lt;=09_ガント元データ!$H131),"■",""))</f>
        <v/>
      </c>
      <c r="AK132" s="24" t="str">
        <f aca="false">IF($A132="","",IF(AND(AK$2&gt;=09_ガント元データ!$G131,AK$2&lt;=09_ガント元データ!$H131),"■",""))</f>
        <v/>
      </c>
      <c r="AL132" s="24" t="str">
        <f aca="false">IF($A132="","",IF(AND(AL$2&gt;=09_ガント元データ!$G131,AL$2&lt;=09_ガント元データ!$H131),"■",""))</f>
        <v/>
      </c>
      <c r="AM132" s="24" t="str">
        <f aca="false">IF($A132="","",IF(AND(AM$2&gt;=09_ガント元データ!$G131,AM$2&lt;=09_ガント元データ!$H131),"■",""))</f>
        <v/>
      </c>
    </row>
    <row r="133" customFormat="false" ht="15" hidden="false" customHeight="false" outlineLevel="0" collapsed="false">
      <c r="A133" s="22" t="str">
        <f aca="false">09_ガント元データ!A132</f>
        <v/>
      </c>
      <c r="B133" s="22" t="str">
        <f aca="false">09_ガント元データ!B132</f>
        <v/>
      </c>
      <c r="C133" s="23" t="str">
        <f aca="false">09_ガント元データ!C132</f>
        <v/>
      </c>
      <c r="D133" s="24" t="str">
        <f aca="false">IF($A133="","",IF(AND(D$2&gt;=09_ガント元データ!$G132,D$2&lt;=09_ガント元データ!$H132),"■",""))</f>
        <v/>
      </c>
      <c r="E133" s="24" t="str">
        <f aca="false">IF($A133="","",IF(AND(E$2&gt;=09_ガント元データ!$G132,E$2&lt;=09_ガント元データ!$H132),"■",""))</f>
        <v/>
      </c>
      <c r="F133" s="24" t="str">
        <f aca="false">IF($A133="","",IF(AND(F$2&gt;=09_ガント元データ!$G132,F$2&lt;=09_ガント元データ!$H132),"■",""))</f>
        <v/>
      </c>
      <c r="G133" s="24" t="str">
        <f aca="false">IF($A133="","",IF(AND(G$2&gt;=09_ガント元データ!$G132,G$2&lt;=09_ガント元データ!$H132),"■",""))</f>
        <v/>
      </c>
      <c r="H133" s="24" t="str">
        <f aca="false">IF($A133="","",IF(AND(H$2&gt;=09_ガント元データ!$G132,H$2&lt;=09_ガント元データ!$H132),"■",""))</f>
        <v/>
      </c>
      <c r="I133" s="24" t="str">
        <f aca="false">IF($A133="","",IF(AND(I$2&gt;=09_ガント元データ!$G132,I$2&lt;=09_ガント元データ!$H132),"■",""))</f>
        <v/>
      </c>
      <c r="J133" s="24" t="str">
        <f aca="false">IF($A133="","",IF(AND(J$2&gt;=09_ガント元データ!$G132,J$2&lt;=09_ガント元データ!$H132),"■",""))</f>
        <v/>
      </c>
      <c r="K133" s="24" t="str">
        <f aca="false">IF($A133="","",IF(AND(K$2&gt;=09_ガント元データ!$G132,K$2&lt;=09_ガント元データ!$H132),"■",""))</f>
        <v/>
      </c>
      <c r="L133" s="24" t="str">
        <f aca="false">IF($A133="","",IF(AND(L$2&gt;=09_ガント元データ!$G132,L$2&lt;=09_ガント元データ!$H132),"■",""))</f>
        <v/>
      </c>
      <c r="M133" s="24" t="str">
        <f aca="false">IF($A133="","",IF(AND(M$2&gt;=09_ガント元データ!$G132,M$2&lt;=09_ガント元データ!$H132),"■",""))</f>
        <v/>
      </c>
      <c r="N133" s="24" t="str">
        <f aca="false">IF($A133="","",IF(AND(N$2&gt;=09_ガント元データ!$G132,N$2&lt;=09_ガント元データ!$H132),"■",""))</f>
        <v/>
      </c>
      <c r="O133" s="24" t="str">
        <f aca="false">IF($A133="","",IF(AND(O$2&gt;=09_ガント元データ!$G132,O$2&lt;=09_ガント元データ!$H132),"■",""))</f>
        <v/>
      </c>
      <c r="P133" s="24" t="str">
        <f aca="false">IF($A133="","",IF(AND(P$2&gt;=09_ガント元データ!$G132,P$2&lt;=09_ガント元データ!$H132),"■",""))</f>
        <v/>
      </c>
      <c r="Q133" s="24" t="str">
        <f aca="false">IF($A133="","",IF(AND(Q$2&gt;=09_ガント元データ!$G132,Q$2&lt;=09_ガント元データ!$H132),"■",""))</f>
        <v/>
      </c>
      <c r="R133" s="24" t="str">
        <f aca="false">IF($A133="","",IF(AND(R$2&gt;=09_ガント元データ!$G132,R$2&lt;=09_ガント元データ!$H132),"■",""))</f>
        <v/>
      </c>
      <c r="S133" s="24" t="str">
        <f aca="false">IF($A133="","",IF(AND(S$2&gt;=09_ガント元データ!$G132,S$2&lt;=09_ガント元データ!$H132),"■",""))</f>
        <v/>
      </c>
      <c r="T133" s="24" t="str">
        <f aca="false">IF($A133="","",IF(AND(T$2&gt;=09_ガント元データ!$G132,T$2&lt;=09_ガント元データ!$H132),"■",""))</f>
        <v/>
      </c>
      <c r="U133" s="24" t="str">
        <f aca="false">IF($A133="","",IF(AND(U$2&gt;=09_ガント元データ!$G132,U$2&lt;=09_ガント元データ!$H132),"■",""))</f>
        <v/>
      </c>
      <c r="V133" s="24" t="str">
        <f aca="false">IF($A133="","",IF(AND(V$2&gt;=09_ガント元データ!$G132,V$2&lt;=09_ガント元データ!$H132),"■",""))</f>
        <v/>
      </c>
      <c r="W133" s="24" t="str">
        <f aca="false">IF($A133="","",IF(AND(W$2&gt;=09_ガント元データ!$G132,W$2&lt;=09_ガント元データ!$H132),"■",""))</f>
        <v/>
      </c>
      <c r="X133" s="24" t="str">
        <f aca="false">IF($A133="","",IF(AND(X$2&gt;=09_ガント元データ!$G132,X$2&lt;=09_ガント元データ!$H132),"■",""))</f>
        <v/>
      </c>
      <c r="Y133" s="24" t="str">
        <f aca="false">IF($A133="","",IF(AND(Y$2&gt;=09_ガント元データ!$G132,Y$2&lt;=09_ガント元データ!$H132),"■",""))</f>
        <v/>
      </c>
      <c r="Z133" s="24" t="str">
        <f aca="false">IF($A133="","",IF(AND(Z$2&gt;=09_ガント元データ!$G132,Z$2&lt;=09_ガント元データ!$H132),"■",""))</f>
        <v/>
      </c>
      <c r="AA133" s="24" t="str">
        <f aca="false">IF($A133="","",IF(AND(AA$2&gt;=09_ガント元データ!$G132,AA$2&lt;=09_ガント元データ!$H132),"■",""))</f>
        <v/>
      </c>
      <c r="AB133" s="24" t="str">
        <f aca="false">IF($A133="","",IF(AND(AB$2&gt;=09_ガント元データ!$G132,AB$2&lt;=09_ガント元データ!$H132),"■",""))</f>
        <v/>
      </c>
      <c r="AC133" s="24" t="str">
        <f aca="false">IF($A133="","",IF(AND(AC$2&gt;=09_ガント元データ!$G132,AC$2&lt;=09_ガント元データ!$H132),"■",""))</f>
        <v/>
      </c>
      <c r="AD133" s="24" t="str">
        <f aca="false">IF($A133="","",IF(AND(AD$2&gt;=09_ガント元データ!$G132,AD$2&lt;=09_ガント元データ!$H132),"■",""))</f>
        <v/>
      </c>
      <c r="AE133" s="24" t="str">
        <f aca="false">IF($A133="","",IF(AND(AE$2&gt;=09_ガント元データ!$G132,AE$2&lt;=09_ガント元データ!$H132),"■",""))</f>
        <v/>
      </c>
      <c r="AF133" s="24" t="str">
        <f aca="false">IF($A133="","",IF(AND(AF$2&gt;=09_ガント元データ!$G132,AF$2&lt;=09_ガント元データ!$H132),"■",""))</f>
        <v/>
      </c>
      <c r="AG133" s="24" t="str">
        <f aca="false">IF($A133="","",IF(AND(AG$2&gt;=09_ガント元データ!$G132,AG$2&lt;=09_ガント元データ!$H132),"■",""))</f>
        <v/>
      </c>
      <c r="AH133" s="24" t="str">
        <f aca="false">IF($A133="","",IF(AND(AH$2&gt;=09_ガント元データ!$G132,AH$2&lt;=09_ガント元データ!$H132),"■",""))</f>
        <v/>
      </c>
      <c r="AI133" s="24" t="str">
        <f aca="false">IF($A133="","",IF(AND(AI$2&gt;=09_ガント元データ!$G132,AI$2&lt;=09_ガント元データ!$H132),"■",""))</f>
        <v/>
      </c>
      <c r="AJ133" s="24" t="str">
        <f aca="false">IF($A133="","",IF(AND(AJ$2&gt;=09_ガント元データ!$G132,AJ$2&lt;=09_ガント元データ!$H132),"■",""))</f>
        <v/>
      </c>
      <c r="AK133" s="24" t="str">
        <f aca="false">IF($A133="","",IF(AND(AK$2&gt;=09_ガント元データ!$G132,AK$2&lt;=09_ガント元データ!$H132),"■",""))</f>
        <v/>
      </c>
      <c r="AL133" s="24" t="str">
        <f aca="false">IF($A133="","",IF(AND(AL$2&gt;=09_ガント元データ!$G132,AL$2&lt;=09_ガント元データ!$H132),"■",""))</f>
        <v/>
      </c>
      <c r="AM133" s="24" t="str">
        <f aca="false">IF($A133="","",IF(AND(AM$2&gt;=09_ガント元データ!$G132,AM$2&lt;=09_ガント元データ!$H132),"■",""))</f>
        <v/>
      </c>
    </row>
    <row r="134" customFormat="false" ht="15" hidden="false" customHeight="false" outlineLevel="0" collapsed="false">
      <c r="A134" s="22" t="str">
        <f aca="false">09_ガント元データ!A133</f>
        <v/>
      </c>
      <c r="B134" s="22" t="str">
        <f aca="false">09_ガント元データ!B133</f>
        <v/>
      </c>
      <c r="C134" s="23" t="str">
        <f aca="false">09_ガント元データ!C133</f>
        <v/>
      </c>
      <c r="D134" s="24" t="str">
        <f aca="false">IF($A134="","",IF(AND(D$2&gt;=09_ガント元データ!$G133,D$2&lt;=09_ガント元データ!$H133),"■",""))</f>
        <v/>
      </c>
      <c r="E134" s="24" t="str">
        <f aca="false">IF($A134="","",IF(AND(E$2&gt;=09_ガント元データ!$G133,E$2&lt;=09_ガント元データ!$H133),"■",""))</f>
        <v/>
      </c>
      <c r="F134" s="24" t="str">
        <f aca="false">IF($A134="","",IF(AND(F$2&gt;=09_ガント元データ!$G133,F$2&lt;=09_ガント元データ!$H133),"■",""))</f>
        <v/>
      </c>
      <c r="G134" s="24" t="str">
        <f aca="false">IF($A134="","",IF(AND(G$2&gt;=09_ガント元データ!$G133,G$2&lt;=09_ガント元データ!$H133),"■",""))</f>
        <v/>
      </c>
      <c r="H134" s="24" t="str">
        <f aca="false">IF($A134="","",IF(AND(H$2&gt;=09_ガント元データ!$G133,H$2&lt;=09_ガント元データ!$H133),"■",""))</f>
        <v/>
      </c>
      <c r="I134" s="24" t="str">
        <f aca="false">IF($A134="","",IF(AND(I$2&gt;=09_ガント元データ!$G133,I$2&lt;=09_ガント元データ!$H133),"■",""))</f>
        <v/>
      </c>
      <c r="J134" s="24" t="str">
        <f aca="false">IF($A134="","",IF(AND(J$2&gt;=09_ガント元データ!$G133,J$2&lt;=09_ガント元データ!$H133),"■",""))</f>
        <v/>
      </c>
      <c r="K134" s="24" t="str">
        <f aca="false">IF($A134="","",IF(AND(K$2&gt;=09_ガント元データ!$G133,K$2&lt;=09_ガント元データ!$H133),"■",""))</f>
        <v/>
      </c>
      <c r="L134" s="24" t="str">
        <f aca="false">IF($A134="","",IF(AND(L$2&gt;=09_ガント元データ!$G133,L$2&lt;=09_ガント元データ!$H133),"■",""))</f>
        <v/>
      </c>
      <c r="M134" s="24" t="str">
        <f aca="false">IF($A134="","",IF(AND(M$2&gt;=09_ガント元データ!$G133,M$2&lt;=09_ガント元データ!$H133),"■",""))</f>
        <v/>
      </c>
      <c r="N134" s="24" t="str">
        <f aca="false">IF($A134="","",IF(AND(N$2&gt;=09_ガント元データ!$G133,N$2&lt;=09_ガント元データ!$H133),"■",""))</f>
        <v/>
      </c>
      <c r="O134" s="24" t="str">
        <f aca="false">IF($A134="","",IF(AND(O$2&gt;=09_ガント元データ!$G133,O$2&lt;=09_ガント元データ!$H133),"■",""))</f>
        <v/>
      </c>
      <c r="P134" s="24" t="str">
        <f aca="false">IF($A134="","",IF(AND(P$2&gt;=09_ガント元データ!$G133,P$2&lt;=09_ガント元データ!$H133),"■",""))</f>
        <v/>
      </c>
      <c r="Q134" s="24" t="str">
        <f aca="false">IF($A134="","",IF(AND(Q$2&gt;=09_ガント元データ!$G133,Q$2&lt;=09_ガント元データ!$H133),"■",""))</f>
        <v/>
      </c>
      <c r="R134" s="24" t="str">
        <f aca="false">IF($A134="","",IF(AND(R$2&gt;=09_ガント元データ!$G133,R$2&lt;=09_ガント元データ!$H133),"■",""))</f>
        <v/>
      </c>
      <c r="S134" s="24" t="str">
        <f aca="false">IF($A134="","",IF(AND(S$2&gt;=09_ガント元データ!$G133,S$2&lt;=09_ガント元データ!$H133),"■",""))</f>
        <v/>
      </c>
      <c r="T134" s="24" t="str">
        <f aca="false">IF($A134="","",IF(AND(T$2&gt;=09_ガント元データ!$G133,T$2&lt;=09_ガント元データ!$H133),"■",""))</f>
        <v/>
      </c>
      <c r="U134" s="24" t="str">
        <f aca="false">IF($A134="","",IF(AND(U$2&gt;=09_ガント元データ!$G133,U$2&lt;=09_ガント元データ!$H133),"■",""))</f>
        <v/>
      </c>
      <c r="V134" s="24" t="str">
        <f aca="false">IF($A134="","",IF(AND(V$2&gt;=09_ガント元データ!$G133,V$2&lt;=09_ガント元データ!$H133),"■",""))</f>
        <v/>
      </c>
      <c r="W134" s="24" t="str">
        <f aca="false">IF($A134="","",IF(AND(W$2&gt;=09_ガント元データ!$G133,W$2&lt;=09_ガント元データ!$H133),"■",""))</f>
        <v/>
      </c>
      <c r="X134" s="24" t="str">
        <f aca="false">IF($A134="","",IF(AND(X$2&gt;=09_ガント元データ!$G133,X$2&lt;=09_ガント元データ!$H133),"■",""))</f>
        <v/>
      </c>
      <c r="Y134" s="24" t="str">
        <f aca="false">IF($A134="","",IF(AND(Y$2&gt;=09_ガント元データ!$G133,Y$2&lt;=09_ガント元データ!$H133),"■",""))</f>
        <v/>
      </c>
      <c r="Z134" s="24" t="str">
        <f aca="false">IF($A134="","",IF(AND(Z$2&gt;=09_ガント元データ!$G133,Z$2&lt;=09_ガント元データ!$H133),"■",""))</f>
        <v/>
      </c>
      <c r="AA134" s="24" t="str">
        <f aca="false">IF($A134="","",IF(AND(AA$2&gt;=09_ガント元データ!$G133,AA$2&lt;=09_ガント元データ!$H133),"■",""))</f>
        <v/>
      </c>
      <c r="AB134" s="24" t="str">
        <f aca="false">IF($A134="","",IF(AND(AB$2&gt;=09_ガント元データ!$G133,AB$2&lt;=09_ガント元データ!$H133),"■",""))</f>
        <v/>
      </c>
      <c r="AC134" s="24" t="str">
        <f aca="false">IF($A134="","",IF(AND(AC$2&gt;=09_ガント元データ!$G133,AC$2&lt;=09_ガント元データ!$H133),"■",""))</f>
        <v/>
      </c>
      <c r="AD134" s="24" t="str">
        <f aca="false">IF($A134="","",IF(AND(AD$2&gt;=09_ガント元データ!$G133,AD$2&lt;=09_ガント元データ!$H133),"■",""))</f>
        <v/>
      </c>
      <c r="AE134" s="24" t="str">
        <f aca="false">IF($A134="","",IF(AND(AE$2&gt;=09_ガント元データ!$G133,AE$2&lt;=09_ガント元データ!$H133),"■",""))</f>
        <v/>
      </c>
      <c r="AF134" s="24" t="str">
        <f aca="false">IF($A134="","",IF(AND(AF$2&gt;=09_ガント元データ!$G133,AF$2&lt;=09_ガント元データ!$H133),"■",""))</f>
        <v/>
      </c>
      <c r="AG134" s="24" t="str">
        <f aca="false">IF($A134="","",IF(AND(AG$2&gt;=09_ガント元データ!$G133,AG$2&lt;=09_ガント元データ!$H133),"■",""))</f>
        <v/>
      </c>
      <c r="AH134" s="24" t="str">
        <f aca="false">IF($A134="","",IF(AND(AH$2&gt;=09_ガント元データ!$G133,AH$2&lt;=09_ガント元データ!$H133),"■",""))</f>
        <v/>
      </c>
      <c r="AI134" s="24" t="str">
        <f aca="false">IF($A134="","",IF(AND(AI$2&gt;=09_ガント元データ!$G133,AI$2&lt;=09_ガント元データ!$H133),"■",""))</f>
        <v/>
      </c>
      <c r="AJ134" s="24" t="str">
        <f aca="false">IF($A134="","",IF(AND(AJ$2&gt;=09_ガント元データ!$G133,AJ$2&lt;=09_ガント元データ!$H133),"■",""))</f>
        <v/>
      </c>
      <c r="AK134" s="24" t="str">
        <f aca="false">IF($A134="","",IF(AND(AK$2&gt;=09_ガント元データ!$G133,AK$2&lt;=09_ガント元データ!$H133),"■",""))</f>
        <v/>
      </c>
      <c r="AL134" s="24" t="str">
        <f aca="false">IF($A134="","",IF(AND(AL$2&gt;=09_ガント元データ!$G133,AL$2&lt;=09_ガント元データ!$H133),"■",""))</f>
        <v/>
      </c>
      <c r="AM134" s="24" t="str">
        <f aca="false">IF($A134="","",IF(AND(AM$2&gt;=09_ガント元データ!$G133,AM$2&lt;=09_ガント元データ!$H133),"■",""))</f>
        <v/>
      </c>
    </row>
    <row r="135" customFormat="false" ht="15" hidden="false" customHeight="false" outlineLevel="0" collapsed="false">
      <c r="A135" s="22" t="str">
        <f aca="false">09_ガント元データ!A134</f>
        <v/>
      </c>
      <c r="B135" s="22" t="str">
        <f aca="false">09_ガント元データ!B134</f>
        <v/>
      </c>
      <c r="C135" s="23" t="str">
        <f aca="false">09_ガント元データ!C134</f>
        <v/>
      </c>
      <c r="D135" s="24" t="str">
        <f aca="false">IF($A135="","",IF(AND(D$2&gt;=09_ガント元データ!$G134,D$2&lt;=09_ガント元データ!$H134),"■",""))</f>
        <v/>
      </c>
      <c r="E135" s="24" t="str">
        <f aca="false">IF($A135="","",IF(AND(E$2&gt;=09_ガント元データ!$G134,E$2&lt;=09_ガント元データ!$H134),"■",""))</f>
        <v/>
      </c>
      <c r="F135" s="24" t="str">
        <f aca="false">IF($A135="","",IF(AND(F$2&gt;=09_ガント元データ!$G134,F$2&lt;=09_ガント元データ!$H134),"■",""))</f>
        <v/>
      </c>
      <c r="G135" s="24" t="str">
        <f aca="false">IF($A135="","",IF(AND(G$2&gt;=09_ガント元データ!$G134,G$2&lt;=09_ガント元データ!$H134),"■",""))</f>
        <v/>
      </c>
      <c r="H135" s="24" t="str">
        <f aca="false">IF($A135="","",IF(AND(H$2&gt;=09_ガント元データ!$G134,H$2&lt;=09_ガント元データ!$H134),"■",""))</f>
        <v/>
      </c>
      <c r="I135" s="24" t="str">
        <f aca="false">IF($A135="","",IF(AND(I$2&gt;=09_ガント元データ!$G134,I$2&lt;=09_ガント元データ!$H134),"■",""))</f>
        <v/>
      </c>
      <c r="J135" s="24" t="str">
        <f aca="false">IF($A135="","",IF(AND(J$2&gt;=09_ガント元データ!$G134,J$2&lt;=09_ガント元データ!$H134),"■",""))</f>
        <v/>
      </c>
      <c r="K135" s="24" t="str">
        <f aca="false">IF($A135="","",IF(AND(K$2&gt;=09_ガント元データ!$G134,K$2&lt;=09_ガント元データ!$H134),"■",""))</f>
        <v/>
      </c>
      <c r="L135" s="24" t="str">
        <f aca="false">IF($A135="","",IF(AND(L$2&gt;=09_ガント元データ!$G134,L$2&lt;=09_ガント元データ!$H134),"■",""))</f>
        <v/>
      </c>
      <c r="M135" s="24" t="str">
        <f aca="false">IF($A135="","",IF(AND(M$2&gt;=09_ガント元データ!$G134,M$2&lt;=09_ガント元データ!$H134),"■",""))</f>
        <v/>
      </c>
      <c r="N135" s="24" t="str">
        <f aca="false">IF($A135="","",IF(AND(N$2&gt;=09_ガント元データ!$G134,N$2&lt;=09_ガント元データ!$H134),"■",""))</f>
        <v/>
      </c>
      <c r="O135" s="24" t="str">
        <f aca="false">IF($A135="","",IF(AND(O$2&gt;=09_ガント元データ!$G134,O$2&lt;=09_ガント元データ!$H134),"■",""))</f>
        <v/>
      </c>
      <c r="P135" s="24" t="str">
        <f aca="false">IF($A135="","",IF(AND(P$2&gt;=09_ガント元データ!$G134,P$2&lt;=09_ガント元データ!$H134),"■",""))</f>
        <v/>
      </c>
      <c r="Q135" s="24" t="str">
        <f aca="false">IF($A135="","",IF(AND(Q$2&gt;=09_ガント元データ!$G134,Q$2&lt;=09_ガント元データ!$H134),"■",""))</f>
        <v/>
      </c>
      <c r="R135" s="24" t="str">
        <f aca="false">IF($A135="","",IF(AND(R$2&gt;=09_ガント元データ!$G134,R$2&lt;=09_ガント元データ!$H134),"■",""))</f>
        <v/>
      </c>
      <c r="S135" s="24" t="str">
        <f aca="false">IF($A135="","",IF(AND(S$2&gt;=09_ガント元データ!$G134,S$2&lt;=09_ガント元データ!$H134),"■",""))</f>
        <v/>
      </c>
      <c r="T135" s="24" t="str">
        <f aca="false">IF($A135="","",IF(AND(T$2&gt;=09_ガント元データ!$G134,T$2&lt;=09_ガント元データ!$H134),"■",""))</f>
        <v/>
      </c>
      <c r="U135" s="24" t="str">
        <f aca="false">IF($A135="","",IF(AND(U$2&gt;=09_ガント元データ!$G134,U$2&lt;=09_ガント元データ!$H134),"■",""))</f>
        <v/>
      </c>
      <c r="V135" s="24" t="str">
        <f aca="false">IF($A135="","",IF(AND(V$2&gt;=09_ガント元データ!$G134,V$2&lt;=09_ガント元データ!$H134),"■",""))</f>
        <v/>
      </c>
      <c r="W135" s="24" t="str">
        <f aca="false">IF($A135="","",IF(AND(W$2&gt;=09_ガント元データ!$G134,W$2&lt;=09_ガント元データ!$H134),"■",""))</f>
        <v/>
      </c>
      <c r="X135" s="24" t="str">
        <f aca="false">IF($A135="","",IF(AND(X$2&gt;=09_ガント元データ!$G134,X$2&lt;=09_ガント元データ!$H134),"■",""))</f>
        <v/>
      </c>
      <c r="Y135" s="24" t="str">
        <f aca="false">IF($A135="","",IF(AND(Y$2&gt;=09_ガント元データ!$G134,Y$2&lt;=09_ガント元データ!$H134),"■",""))</f>
        <v/>
      </c>
      <c r="Z135" s="24" t="str">
        <f aca="false">IF($A135="","",IF(AND(Z$2&gt;=09_ガント元データ!$G134,Z$2&lt;=09_ガント元データ!$H134),"■",""))</f>
        <v/>
      </c>
      <c r="AA135" s="24" t="str">
        <f aca="false">IF($A135="","",IF(AND(AA$2&gt;=09_ガント元データ!$G134,AA$2&lt;=09_ガント元データ!$H134),"■",""))</f>
        <v/>
      </c>
      <c r="AB135" s="24" t="str">
        <f aca="false">IF($A135="","",IF(AND(AB$2&gt;=09_ガント元データ!$G134,AB$2&lt;=09_ガント元データ!$H134),"■",""))</f>
        <v/>
      </c>
      <c r="AC135" s="24" t="str">
        <f aca="false">IF($A135="","",IF(AND(AC$2&gt;=09_ガント元データ!$G134,AC$2&lt;=09_ガント元データ!$H134),"■",""))</f>
        <v/>
      </c>
      <c r="AD135" s="24" t="str">
        <f aca="false">IF($A135="","",IF(AND(AD$2&gt;=09_ガント元データ!$G134,AD$2&lt;=09_ガント元データ!$H134),"■",""))</f>
        <v/>
      </c>
      <c r="AE135" s="24" t="str">
        <f aca="false">IF($A135="","",IF(AND(AE$2&gt;=09_ガント元データ!$G134,AE$2&lt;=09_ガント元データ!$H134),"■",""))</f>
        <v/>
      </c>
      <c r="AF135" s="24" t="str">
        <f aca="false">IF($A135="","",IF(AND(AF$2&gt;=09_ガント元データ!$G134,AF$2&lt;=09_ガント元データ!$H134),"■",""))</f>
        <v/>
      </c>
      <c r="AG135" s="24" t="str">
        <f aca="false">IF($A135="","",IF(AND(AG$2&gt;=09_ガント元データ!$G134,AG$2&lt;=09_ガント元データ!$H134),"■",""))</f>
        <v/>
      </c>
      <c r="AH135" s="24" t="str">
        <f aca="false">IF($A135="","",IF(AND(AH$2&gt;=09_ガント元データ!$G134,AH$2&lt;=09_ガント元データ!$H134),"■",""))</f>
        <v/>
      </c>
      <c r="AI135" s="24" t="str">
        <f aca="false">IF($A135="","",IF(AND(AI$2&gt;=09_ガント元データ!$G134,AI$2&lt;=09_ガント元データ!$H134),"■",""))</f>
        <v/>
      </c>
      <c r="AJ135" s="24" t="str">
        <f aca="false">IF($A135="","",IF(AND(AJ$2&gt;=09_ガント元データ!$G134,AJ$2&lt;=09_ガント元データ!$H134),"■",""))</f>
        <v/>
      </c>
      <c r="AK135" s="24" t="str">
        <f aca="false">IF($A135="","",IF(AND(AK$2&gt;=09_ガント元データ!$G134,AK$2&lt;=09_ガント元データ!$H134),"■",""))</f>
        <v/>
      </c>
      <c r="AL135" s="24" t="str">
        <f aca="false">IF($A135="","",IF(AND(AL$2&gt;=09_ガント元データ!$G134,AL$2&lt;=09_ガント元データ!$H134),"■",""))</f>
        <v/>
      </c>
      <c r="AM135" s="24" t="str">
        <f aca="false">IF($A135="","",IF(AND(AM$2&gt;=09_ガント元データ!$G134,AM$2&lt;=09_ガント元データ!$H134),"■",""))</f>
        <v/>
      </c>
    </row>
    <row r="136" customFormat="false" ht="15" hidden="false" customHeight="false" outlineLevel="0" collapsed="false">
      <c r="A136" s="22" t="str">
        <f aca="false">09_ガント元データ!A135</f>
        <v/>
      </c>
      <c r="B136" s="22" t="str">
        <f aca="false">09_ガント元データ!B135</f>
        <v/>
      </c>
      <c r="C136" s="23" t="str">
        <f aca="false">09_ガント元データ!C135</f>
        <v/>
      </c>
      <c r="D136" s="24" t="str">
        <f aca="false">IF($A136="","",IF(AND(D$2&gt;=09_ガント元データ!$G135,D$2&lt;=09_ガント元データ!$H135),"■",""))</f>
        <v/>
      </c>
      <c r="E136" s="24" t="str">
        <f aca="false">IF($A136="","",IF(AND(E$2&gt;=09_ガント元データ!$G135,E$2&lt;=09_ガント元データ!$H135),"■",""))</f>
        <v/>
      </c>
      <c r="F136" s="24" t="str">
        <f aca="false">IF($A136="","",IF(AND(F$2&gt;=09_ガント元データ!$G135,F$2&lt;=09_ガント元データ!$H135),"■",""))</f>
        <v/>
      </c>
      <c r="G136" s="24" t="str">
        <f aca="false">IF($A136="","",IF(AND(G$2&gt;=09_ガント元データ!$G135,G$2&lt;=09_ガント元データ!$H135),"■",""))</f>
        <v/>
      </c>
      <c r="H136" s="24" t="str">
        <f aca="false">IF($A136="","",IF(AND(H$2&gt;=09_ガント元データ!$G135,H$2&lt;=09_ガント元データ!$H135),"■",""))</f>
        <v/>
      </c>
      <c r="I136" s="24" t="str">
        <f aca="false">IF($A136="","",IF(AND(I$2&gt;=09_ガント元データ!$G135,I$2&lt;=09_ガント元データ!$H135),"■",""))</f>
        <v/>
      </c>
      <c r="J136" s="24" t="str">
        <f aca="false">IF($A136="","",IF(AND(J$2&gt;=09_ガント元データ!$G135,J$2&lt;=09_ガント元データ!$H135),"■",""))</f>
        <v/>
      </c>
      <c r="K136" s="24" t="str">
        <f aca="false">IF($A136="","",IF(AND(K$2&gt;=09_ガント元データ!$G135,K$2&lt;=09_ガント元データ!$H135),"■",""))</f>
        <v/>
      </c>
      <c r="L136" s="24" t="str">
        <f aca="false">IF($A136="","",IF(AND(L$2&gt;=09_ガント元データ!$G135,L$2&lt;=09_ガント元データ!$H135),"■",""))</f>
        <v/>
      </c>
      <c r="M136" s="24" t="str">
        <f aca="false">IF($A136="","",IF(AND(M$2&gt;=09_ガント元データ!$G135,M$2&lt;=09_ガント元データ!$H135),"■",""))</f>
        <v/>
      </c>
      <c r="N136" s="24" t="str">
        <f aca="false">IF($A136="","",IF(AND(N$2&gt;=09_ガント元データ!$G135,N$2&lt;=09_ガント元データ!$H135),"■",""))</f>
        <v/>
      </c>
      <c r="O136" s="24" t="str">
        <f aca="false">IF($A136="","",IF(AND(O$2&gt;=09_ガント元データ!$G135,O$2&lt;=09_ガント元データ!$H135),"■",""))</f>
        <v/>
      </c>
      <c r="P136" s="24" t="str">
        <f aca="false">IF($A136="","",IF(AND(P$2&gt;=09_ガント元データ!$G135,P$2&lt;=09_ガント元データ!$H135),"■",""))</f>
        <v/>
      </c>
      <c r="Q136" s="24" t="str">
        <f aca="false">IF($A136="","",IF(AND(Q$2&gt;=09_ガント元データ!$G135,Q$2&lt;=09_ガント元データ!$H135),"■",""))</f>
        <v/>
      </c>
      <c r="R136" s="24" t="str">
        <f aca="false">IF($A136="","",IF(AND(R$2&gt;=09_ガント元データ!$G135,R$2&lt;=09_ガント元データ!$H135),"■",""))</f>
        <v/>
      </c>
      <c r="S136" s="24" t="str">
        <f aca="false">IF($A136="","",IF(AND(S$2&gt;=09_ガント元データ!$G135,S$2&lt;=09_ガント元データ!$H135),"■",""))</f>
        <v/>
      </c>
      <c r="T136" s="24" t="str">
        <f aca="false">IF($A136="","",IF(AND(T$2&gt;=09_ガント元データ!$G135,T$2&lt;=09_ガント元データ!$H135),"■",""))</f>
        <v/>
      </c>
      <c r="U136" s="24" t="str">
        <f aca="false">IF($A136="","",IF(AND(U$2&gt;=09_ガント元データ!$G135,U$2&lt;=09_ガント元データ!$H135),"■",""))</f>
        <v/>
      </c>
      <c r="V136" s="24" t="str">
        <f aca="false">IF($A136="","",IF(AND(V$2&gt;=09_ガント元データ!$G135,V$2&lt;=09_ガント元データ!$H135),"■",""))</f>
        <v/>
      </c>
      <c r="W136" s="24" t="str">
        <f aca="false">IF($A136="","",IF(AND(W$2&gt;=09_ガント元データ!$G135,W$2&lt;=09_ガント元データ!$H135),"■",""))</f>
        <v/>
      </c>
      <c r="X136" s="24" t="str">
        <f aca="false">IF($A136="","",IF(AND(X$2&gt;=09_ガント元データ!$G135,X$2&lt;=09_ガント元データ!$H135),"■",""))</f>
        <v/>
      </c>
      <c r="Y136" s="24" t="str">
        <f aca="false">IF($A136="","",IF(AND(Y$2&gt;=09_ガント元データ!$G135,Y$2&lt;=09_ガント元データ!$H135),"■",""))</f>
        <v/>
      </c>
      <c r="Z136" s="24" t="str">
        <f aca="false">IF($A136="","",IF(AND(Z$2&gt;=09_ガント元データ!$G135,Z$2&lt;=09_ガント元データ!$H135),"■",""))</f>
        <v/>
      </c>
      <c r="AA136" s="24" t="str">
        <f aca="false">IF($A136="","",IF(AND(AA$2&gt;=09_ガント元データ!$G135,AA$2&lt;=09_ガント元データ!$H135),"■",""))</f>
        <v/>
      </c>
      <c r="AB136" s="24" t="str">
        <f aca="false">IF($A136="","",IF(AND(AB$2&gt;=09_ガント元データ!$G135,AB$2&lt;=09_ガント元データ!$H135),"■",""))</f>
        <v/>
      </c>
      <c r="AC136" s="24" t="str">
        <f aca="false">IF($A136="","",IF(AND(AC$2&gt;=09_ガント元データ!$G135,AC$2&lt;=09_ガント元データ!$H135),"■",""))</f>
        <v/>
      </c>
      <c r="AD136" s="24" t="str">
        <f aca="false">IF($A136="","",IF(AND(AD$2&gt;=09_ガント元データ!$G135,AD$2&lt;=09_ガント元データ!$H135),"■",""))</f>
        <v/>
      </c>
      <c r="AE136" s="24" t="str">
        <f aca="false">IF($A136="","",IF(AND(AE$2&gt;=09_ガント元データ!$G135,AE$2&lt;=09_ガント元データ!$H135),"■",""))</f>
        <v/>
      </c>
      <c r="AF136" s="24" t="str">
        <f aca="false">IF($A136="","",IF(AND(AF$2&gt;=09_ガント元データ!$G135,AF$2&lt;=09_ガント元データ!$H135),"■",""))</f>
        <v/>
      </c>
      <c r="AG136" s="24" t="str">
        <f aca="false">IF($A136="","",IF(AND(AG$2&gt;=09_ガント元データ!$G135,AG$2&lt;=09_ガント元データ!$H135),"■",""))</f>
        <v/>
      </c>
      <c r="AH136" s="24" t="str">
        <f aca="false">IF($A136="","",IF(AND(AH$2&gt;=09_ガント元データ!$G135,AH$2&lt;=09_ガント元データ!$H135),"■",""))</f>
        <v/>
      </c>
      <c r="AI136" s="24" t="str">
        <f aca="false">IF($A136="","",IF(AND(AI$2&gt;=09_ガント元データ!$G135,AI$2&lt;=09_ガント元データ!$H135),"■",""))</f>
        <v/>
      </c>
      <c r="AJ136" s="24" t="str">
        <f aca="false">IF($A136="","",IF(AND(AJ$2&gt;=09_ガント元データ!$G135,AJ$2&lt;=09_ガント元データ!$H135),"■",""))</f>
        <v/>
      </c>
      <c r="AK136" s="24" t="str">
        <f aca="false">IF($A136="","",IF(AND(AK$2&gt;=09_ガント元データ!$G135,AK$2&lt;=09_ガント元データ!$H135),"■",""))</f>
        <v/>
      </c>
      <c r="AL136" s="24" t="str">
        <f aca="false">IF($A136="","",IF(AND(AL$2&gt;=09_ガント元データ!$G135,AL$2&lt;=09_ガント元データ!$H135),"■",""))</f>
        <v/>
      </c>
      <c r="AM136" s="24" t="str">
        <f aca="false">IF($A136="","",IF(AND(AM$2&gt;=09_ガント元データ!$G135,AM$2&lt;=09_ガント元データ!$H135),"■",""))</f>
        <v/>
      </c>
    </row>
    <row r="137" customFormat="false" ht="15" hidden="false" customHeight="false" outlineLevel="0" collapsed="false">
      <c r="A137" s="22" t="str">
        <f aca="false">09_ガント元データ!A136</f>
        <v/>
      </c>
      <c r="B137" s="22" t="str">
        <f aca="false">09_ガント元データ!B136</f>
        <v/>
      </c>
      <c r="C137" s="23" t="str">
        <f aca="false">09_ガント元データ!C136</f>
        <v/>
      </c>
      <c r="D137" s="24" t="str">
        <f aca="false">IF($A137="","",IF(AND(D$2&gt;=09_ガント元データ!$G136,D$2&lt;=09_ガント元データ!$H136),"■",""))</f>
        <v/>
      </c>
      <c r="E137" s="24" t="str">
        <f aca="false">IF($A137="","",IF(AND(E$2&gt;=09_ガント元データ!$G136,E$2&lt;=09_ガント元データ!$H136),"■",""))</f>
        <v/>
      </c>
      <c r="F137" s="24" t="str">
        <f aca="false">IF($A137="","",IF(AND(F$2&gt;=09_ガント元データ!$G136,F$2&lt;=09_ガント元データ!$H136),"■",""))</f>
        <v/>
      </c>
      <c r="G137" s="24" t="str">
        <f aca="false">IF($A137="","",IF(AND(G$2&gt;=09_ガント元データ!$G136,G$2&lt;=09_ガント元データ!$H136),"■",""))</f>
        <v/>
      </c>
      <c r="H137" s="24" t="str">
        <f aca="false">IF($A137="","",IF(AND(H$2&gt;=09_ガント元データ!$G136,H$2&lt;=09_ガント元データ!$H136),"■",""))</f>
        <v/>
      </c>
      <c r="I137" s="24" t="str">
        <f aca="false">IF($A137="","",IF(AND(I$2&gt;=09_ガント元データ!$G136,I$2&lt;=09_ガント元データ!$H136),"■",""))</f>
        <v/>
      </c>
      <c r="J137" s="24" t="str">
        <f aca="false">IF($A137="","",IF(AND(J$2&gt;=09_ガント元データ!$G136,J$2&lt;=09_ガント元データ!$H136),"■",""))</f>
        <v/>
      </c>
      <c r="K137" s="24" t="str">
        <f aca="false">IF($A137="","",IF(AND(K$2&gt;=09_ガント元データ!$G136,K$2&lt;=09_ガント元データ!$H136),"■",""))</f>
        <v/>
      </c>
      <c r="L137" s="24" t="str">
        <f aca="false">IF($A137="","",IF(AND(L$2&gt;=09_ガント元データ!$G136,L$2&lt;=09_ガント元データ!$H136),"■",""))</f>
        <v/>
      </c>
      <c r="M137" s="24" t="str">
        <f aca="false">IF($A137="","",IF(AND(M$2&gt;=09_ガント元データ!$G136,M$2&lt;=09_ガント元データ!$H136),"■",""))</f>
        <v/>
      </c>
      <c r="N137" s="24" t="str">
        <f aca="false">IF($A137="","",IF(AND(N$2&gt;=09_ガント元データ!$G136,N$2&lt;=09_ガント元データ!$H136),"■",""))</f>
        <v/>
      </c>
      <c r="O137" s="24" t="str">
        <f aca="false">IF($A137="","",IF(AND(O$2&gt;=09_ガント元データ!$G136,O$2&lt;=09_ガント元データ!$H136),"■",""))</f>
        <v/>
      </c>
      <c r="P137" s="24" t="str">
        <f aca="false">IF($A137="","",IF(AND(P$2&gt;=09_ガント元データ!$G136,P$2&lt;=09_ガント元データ!$H136),"■",""))</f>
        <v/>
      </c>
      <c r="Q137" s="24" t="str">
        <f aca="false">IF($A137="","",IF(AND(Q$2&gt;=09_ガント元データ!$G136,Q$2&lt;=09_ガント元データ!$H136),"■",""))</f>
        <v/>
      </c>
      <c r="R137" s="24" t="str">
        <f aca="false">IF($A137="","",IF(AND(R$2&gt;=09_ガント元データ!$G136,R$2&lt;=09_ガント元データ!$H136),"■",""))</f>
        <v/>
      </c>
      <c r="S137" s="24" t="str">
        <f aca="false">IF($A137="","",IF(AND(S$2&gt;=09_ガント元データ!$G136,S$2&lt;=09_ガント元データ!$H136),"■",""))</f>
        <v/>
      </c>
      <c r="T137" s="24" t="str">
        <f aca="false">IF($A137="","",IF(AND(T$2&gt;=09_ガント元データ!$G136,T$2&lt;=09_ガント元データ!$H136),"■",""))</f>
        <v/>
      </c>
      <c r="U137" s="24" t="str">
        <f aca="false">IF($A137="","",IF(AND(U$2&gt;=09_ガント元データ!$G136,U$2&lt;=09_ガント元データ!$H136),"■",""))</f>
        <v/>
      </c>
      <c r="V137" s="24" t="str">
        <f aca="false">IF($A137="","",IF(AND(V$2&gt;=09_ガント元データ!$G136,V$2&lt;=09_ガント元データ!$H136),"■",""))</f>
        <v/>
      </c>
      <c r="W137" s="24" t="str">
        <f aca="false">IF($A137="","",IF(AND(W$2&gt;=09_ガント元データ!$G136,W$2&lt;=09_ガント元データ!$H136),"■",""))</f>
        <v/>
      </c>
      <c r="X137" s="24" t="str">
        <f aca="false">IF($A137="","",IF(AND(X$2&gt;=09_ガント元データ!$G136,X$2&lt;=09_ガント元データ!$H136),"■",""))</f>
        <v/>
      </c>
      <c r="Y137" s="24" t="str">
        <f aca="false">IF($A137="","",IF(AND(Y$2&gt;=09_ガント元データ!$G136,Y$2&lt;=09_ガント元データ!$H136),"■",""))</f>
        <v/>
      </c>
      <c r="Z137" s="24" t="str">
        <f aca="false">IF($A137="","",IF(AND(Z$2&gt;=09_ガント元データ!$G136,Z$2&lt;=09_ガント元データ!$H136),"■",""))</f>
        <v/>
      </c>
      <c r="AA137" s="24" t="str">
        <f aca="false">IF($A137="","",IF(AND(AA$2&gt;=09_ガント元データ!$G136,AA$2&lt;=09_ガント元データ!$H136),"■",""))</f>
        <v/>
      </c>
      <c r="AB137" s="24" t="str">
        <f aca="false">IF($A137="","",IF(AND(AB$2&gt;=09_ガント元データ!$G136,AB$2&lt;=09_ガント元データ!$H136),"■",""))</f>
        <v/>
      </c>
      <c r="AC137" s="24" t="str">
        <f aca="false">IF($A137="","",IF(AND(AC$2&gt;=09_ガント元データ!$G136,AC$2&lt;=09_ガント元データ!$H136),"■",""))</f>
        <v/>
      </c>
      <c r="AD137" s="24" t="str">
        <f aca="false">IF($A137="","",IF(AND(AD$2&gt;=09_ガント元データ!$G136,AD$2&lt;=09_ガント元データ!$H136),"■",""))</f>
        <v/>
      </c>
      <c r="AE137" s="24" t="str">
        <f aca="false">IF($A137="","",IF(AND(AE$2&gt;=09_ガント元データ!$G136,AE$2&lt;=09_ガント元データ!$H136),"■",""))</f>
        <v/>
      </c>
      <c r="AF137" s="24" t="str">
        <f aca="false">IF($A137="","",IF(AND(AF$2&gt;=09_ガント元データ!$G136,AF$2&lt;=09_ガント元データ!$H136),"■",""))</f>
        <v/>
      </c>
      <c r="AG137" s="24" t="str">
        <f aca="false">IF($A137="","",IF(AND(AG$2&gt;=09_ガント元データ!$G136,AG$2&lt;=09_ガント元データ!$H136),"■",""))</f>
        <v/>
      </c>
      <c r="AH137" s="24" t="str">
        <f aca="false">IF($A137="","",IF(AND(AH$2&gt;=09_ガント元データ!$G136,AH$2&lt;=09_ガント元データ!$H136),"■",""))</f>
        <v/>
      </c>
      <c r="AI137" s="24" t="str">
        <f aca="false">IF($A137="","",IF(AND(AI$2&gt;=09_ガント元データ!$G136,AI$2&lt;=09_ガント元データ!$H136),"■",""))</f>
        <v/>
      </c>
      <c r="AJ137" s="24" t="str">
        <f aca="false">IF($A137="","",IF(AND(AJ$2&gt;=09_ガント元データ!$G136,AJ$2&lt;=09_ガント元データ!$H136),"■",""))</f>
        <v/>
      </c>
      <c r="AK137" s="24" t="str">
        <f aca="false">IF($A137="","",IF(AND(AK$2&gt;=09_ガント元データ!$G136,AK$2&lt;=09_ガント元データ!$H136),"■",""))</f>
        <v/>
      </c>
      <c r="AL137" s="24" t="str">
        <f aca="false">IF($A137="","",IF(AND(AL$2&gt;=09_ガント元データ!$G136,AL$2&lt;=09_ガント元データ!$H136),"■",""))</f>
        <v/>
      </c>
      <c r="AM137" s="24" t="str">
        <f aca="false">IF($A137="","",IF(AND(AM$2&gt;=09_ガント元データ!$G136,AM$2&lt;=09_ガント元データ!$H136),"■",""))</f>
        <v/>
      </c>
    </row>
    <row r="138" customFormat="false" ht="15" hidden="false" customHeight="false" outlineLevel="0" collapsed="false">
      <c r="A138" s="22" t="str">
        <f aca="false">09_ガント元データ!A137</f>
        <v/>
      </c>
      <c r="B138" s="22" t="str">
        <f aca="false">09_ガント元データ!B137</f>
        <v/>
      </c>
      <c r="C138" s="23" t="str">
        <f aca="false">09_ガント元データ!C137</f>
        <v/>
      </c>
      <c r="D138" s="24" t="str">
        <f aca="false">IF($A138="","",IF(AND(D$2&gt;=09_ガント元データ!$G137,D$2&lt;=09_ガント元データ!$H137),"■",""))</f>
        <v/>
      </c>
      <c r="E138" s="24" t="str">
        <f aca="false">IF($A138="","",IF(AND(E$2&gt;=09_ガント元データ!$G137,E$2&lt;=09_ガント元データ!$H137),"■",""))</f>
        <v/>
      </c>
      <c r="F138" s="24" t="str">
        <f aca="false">IF($A138="","",IF(AND(F$2&gt;=09_ガント元データ!$G137,F$2&lt;=09_ガント元データ!$H137),"■",""))</f>
        <v/>
      </c>
      <c r="G138" s="24" t="str">
        <f aca="false">IF($A138="","",IF(AND(G$2&gt;=09_ガント元データ!$G137,G$2&lt;=09_ガント元データ!$H137),"■",""))</f>
        <v/>
      </c>
      <c r="H138" s="24" t="str">
        <f aca="false">IF($A138="","",IF(AND(H$2&gt;=09_ガント元データ!$G137,H$2&lt;=09_ガント元データ!$H137),"■",""))</f>
        <v/>
      </c>
      <c r="I138" s="24" t="str">
        <f aca="false">IF($A138="","",IF(AND(I$2&gt;=09_ガント元データ!$G137,I$2&lt;=09_ガント元データ!$H137),"■",""))</f>
        <v/>
      </c>
      <c r="J138" s="24" t="str">
        <f aca="false">IF($A138="","",IF(AND(J$2&gt;=09_ガント元データ!$G137,J$2&lt;=09_ガント元データ!$H137),"■",""))</f>
        <v/>
      </c>
      <c r="K138" s="24" t="str">
        <f aca="false">IF($A138="","",IF(AND(K$2&gt;=09_ガント元データ!$G137,K$2&lt;=09_ガント元データ!$H137),"■",""))</f>
        <v/>
      </c>
      <c r="L138" s="24" t="str">
        <f aca="false">IF($A138="","",IF(AND(L$2&gt;=09_ガント元データ!$G137,L$2&lt;=09_ガント元データ!$H137),"■",""))</f>
        <v/>
      </c>
      <c r="M138" s="24" t="str">
        <f aca="false">IF($A138="","",IF(AND(M$2&gt;=09_ガント元データ!$G137,M$2&lt;=09_ガント元データ!$H137),"■",""))</f>
        <v/>
      </c>
      <c r="N138" s="24" t="str">
        <f aca="false">IF($A138="","",IF(AND(N$2&gt;=09_ガント元データ!$G137,N$2&lt;=09_ガント元データ!$H137),"■",""))</f>
        <v/>
      </c>
      <c r="O138" s="24" t="str">
        <f aca="false">IF($A138="","",IF(AND(O$2&gt;=09_ガント元データ!$G137,O$2&lt;=09_ガント元データ!$H137),"■",""))</f>
        <v/>
      </c>
      <c r="P138" s="24" t="str">
        <f aca="false">IF($A138="","",IF(AND(P$2&gt;=09_ガント元データ!$G137,P$2&lt;=09_ガント元データ!$H137),"■",""))</f>
        <v/>
      </c>
      <c r="Q138" s="24" t="str">
        <f aca="false">IF($A138="","",IF(AND(Q$2&gt;=09_ガント元データ!$G137,Q$2&lt;=09_ガント元データ!$H137),"■",""))</f>
        <v/>
      </c>
      <c r="R138" s="24" t="str">
        <f aca="false">IF($A138="","",IF(AND(R$2&gt;=09_ガント元データ!$G137,R$2&lt;=09_ガント元データ!$H137),"■",""))</f>
        <v/>
      </c>
      <c r="S138" s="24" t="str">
        <f aca="false">IF($A138="","",IF(AND(S$2&gt;=09_ガント元データ!$G137,S$2&lt;=09_ガント元データ!$H137),"■",""))</f>
        <v/>
      </c>
      <c r="T138" s="24" t="str">
        <f aca="false">IF($A138="","",IF(AND(T$2&gt;=09_ガント元データ!$G137,T$2&lt;=09_ガント元データ!$H137),"■",""))</f>
        <v/>
      </c>
      <c r="U138" s="24" t="str">
        <f aca="false">IF($A138="","",IF(AND(U$2&gt;=09_ガント元データ!$G137,U$2&lt;=09_ガント元データ!$H137),"■",""))</f>
        <v/>
      </c>
      <c r="V138" s="24" t="str">
        <f aca="false">IF($A138="","",IF(AND(V$2&gt;=09_ガント元データ!$G137,V$2&lt;=09_ガント元データ!$H137),"■",""))</f>
        <v/>
      </c>
      <c r="W138" s="24" t="str">
        <f aca="false">IF($A138="","",IF(AND(W$2&gt;=09_ガント元データ!$G137,W$2&lt;=09_ガント元データ!$H137),"■",""))</f>
        <v/>
      </c>
      <c r="X138" s="24" t="str">
        <f aca="false">IF($A138="","",IF(AND(X$2&gt;=09_ガント元データ!$G137,X$2&lt;=09_ガント元データ!$H137),"■",""))</f>
        <v/>
      </c>
      <c r="Y138" s="24" t="str">
        <f aca="false">IF($A138="","",IF(AND(Y$2&gt;=09_ガント元データ!$G137,Y$2&lt;=09_ガント元データ!$H137),"■",""))</f>
        <v/>
      </c>
      <c r="Z138" s="24" t="str">
        <f aca="false">IF($A138="","",IF(AND(Z$2&gt;=09_ガント元データ!$G137,Z$2&lt;=09_ガント元データ!$H137),"■",""))</f>
        <v/>
      </c>
      <c r="AA138" s="24" t="str">
        <f aca="false">IF($A138="","",IF(AND(AA$2&gt;=09_ガント元データ!$G137,AA$2&lt;=09_ガント元データ!$H137),"■",""))</f>
        <v/>
      </c>
      <c r="AB138" s="24" t="str">
        <f aca="false">IF($A138="","",IF(AND(AB$2&gt;=09_ガント元データ!$G137,AB$2&lt;=09_ガント元データ!$H137),"■",""))</f>
        <v/>
      </c>
      <c r="AC138" s="24" t="str">
        <f aca="false">IF($A138="","",IF(AND(AC$2&gt;=09_ガント元データ!$G137,AC$2&lt;=09_ガント元データ!$H137),"■",""))</f>
        <v/>
      </c>
      <c r="AD138" s="24" t="str">
        <f aca="false">IF($A138="","",IF(AND(AD$2&gt;=09_ガント元データ!$G137,AD$2&lt;=09_ガント元データ!$H137),"■",""))</f>
        <v/>
      </c>
      <c r="AE138" s="24" t="str">
        <f aca="false">IF($A138="","",IF(AND(AE$2&gt;=09_ガント元データ!$G137,AE$2&lt;=09_ガント元データ!$H137),"■",""))</f>
        <v/>
      </c>
      <c r="AF138" s="24" t="str">
        <f aca="false">IF($A138="","",IF(AND(AF$2&gt;=09_ガント元データ!$G137,AF$2&lt;=09_ガント元データ!$H137),"■",""))</f>
        <v/>
      </c>
      <c r="AG138" s="24" t="str">
        <f aca="false">IF($A138="","",IF(AND(AG$2&gt;=09_ガント元データ!$G137,AG$2&lt;=09_ガント元データ!$H137),"■",""))</f>
        <v/>
      </c>
      <c r="AH138" s="24" t="str">
        <f aca="false">IF($A138="","",IF(AND(AH$2&gt;=09_ガント元データ!$G137,AH$2&lt;=09_ガント元データ!$H137),"■",""))</f>
        <v/>
      </c>
      <c r="AI138" s="24" t="str">
        <f aca="false">IF($A138="","",IF(AND(AI$2&gt;=09_ガント元データ!$G137,AI$2&lt;=09_ガント元データ!$H137),"■",""))</f>
        <v/>
      </c>
      <c r="AJ138" s="24" t="str">
        <f aca="false">IF($A138="","",IF(AND(AJ$2&gt;=09_ガント元データ!$G137,AJ$2&lt;=09_ガント元データ!$H137),"■",""))</f>
        <v/>
      </c>
      <c r="AK138" s="24" t="str">
        <f aca="false">IF($A138="","",IF(AND(AK$2&gt;=09_ガント元データ!$G137,AK$2&lt;=09_ガント元データ!$H137),"■",""))</f>
        <v/>
      </c>
      <c r="AL138" s="24" t="str">
        <f aca="false">IF($A138="","",IF(AND(AL$2&gt;=09_ガント元データ!$G137,AL$2&lt;=09_ガント元データ!$H137),"■",""))</f>
        <v/>
      </c>
      <c r="AM138" s="24" t="str">
        <f aca="false">IF($A138="","",IF(AND(AM$2&gt;=09_ガント元データ!$G137,AM$2&lt;=09_ガント元データ!$H137),"■",""))</f>
        <v/>
      </c>
    </row>
    <row r="139" customFormat="false" ht="15" hidden="false" customHeight="false" outlineLevel="0" collapsed="false">
      <c r="A139" s="22" t="str">
        <f aca="false">09_ガント元データ!A138</f>
        <v/>
      </c>
      <c r="B139" s="22" t="str">
        <f aca="false">09_ガント元データ!B138</f>
        <v/>
      </c>
      <c r="C139" s="23" t="str">
        <f aca="false">09_ガント元データ!C138</f>
        <v/>
      </c>
      <c r="D139" s="24" t="str">
        <f aca="false">IF($A139="","",IF(AND(D$2&gt;=09_ガント元データ!$G138,D$2&lt;=09_ガント元データ!$H138),"■",""))</f>
        <v/>
      </c>
      <c r="E139" s="24" t="str">
        <f aca="false">IF($A139="","",IF(AND(E$2&gt;=09_ガント元データ!$G138,E$2&lt;=09_ガント元データ!$H138),"■",""))</f>
        <v/>
      </c>
      <c r="F139" s="24" t="str">
        <f aca="false">IF($A139="","",IF(AND(F$2&gt;=09_ガント元データ!$G138,F$2&lt;=09_ガント元データ!$H138),"■",""))</f>
        <v/>
      </c>
      <c r="G139" s="24" t="str">
        <f aca="false">IF($A139="","",IF(AND(G$2&gt;=09_ガント元データ!$G138,G$2&lt;=09_ガント元データ!$H138),"■",""))</f>
        <v/>
      </c>
      <c r="H139" s="24" t="str">
        <f aca="false">IF($A139="","",IF(AND(H$2&gt;=09_ガント元データ!$G138,H$2&lt;=09_ガント元データ!$H138),"■",""))</f>
        <v/>
      </c>
      <c r="I139" s="24" t="str">
        <f aca="false">IF($A139="","",IF(AND(I$2&gt;=09_ガント元データ!$G138,I$2&lt;=09_ガント元データ!$H138),"■",""))</f>
        <v/>
      </c>
      <c r="J139" s="24" t="str">
        <f aca="false">IF($A139="","",IF(AND(J$2&gt;=09_ガント元データ!$G138,J$2&lt;=09_ガント元データ!$H138),"■",""))</f>
        <v/>
      </c>
      <c r="K139" s="24" t="str">
        <f aca="false">IF($A139="","",IF(AND(K$2&gt;=09_ガント元データ!$G138,K$2&lt;=09_ガント元データ!$H138),"■",""))</f>
        <v/>
      </c>
      <c r="L139" s="24" t="str">
        <f aca="false">IF($A139="","",IF(AND(L$2&gt;=09_ガント元データ!$G138,L$2&lt;=09_ガント元データ!$H138),"■",""))</f>
        <v/>
      </c>
      <c r="M139" s="24" t="str">
        <f aca="false">IF($A139="","",IF(AND(M$2&gt;=09_ガント元データ!$G138,M$2&lt;=09_ガント元データ!$H138),"■",""))</f>
        <v/>
      </c>
      <c r="N139" s="24" t="str">
        <f aca="false">IF($A139="","",IF(AND(N$2&gt;=09_ガント元データ!$G138,N$2&lt;=09_ガント元データ!$H138),"■",""))</f>
        <v/>
      </c>
      <c r="O139" s="24" t="str">
        <f aca="false">IF($A139="","",IF(AND(O$2&gt;=09_ガント元データ!$G138,O$2&lt;=09_ガント元データ!$H138),"■",""))</f>
        <v/>
      </c>
      <c r="P139" s="24" t="str">
        <f aca="false">IF($A139="","",IF(AND(P$2&gt;=09_ガント元データ!$G138,P$2&lt;=09_ガント元データ!$H138),"■",""))</f>
        <v/>
      </c>
      <c r="Q139" s="24" t="str">
        <f aca="false">IF($A139="","",IF(AND(Q$2&gt;=09_ガント元データ!$G138,Q$2&lt;=09_ガント元データ!$H138),"■",""))</f>
        <v/>
      </c>
      <c r="R139" s="24" t="str">
        <f aca="false">IF($A139="","",IF(AND(R$2&gt;=09_ガント元データ!$G138,R$2&lt;=09_ガント元データ!$H138),"■",""))</f>
        <v/>
      </c>
      <c r="S139" s="24" t="str">
        <f aca="false">IF($A139="","",IF(AND(S$2&gt;=09_ガント元データ!$G138,S$2&lt;=09_ガント元データ!$H138),"■",""))</f>
        <v/>
      </c>
      <c r="T139" s="24" t="str">
        <f aca="false">IF($A139="","",IF(AND(T$2&gt;=09_ガント元データ!$G138,T$2&lt;=09_ガント元データ!$H138),"■",""))</f>
        <v/>
      </c>
      <c r="U139" s="24" t="str">
        <f aca="false">IF($A139="","",IF(AND(U$2&gt;=09_ガント元データ!$G138,U$2&lt;=09_ガント元データ!$H138),"■",""))</f>
        <v/>
      </c>
      <c r="V139" s="24" t="str">
        <f aca="false">IF($A139="","",IF(AND(V$2&gt;=09_ガント元データ!$G138,V$2&lt;=09_ガント元データ!$H138),"■",""))</f>
        <v/>
      </c>
      <c r="W139" s="24" t="str">
        <f aca="false">IF($A139="","",IF(AND(W$2&gt;=09_ガント元データ!$G138,W$2&lt;=09_ガント元データ!$H138),"■",""))</f>
        <v/>
      </c>
      <c r="X139" s="24" t="str">
        <f aca="false">IF($A139="","",IF(AND(X$2&gt;=09_ガント元データ!$G138,X$2&lt;=09_ガント元データ!$H138),"■",""))</f>
        <v/>
      </c>
      <c r="Y139" s="24" t="str">
        <f aca="false">IF($A139="","",IF(AND(Y$2&gt;=09_ガント元データ!$G138,Y$2&lt;=09_ガント元データ!$H138),"■",""))</f>
        <v/>
      </c>
      <c r="Z139" s="24" t="str">
        <f aca="false">IF($A139="","",IF(AND(Z$2&gt;=09_ガント元データ!$G138,Z$2&lt;=09_ガント元データ!$H138),"■",""))</f>
        <v/>
      </c>
      <c r="AA139" s="24" t="str">
        <f aca="false">IF($A139="","",IF(AND(AA$2&gt;=09_ガント元データ!$G138,AA$2&lt;=09_ガント元データ!$H138),"■",""))</f>
        <v/>
      </c>
      <c r="AB139" s="24" t="str">
        <f aca="false">IF($A139="","",IF(AND(AB$2&gt;=09_ガント元データ!$G138,AB$2&lt;=09_ガント元データ!$H138),"■",""))</f>
        <v/>
      </c>
      <c r="AC139" s="24" t="str">
        <f aca="false">IF($A139="","",IF(AND(AC$2&gt;=09_ガント元データ!$G138,AC$2&lt;=09_ガント元データ!$H138),"■",""))</f>
        <v/>
      </c>
      <c r="AD139" s="24" t="str">
        <f aca="false">IF($A139="","",IF(AND(AD$2&gt;=09_ガント元データ!$G138,AD$2&lt;=09_ガント元データ!$H138),"■",""))</f>
        <v/>
      </c>
      <c r="AE139" s="24" t="str">
        <f aca="false">IF($A139="","",IF(AND(AE$2&gt;=09_ガント元データ!$G138,AE$2&lt;=09_ガント元データ!$H138),"■",""))</f>
        <v/>
      </c>
      <c r="AF139" s="24" t="str">
        <f aca="false">IF($A139="","",IF(AND(AF$2&gt;=09_ガント元データ!$G138,AF$2&lt;=09_ガント元データ!$H138),"■",""))</f>
        <v/>
      </c>
      <c r="AG139" s="24" t="str">
        <f aca="false">IF($A139="","",IF(AND(AG$2&gt;=09_ガント元データ!$G138,AG$2&lt;=09_ガント元データ!$H138),"■",""))</f>
        <v/>
      </c>
      <c r="AH139" s="24" t="str">
        <f aca="false">IF($A139="","",IF(AND(AH$2&gt;=09_ガント元データ!$G138,AH$2&lt;=09_ガント元データ!$H138),"■",""))</f>
        <v/>
      </c>
      <c r="AI139" s="24" t="str">
        <f aca="false">IF($A139="","",IF(AND(AI$2&gt;=09_ガント元データ!$G138,AI$2&lt;=09_ガント元データ!$H138),"■",""))</f>
        <v/>
      </c>
      <c r="AJ139" s="24" t="str">
        <f aca="false">IF($A139="","",IF(AND(AJ$2&gt;=09_ガント元データ!$G138,AJ$2&lt;=09_ガント元データ!$H138),"■",""))</f>
        <v/>
      </c>
      <c r="AK139" s="24" t="str">
        <f aca="false">IF($A139="","",IF(AND(AK$2&gt;=09_ガント元データ!$G138,AK$2&lt;=09_ガント元データ!$H138),"■",""))</f>
        <v/>
      </c>
      <c r="AL139" s="24" t="str">
        <f aca="false">IF($A139="","",IF(AND(AL$2&gt;=09_ガント元データ!$G138,AL$2&lt;=09_ガント元データ!$H138),"■",""))</f>
        <v/>
      </c>
      <c r="AM139" s="24" t="str">
        <f aca="false">IF($A139="","",IF(AND(AM$2&gt;=09_ガント元データ!$G138,AM$2&lt;=09_ガント元データ!$H138),"■",""))</f>
        <v/>
      </c>
    </row>
    <row r="140" customFormat="false" ht="15" hidden="false" customHeight="false" outlineLevel="0" collapsed="false">
      <c r="A140" s="22" t="str">
        <f aca="false">09_ガント元データ!A139</f>
        <v/>
      </c>
      <c r="B140" s="22" t="str">
        <f aca="false">09_ガント元データ!B139</f>
        <v/>
      </c>
      <c r="C140" s="23" t="str">
        <f aca="false">09_ガント元データ!C139</f>
        <v/>
      </c>
      <c r="D140" s="24" t="str">
        <f aca="false">IF($A140="","",IF(AND(D$2&gt;=09_ガント元データ!$G139,D$2&lt;=09_ガント元データ!$H139),"■",""))</f>
        <v/>
      </c>
      <c r="E140" s="24" t="str">
        <f aca="false">IF($A140="","",IF(AND(E$2&gt;=09_ガント元データ!$G139,E$2&lt;=09_ガント元データ!$H139),"■",""))</f>
        <v/>
      </c>
      <c r="F140" s="24" t="str">
        <f aca="false">IF($A140="","",IF(AND(F$2&gt;=09_ガント元データ!$G139,F$2&lt;=09_ガント元データ!$H139),"■",""))</f>
        <v/>
      </c>
      <c r="G140" s="24" t="str">
        <f aca="false">IF($A140="","",IF(AND(G$2&gt;=09_ガント元データ!$G139,G$2&lt;=09_ガント元データ!$H139),"■",""))</f>
        <v/>
      </c>
      <c r="H140" s="24" t="str">
        <f aca="false">IF($A140="","",IF(AND(H$2&gt;=09_ガント元データ!$G139,H$2&lt;=09_ガント元データ!$H139),"■",""))</f>
        <v/>
      </c>
      <c r="I140" s="24" t="str">
        <f aca="false">IF($A140="","",IF(AND(I$2&gt;=09_ガント元データ!$G139,I$2&lt;=09_ガント元データ!$H139),"■",""))</f>
        <v/>
      </c>
      <c r="J140" s="24" t="str">
        <f aca="false">IF($A140="","",IF(AND(J$2&gt;=09_ガント元データ!$G139,J$2&lt;=09_ガント元データ!$H139),"■",""))</f>
        <v/>
      </c>
      <c r="K140" s="24" t="str">
        <f aca="false">IF($A140="","",IF(AND(K$2&gt;=09_ガント元データ!$G139,K$2&lt;=09_ガント元データ!$H139),"■",""))</f>
        <v/>
      </c>
      <c r="L140" s="24" t="str">
        <f aca="false">IF($A140="","",IF(AND(L$2&gt;=09_ガント元データ!$G139,L$2&lt;=09_ガント元データ!$H139),"■",""))</f>
        <v/>
      </c>
      <c r="M140" s="24" t="str">
        <f aca="false">IF($A140="","",IF(AND(M$2&gt;=09_ガント元データ!$G139,M$2&lt;=09_ガント元データ!$H139),"■",""))</f>
        <v/>
      </c>
      <c r="N140" s="24" t="str">
        <f aca="false">IF($A140="","",IF(AND(N$2&gt;=09_ガント元データ!$G139,N$2&lt;=09_ガント元データ!$H139),"■",""))</f>
        <v/>
      </c>
      <c r="O140" s="24" t="str">
        <f aca="false">IF($A140="","",IF(AND(O$2&gt;=09_ガント元データ!$G139,O$2&lt;=09_ガント元データ!$H139),"■",""))</f>
        <v/>
      </c>
      <c r="P140" s="24" t="str">
        <f aca="false">IF($A140="","",IF(AND(P$2&gt;=09_ガント元データ!$G139,P$2&lt;=09_ガント元データ!$H139),"■",""))</f>
        <v/>
      </c>
      <c r="Q140" s="24" t="str">
        <f aca="false">IF($A140="","",IF(AND(Q$2&gt;=09_ガント元データ!$G139,Q$2&lt;=09_ガント元データ!$H139),"■",""))</f>
        <v/>
      </c>
      <c r="R140" s="24" t="str">
        <f aca="false">IF($A140="","",IF(AND(R$2&gt;=09_ガント元データ!$G139,R$2&lt;=09_ガント元データ!$H139),"■",""))</f>
        <v/>
      </c>
      <c r="S140" s="24" t="str">
        <f aca="false">IF($A140="","",IF(AND(S$2&gt;=09_ガント元データ!$G139,S$2&lt;=09_ガント元データ!$H139),"■",""))</f>
        <v/>
      </c>
      <c r="T140" s="24" t="str">
        <f aca="false">IF($A140="","",IF(AND(T$2&gt;=09_ガント元データ!$G139,T$2&lt;=09_ガント元データ!$H139),"■",""))</f>
        <v/>
      </c>
      <c r="U140" s="24" t="str">
        <f aca="false">IF($A140="","",IF(AND(U$2&gt;=09_ガント元データ!$G139,U$2&lt;=09_ガント元データ!$H139),"■",""))</f>
        <v/>
      </c>
      <c r="V140" s="24" t="str">
        <f aca="false">IF($A140="","",IF(AND(V$2&gt;=09_ガント元データ!$G139,V$2&lt;=09_ガント元データ!$H139),"■",""))</f>
        <v/>
      </c>
      <c r="W140" s="24" t="str">
        <f aca="false">IF($A140="","",IF(AND(W$2&gt;=09_ガント元データ!$G139,W$2&lt;=09_ガント元データ!$H139),"■",""))</f>
        <v/>
      </c>
      <c r="X140" s="24" t="str">
        <f aca="false">IF($A140="","",IF(AND(X$2&gt;=09_ガント元データ!$G139,X$2&lt;=09_ガント元データ!$H139),"■",""))</f>
        <v/>
      </c>
      <c r="Y140" s="24" t="str">
        <f aca="false">IF($A140="","",IF(AND(Y$2&gt;=09_ガント元データ!$G139,Y$2&lt;=09_ガント元データ!$H139),"■",""))</f>
        <v/>
      </c>
      <c r="Z140" s="24" t="str">
        <f aca="false">IF($A140="","",IF(AND(Z$2&gt;=09_ガント元データ!$G139,Z$2&lt;=09_ガント元データ!$H139),"■",""))</f>
        <v/>
      </c>
      <c r="AA140" s="24" t="str">
        <f aca="false">IF($A140="","",IF(AND(AA$2&gt;=09_ガント元データ!$G139,AA$2&lt;=09_ガント元データ!$H139),"■",""))</f>
        <v/>
      </c>
      <c r="AB140" s="24" t="str">
        <f aca="false">IF($A140="","",IF(AND(AB$2&gt;=09_ガント元データ!$G139,AB$2&lt;=09_ガント元データ!$H139),"■",""))</f>
        <v/>
      </c>
      <c r="AC140" s="24" t="str">
        <f aca="false">IF($A140="","",IF(AND(AC$2&gt;=09_ガント元データ!$G139,AC$2&lt;=09_ガント元データ!$H139),"■",""))</f>
        <v/>
      </c>
      <c r="AD140" s="24" t="str">
        <f aca="false">IF($A140="","",IF(AND(AD$2&gt;=09_ガント元データ!$G139,AD$2&lt;=09_ガント元データ!$H139),"■",""))</f>
        <v/>
      </c>
      <c r="AE140" s="24" t="str">
        <f aca="false">IF($A140="","",IF(AND(AE$2&gt;=09_ガント元データ!$G139,AE$2&lt;=09_ガント元データ!$H139),"■",""))</f>
        <v/>
      </c>
      <c r="AF140" s="24" t="str">
        <f aca="false">IF($A140="","",IF(AND(AF$2&gt;=09_ガント元データ!$G139,AF$2&lt;=09_ガント元データ!$H139),"■",""))</f>
        <v/>
      </c>
      <c r="AG140" s="24" t="str">
        <f aca="false">IF($A140="","",IF(AND(AG$2&gt;=09_ガント元データ!$G139,AG$2&lt;=09_ガント元データ!$H139),"■",""))</f>
        <v/>
      </c>
      <c r="AH140" s="24" t="str">
        <f aca="false">IF($A140="","",IF(AND(AH$2&gt;=09_ガント元データ!$G139,AH$2&lt;=09_ガント元データ!$H139),"■",""))</f>
        <v/>
      </c>
      <c r="AI140" s="24" t="str">
        <f aca="false">IF($A140="","",IF(AND(AI$2&gt;=09_ガント元データ!$G139,AI$2&lt;=09_ガント元データ!$H139),"■",""))</f>
        <v/>
      </c>
      <c r="AJ140" s="24" t="str">
        <f aca="false">IF($A140="","",IF(AND(AJ$2&gt;=09_ガント元データ!$G139,AJ$2&lt;=09_ガント元データ!$H139),"■",""))</f>
        <v/>
      </c>
      <c r="AK140" s="24" t="str">
        <f aca="false">IF($A140="","",IF(AND(AK$2&gt;=09_ガント元データ!$G139,AK$2&lt;=09_ガント元データ!$H139),"■",""))</f>
        <v/>
      </c>
      <c r="AL140" s="24" t="str">
        <f aca="false">IF($A140="","",IF(AND(AL$2&gt;=09_ガント元データ!$G139,AL$2&lt;=09_ガント元データ!$H139),"■",""))</f>
        <v/>
      </c>
      <c r="AM140" s="24" t="str">
        <f aca="false">IF($A140="","",IF(AND(AM$2&gt;=09_ガント元データ!$G139,AM$2&lt;=09_ガント元データ!$H139),"■",""))</f>
        <v/>
      </c>
    </row>
    <row r="141" customFormat="false" ht="15" hidden="false" customHeight="false" outlineLevel="0" collapsed="false">
      <c r="A141" s="22" t="str">
        <f aca="false">09_ガント元データ!A140</f>
        <v/>
      </c>
      <c r="B141" s="22" t="str">
        <f aca="false">09_ガント元データ!B140</f>
        <v/>
      </c>
      <c r="C141" s="23" t="str">
        <f aca="false">09_ガント元データ!C140</f>
        <v/>
      </c>
      <c r="D141" s="24" t="str">
        <f aca="false">IF($A141="","",IF(AND(D$2&gt;=09_ガント元データ!$G140,D$2&lt;=09_ガント元データ!$H140),"■",""))</f>
        <v/>
      </c>
      <c r="E141" s="24" t="str">
        <f aca="false">IF($A141="","",IF(AND(E$2&gt;=09_ガント元データ!$G140,E$2&lt;=09_ガント元データ!$H140),"■",""))</f>
        <v/>
      </c>
      <c r="F141" s="24" t="str">
        <f aca="false">IF($A141="","",IF(AND(F$2&gt;=09_ガント元データ!$G140,F$2&lt;=09_ガント元データ!$H140),"■",""))</f>
        <v/>
      </c>
      <c r="G141" s="24" t="str">
        <f aca="false">IF($A141="","",IF(AND(G$2&gt;=09_ガント元データ!$G140,G$2&lt;=09_ガント元データ!$H140),"■",""))</f>
        <v/>
      </c>
      <c r="H141" s="24" t="str">
        <f aca="false">IF($A141="","",IF(AND(H$2&gt;=09_ガント元データ!$G140,H$2&lt;=09_ガント元データ!$H140),"■",""))</f>
        <v/>
      </c>
      <c r="I141" s="24" t="str">
        <f aca="false">IF($A141="","",IF(AND(I$2&gt;=09_ガント元データ!$G140,I$2&lt;=09_ガント元データ!$H140),"■",""))</f>
        <v/>
      </c>
      <c r="J141" s="24" t="str">
        <f aca="false">IF($A141="","",IF(AND(J$2&gt;=09_ガント元データ!$G140,J$2&lt;=09_ガント元データ!$H140),"■",""))</f>
        <v/>
      </c>
      <c r="K141" s="24" t="str">
        <f aca="false">IF($A141="","",IF(AND(K$2&gt;=09_ガント元データ!$G140,K$2&lt;=09_ガント元データ!$H140),"■",""))</f>
        <v/>
      </c>
      <c r="L141" s="24" t="str">
        <f aca="false">IF($A141="","",IF(AND(L$2&gt;=09_ガント元データ!$G140,L$2&lt;=09_ガント元データ!$H140),"■",""))</f>
        <v/>
      </c>
      <c r="M141" s="24" t="str">
        <f aca="false">IF($A141="","",IF(AND(M$2&gt;=09_ガント元データ!$G140,M$2&lt;=09_ガント元データ!$H140),"■",""))</f>
        <v/>
      </c>
      <c r="N141" s="24" t="str">
        <f aca="false">IF($A141="","",IF(AND(N$2&gt;=09_ガント元データ!$G140,N$2&lt;=09_ガント元データ!$H140),"■",""))</f>
        <v/>
      </c>
      <c r="O141" s="24" t="str">
        <f aca="false">IF($A141="","",IF(AND(O$2&gt;=09_ガント元データ!$G140,O$2&lt;=09_ガント元データ!$H140),"■",""))</f>
        <v/>
      </c>
      <c r="P141" s="24" t="str">
        <f aca="false">IF($A141="","",IF(AND(P$2&gt;=09_ガント元データ!$G140,P$2&lt;=09_ガント元データ!$H140),"■",""))</f>
        <v/>
      </c>
      <c r="Q141" s="24" t="str">
        <f aca="false">IF($A141="","",IF(AND(Q$2&gt;=09_ガント元データ!$G140,Q$2&lt;=09_ガント元データ!$H140),"■",""))</f>
        <v/>
      </c>
      <c r="R141" s="24" t="str">
        <f aca="false">IF($A141="","",IF(AND(R$2&gt;=09_ガント元データ!$G140,R$2&lt;=09_ガント元データ!$H140),"■",""))</f>
        <v/>
      </c>
      <c r="S141" s="24" t="str">
        <f aca="false">IF($A141="","",IF(AND(S$2&gt;=09_ガント元データ!$G140,S$2&lt;=09_ガント元データ!$H140),"■",""))</f>
        <v/>
      </c>
      <c r="T141" s="24" t="str">
        <f aca="false">IF($A141="","",IF(AND(T$2&gt;=09_ガント元データ!$G140,T$2&lt;=09_ガント元データ!$H140),"■",""))</f>
        <v/>
      </c>
      <c r="U141" s="24" t="str">
        <f aca="false">IF($A141="","",IF(AND(U$2&gt;=09_ガント元データ!$G140,U$2&lt;=09_ガント元データ!$H140),"■",""))</f>
        <v/>
      </c>
      <c r="V141" s="24" t="str">
        <f aca="false">IF($A141="","",IF(AND(V$2&gt;=09_ガント元データ!$G140,V$2&lt;=09_ガント元データ!$H140),"■",""))</f>
        <v/>
      </c>
      <c r="W141" s="24" t="str">
        <f aca="false">IF($A141="","",IF(AND(W$2&gt;=09_ガント元データ!$G140,W$2&lt;=09_ガント元データ!$H140),"■",""))</f>
        <v/>
      </c>
      <c r="X141" s="24" t="str">
        <f aca="false">IF($A141="","",IF(AND(X$2&gt;=09_ガント元データ!$G140,X$2&lt;=09_ガント元データ!$H140),"■",""))</f>
        <v/>
      </c>
      <c r="Y141" s="24" t="str">
        <f aca="false">IF($A141="","",IF(AND(Y$2&gt;=09_ガント元データ!$G140,Y$2&lt;=09_ガント元データ!$H140),"■",""))</f>
        <v/>
      </c>
      <c r="Z141" s="24" t="str">
        <f aca="false">IF($A141="","",IF(AND(Z$2&gt;=09_ガント元データ!$G140,Z$2&lt;=09_ガント元データ!$H140),"■",""))</f>
        <v/>
      </c>
      <c r="AA141" s="24" t="str">
        <f aca="false">IF($A141="","",IF(AND(AA$2&gt;=09_ガント元データ!$G140,AA$2&lt;=09_ガント元データ!$H140),"■",""))</f>
        <v/>
      </c>
      <c r="AB141" s="24" t="str">
        <f aca="false">IF($A141="","",IF(AND(AB$2&gt;=09_ガント元データ!$G140,AB$2&lt;=09_ガント元データ!$H140),"■",""))</f>
        <v/>
      </c>
      <c r="AC141" s="24" t="str">
        <f aca="false">IF($A141="","",IF(AND(AC$2&gt;=09_ガント元データ!$G140,AC$2&lt;=09_ガント元データ!$H140),"■",""))</f>
        <v/>
      </c>
      <c r="AD141" s="24" t="str">
        <f aca="false">IF($A141="","",IF(AND(AD$2&gt;=09_ガント元データ!$G140,AD$2&lt;=09_ガント元データ!$H140),"■",""))</f>
        <v/>
      </c>
      <c r="AE141" s="24" t="str">
        <f aca="false">IF($A141="","",IF(AND(AE$2&gt;=09_ガント元データ!$G140,AE$2&lt;=09_ガント元データ!$H140),"■",""))</f>
        <v/>
      </c>
      <c r="AF141" s="24" t="str">
        <f aca="false">IF($A141="","",IF(AND(AF$2&gt;=09_ガント元データ!$G140,AF$2&lt;=09_ガント元データ!$H140),"■",""))</f>
        <v/>
      </c>
      <c r="AG141" s="24" t="str">
        <f aca="false">IF($A141="","",IF(AND(AG$2&gt;=09_ガント元データ!$G140,AG$2&lt;=09_ガント元データ!$H140),"■",""))</f>
        <v/>
      </c>
      <c r="AH141" s="24" t="str">
        <f aca="false">IF($A141="","",IF(AND(AH$2&gt;=09_ガント元データ!$G140,AH$2&lt;=09_ガント元データ!$H140),"■",""))</f>
        <v/>
      </c>
      <c r="AI141" s="24" t="str">
        <f aca="false">IF($A141="","",IF(AND(AI$2&gt;=09_ガント元データ!$G140,AI$2&lt;=09_ガント元データ!$H140),"■",""))</f>
        <v/>
      </c>
      <c r="AJ141" s="24" t="str">
        <f aca="false">IF($A141="","",IF(AND(AJ$2&gt;=09_ガント元データ!$G140,AJ$2&lt;=09_ガント元データ!$H140),"■",""))</f>
        <v/>
      </c>
      <c r="AK141" s="24" t="str">
        <f aca="false">IF($A141="","",IF(AND(AK$2&gt;=09_ガント元データ!$G140,AK$2&lt;=09_ガント元データ!$H140),"■",""))</f>
        <v/>
      </c>
      <c r="AL141" s="24" t="str">
        <f aca="false">IF($A141="","",IF(AND(AL$2&gt;=09_ガント元データ!$G140,AL$2&lt;=09_ガント元データ!$H140),"■",""))</f>
        <v/>
      </c>
      <c r="AM141" s="24" t="str">
        <f aca="false">IF($A141="","",IF(AND(AM$2&gt;=09_ガント元データ!$G140,AM$2&lt;=09_ガント元データ!$H140),"■",""))</f>
        <v/>
      </c>
    </row>
    <row r="142" customFormat="false" ht="15" hidden="false" customHeight="false" outlineLevel="0" collapsed="false">
      <c r="A142" s="22" t="str">
        <f aca="false">09_ガント元データ!A141</f>
        <v/>
      </c>
      <c r="B142" s="22" t="str">
        <f aca="false">09_ガント元データ!B141</f>
        <v/>
      </c>
      <c r="C142" s="23" t="str">
        <f aca="false">09_ガント元データ!C141</f>
        <v/>
      </c>
      <c r="D142" s="24" t="str">
        <f aca="false">IF($A142="","",IF(AND(D$2&gt;=09_ガント元データ!$G141,D$2&lt;=09_ガント元データ!$H141),"■",""))</f>
        <v/>
      </c>
      <c r="E142" s="24" t="str">
        <f aca="false">IF($A142="","",IF(AND(E$2&gt;=09_ガント元データ!$G141,E$2&lt;=09_ガント元データ!$H141),"■",""))</f>
        <v/>
      </c>
      <c r="F142" s="24" t="str">
        <f aca="false">IF($A142="","",IF(AND(F$2&gt;=09_ガント元データ!$G141,F$2&lt;=09_ガント元データ!$H141),"■",""))</f>
        <v/>
      </c>
      <c r="G142" s="24" t="str">
        <f aca="false">IF($A142="","",IF(AND(G$2&gt;=09_ガント元データ!$G141,G$2&lt;=09_ガント元データ!$H141),"■",""))</f>
        <v/>
      </c>
      <c r="H142" s="24" t="str">
        <f aca="false">IF($A142="","",IF(AND(H$2&gt;=09_ガント元データ!$G141,H$2&lt;=09_ガント元データ!$H141),"■",""))</f>
        <v/>
      </c>
      <c r="I142" s="24" t="str">
        <f aca="false">IF($A142="","",IF(AND(I$2&gt;=09_ガント元データ!$G141,I$2&lt;=09_ガント元データ!$H141),"■",""))</f>
        <v/>
      </c>
      <c r="J142" s="24" t="str">
        <f aca="false">IF($A142="","",IF(AND(J$2&gt;=09_ガント元データ!$G141,J$2&lt;=09_ガント元データ!$H141),"■",""))</f>
        <v/>
      </c>
      <c r="K142" s="24" t="str">
        <f aca="false">IF($A142="","",IF(AND(K$2&gt;=09_ガント元データ!$G141,K$2&lt;=09_ガント元データ!$H141),"■",""))</f>
        <v/>
      </c>
      <c r="L142" s="24" t="str">
        <f aca="false">IF($A142="","",IF(AND(L$2&gt;=09_ガント元データ!$G141,L$2&lt;=09_ガント元データ!$H141),"■",""))</f>
        <v/>
      </c>
      <c r="M142" s="24" t="str">
        <f aca="false">IF($A142="","",IF(AND(M$2&gt;=09_ガント元データ!$G141,M$2&lt;=09_ガント元データ!$H141),"■",""))</f>
        <v/>
      </c>
      <c r="N142" s="24" t="str">
        <f aca="false">IF($A142="","",IF(AND(N$2&gt;=09_ガント元データ!$G141,N$2&lt;=09_ガント元データ!$H141),"■",""))</f>
        <v/>
      </c>
      <c r="O142" s="24" t="str">
        <f aca="false">IF($A142="","",IF(AND(O$2&gt;=09_ガント元データ!$G141,O$2&lt;=09_ガント元データ!$H141),"■",""))</f>
        <v/>
      </c>
      <c r="P142" s="24" t="str">
        <f aca="false">IF($A142="","",IF(AND(P$2&gt;=09_ガント元データ!$G141,P$2&lt;=09_ガント元データ!$H141),"■",""))</f>
        <v/>
      </c>
      <c r="Q142" s="24" t="str">
        <f aca="false">IF($A142="","",IF(AND(Q$2&gt;=09_ガント元データ!$G141,Q$2&lt;=09_ガント元データ!$H141),"■",""))</f>
        <v/>
      </c>
      <c r="R142" s="24" t="str">
        <f aca="false">IF($A142="","",IF(AND(R$2&gt;=09_ガント元データ!$G141,R$2&lt;=09_ガント元データ!$H141),"■",""))</f>
        <v/>
      </c>
      <c r="S142" s="24" t="str">
        <f aca="false">IF($A142="","",IF(AND(S$2&gt;=09_ガント元データ!$G141,S$2&lt;=09_ガント元データ!$H141),"■",""))</f>
        <v/>
      </c>
      <c r="T142" s="24" t="str">
        <f aca="false">IF($A142="","",IF(AND(T$2&gt;=09_ガント元データ!$G141,T$2&lt;=09_ガント元データ!$H141),"■",""))</f>
        <v/>
      </c>
      <c r="U142" s="24" t="str">
        <f aca="false">IF($A142="","",IF(AND(U$2&gt;=09_ガント元データ!$G141,U$2&lt;=09_ガント元データ!$H141),"■",""))</f>
        <v/>
      </c>
      <c r="V142" s="24" t="str">
        <f aca="false">IF($A142="","",IF(AND(V$2&gt;=09_ガント元データ!$G141,V$2&lt;=09_ガント元データ!$H141),"■",""))</f>
        <v/>
      </c>
      <c r="W142" s="24" t="str">
        <f aca="false">IF($A142="","",IF(AND(W$2&gt;=09_ガント元データ!$G141,W$2&lt;=09_ガント元データ!$H141),"■",""))</f>
        <v/>
      </c>
      <c r="X142" s="24" t="str">
        <f aca="false">IF($A142="","",IF(AND(X$2&gt;=09_ガント元データ!$G141,X$2&lt;=09_ガント元データ!$H141),"■",""))</f>
        <v/>
      </c>
      <c r="Y142" s="24" t="str">
        <f aca="false">IF($A142="","",IF(AND(Y$2&gt;=09_ガント元データ!$G141,Y$2&lt;=09_ガント元データ!$H141),"■",""))</f>
        <v/>
      </c>
      <c r="Z142" s="24" t="str">
        <f aca="false">IF($A142="","",IF(AND(Z$2&gt;=09_ガント元データ!$G141,Z$2&lt;=09_ガント元データ!$H141),"■",""))</f>
        <v/>
      </c>
      <c r="AA142" s="24" t="str">
        <f aca="false">IF($A142="","",IF(AND(AA$2&gt;=09_ガント元データ!$G141,AA$2&lt;=09_ガント元データ!$H141),"■",""))</f>
        <v/>
      </c>
      <c r="AB142" s="24" t="str">
        <f aca="false">IF($A142="","",IF(AND(AB$2&gt;=09_ガント元データ!$G141,AB$2&lt;=09_ガント元データ!$H141),"■",""))</f>
        <v/>
      </c>
      <c r="AC142" s="24" t="str">
        <f aca="false">IF($A142="","",IF(AND(AC$2&gt;=09_ガント元データ!$G141,AC$2&lt;=09_ガント元データ!$H141),"■",""))</f>
        <v/>
      </c>
      <c r="AD142" s="24" t="str">
        <f aca="false">IF($A142="","",IF(AND(AD$2&gt;=09_ガント元データ!$G141,AD$2&lt;=09_ガント元データ!$H141),"■",""))</f>
        <v/>
      </c>
      <c r="AE142" s="24" t="str">
        <f aca="false">IF($A142="","",IF(AND(AE$2&gt;=09_ガント元データ!$G141,AE$2&lt;=09_ガント元データ!$H141),"■",""))</f>
        <v/>
      </c>
      <c r="AF142" s="24" t="str">
        <f aca="false">IF($A142="","",IF(AND(AF$2&gt;=09_ガント元データ!$G141,AF$2&lt;=09_ガント元データ!$H141),"■",""))</f>
        <v/>
      </c>
      <c r="AG142" s="24" t="str">
        <f aca="false">IF($A142="","",IF(AND(AG$2&gt;=09_ガント元データ!$G141,AG$2&lt;=09_ガント元データ!$H141),"■",""))</f>
        <v/>
      </c>
      <c r="AH142" s="24" t="str">
        <f aca="false">IF($A142="","",IF(AND(AH$2&gt;=09_ガント元データ!$G141,AH$2&lt;=09_ガント元データ!$H141),"■",""))</f>
        <v/>
      </c>
      <c r="AI142" s="24" t="str">
        <f aca="false">IF($A142="","",IF(AND(AI$2&gt;=09_ガント元データ!$G141,AI$2&lt;=09_ガント元データ!$H141),"■",""))</f>
        <v/>
      </c>
      <c r="AJ142" s="24" t="str">
        <f aca="false">IF($A142="","",IF(AND(AJ$2&gt;=09_ガント元データ!$G141,AJ$2&lt;=09_ガント元データ!$H141),"■",""))</f>
        <v/>
      </c>
      <c r="AK142" s="24" t="str">
        <f aca="false">IF($A142="","",IF(AND(AK$2&gt;=09_ガント元データ!$G141,AK$2&lt;=09_ガント元データ!$H141),"■",""))</f>
        <v/>
      </c>
      <c r="AL142" s="24" t="str">
        <f aca="false">IF($A142="","",IF(AND(AL$2&gt;=09_ガント元データ!$G141,AL$2&lt;=09_ガント元データ!$H141),"■",""))</f>
        <v/>
      </c>
      <c r="AM142" s="24" t="str">
        <f aca="false">IF($A142="","",IF(AND(AM$2&gt;=09_ガント元データ!$G141,AM$2&lt;=09_ガント元データ!$H141),"■",""))</f>
        <v/>
      </c>
    </row>
    <row r="143" customFormat="false" ht="15" hidden="false" customHeight="false" outlineLevel="0" collapsed="false">
      <c r="A143" s="22" t="str">
        <f aca="false">09_ガント元データ!A142</f>
        <v/>
      </c>
      <c r="B143" s="22" t="str">
        <f aca="false">09_ガント元データ!B142</f>
        <v/>
      </c>
      <c r="C143" s="23" t="str">
        <f aca="false">09_ガント元データ!C142</f>
        <v/>
      </c>
      <c r="D143" s="24" t="str">
        <f aca="false">IF($A143="","",IF(AND(D$2&gt;=09_ガント元データ!$G142,D$2&lt;=09_ガント元データ!$H142),"■",""))</f>
        <v/>
      </c>
      <c r="E143" s="24" t="str">
        <f aca="false">IF($A143="","",IF(AND(E$2&gt;=09_ガント元データ!$G142,E$2&lt;=09_ガント元データ!$H142),"■",""))</f>
        <v/>
      </c>
      <c r="F143" s="24" t="str">
        <f aca="false">IF($A143="","",IF(AND(F$2&gt;=09_ガント元データ!$G142,F$2&lt;=09_ガント元データ!$H142),"■",""))</f>
        <v/>
      </c>
      <c r="G143" s="24" t="str">
        <f aca="false">IF($A143="","",IF(AND(G$2&gt;=09_ガント元データ!$G142,G$2&lt;=09_ガント元データ!$H142),"■",""))</f>
        <v/>
      </c>
      <c r="H143" s="24" t="str">
        <f aca="false">IF($A143="","",IF(AND(H$2&gt;=09_ガント元データ!$G142,H$2&lt;=09_ガント元データ!$H142),"■",""))</f>
        <v/>
      </c>
      <c r="I143" s="24" t="str">
        <f aca="false">IF($A143="","",IF(AND(I$2&gt;=09_ガント元データ!$G142,I$2&lt;=09_ガント元データ!$H142),"■",""))</f>
        <v/>
      </c>
      <c r="J143" s="24" t="str">
        <f aca="false">IF($A143="","",IF(AND(J$2&gt;=09_ガント元データ!$G142,J$2&lt;=09_ガント元データ!$H142),"■",""))</f>
        <v/>
      </c>
      <c r="K143" s="24" t="str">
        <f aca="false">IF($A143="","",IF(AND(K$2&gt;=09_ガント元データ!$G142,K$2&lt;=09_ガント元データ!$H142),"■",""))</f>
        <v/>
      </c>
      <c r="L143" s="24" t="str">
        <f aca="false">IF($A143="","",IF(AND(L$2&gt;=09_ガント元データ!$G142,L$2&lt;=09_ガント元データ!$H142),"■",""))</f>
        <v/>
      </c>
      <c r="M143" s="24" t="str">
        <f aca="false">IF($A143="","",IF(AND(M$2&gt;=09_ガント元データ!$G142,M$2&lt;=09_ガント元データ!$H142),"■",""))</f>
        <v/>
      </c>
      <c r="N143" s="24" t="str">
        <f aca="false">IF($A143="","",IF(AND(N$2&gt;=09_ガント元データ!$G142,N$2&lt;=09_ガント元データ!$H142),"■",""))</f>
        <v/>
      </c>
      <c r="O143" s="24" t="str">
        <f aca="false">IF($A143="","",IF(AND(O$2&gt;=09_ガント元データ!$G142,O$2&lt;=09_ガント元データ!$H142),"■",""))</f>
        <v/>
      </c>
      <c r="P143" s="24" t="str">
        <f aca="false">IF($A143="","",IF(AND(P$2&gt;=09_ガント元データ!$G142,P$2&lt;=09_ガント元データ!$H142),"■",""))</f>
        <v/>
      </c>
      <c r="Q143" s="24" t="str">
        <f aca="false">IF($A143="","",IF(AND(Q$2&gt;=09_ガント元データ!$G142,Q$2&lt;=09_ガント元データ!$H142),"■",""))</f>
        <v/>
      </c>
      <c r="R143" s="24" t="str">
        <f aca="false">IF($A143="","",IF(AND(R$2&gt;=09_ガント元データ!$G142,R$2&lt;=09_ガント元データ!$H142),"■",""))</f>
        <v/>
      </c>
      <c r="S143" s="24" t="str">
        <f aca="false">IF($A143="","",IF(AND(S$2&gt;=09_ガント元データ!$G142,S$2&lt;=09_ガント元データ!$H142),"■",""))</f>
        <v/>
      </c>
      <c r="T143" s="24" t="str">
        <f aca="false">IF($A143="","",IF(AND(T$2&gt;=09_ガント元データ!$G142,T$2&lt;=09_ガント元データ!$H142),"■",""))</f>
        <v/>
      </c>
      <c r="U143" s="24" t="str">
        <f aca="false">IF($A143="","",IF(AND(U$2&gt;=09_ガント元データ!$G142,U$2&lt;=09_ガント元データ!$H142),"■",""))</f>
        <v/>
      </c>
      <c r="V143" s="24" t="str">
        <f aca="false">IF($A143="","",IF(AND(V$2&gt;=09_ガント元データ!$G142,V$2&lt;=09_ガント元データ!$H142),"■",""))</f>
        <v/>
      </c>
      <c r="W143" s="24" t="str">
        <f aca="false">IF($A143="","",IF(AND(W$2&gt;=09_ガント元データ!$G142,W$2&lt;=09_ガント元データ!$H142),"■",""))</f>
        <v/>
      </c>
      <c r="X143" s="24" t="str">
        <f aca="false">IF($A143="","",IF(AND(X$2&gt;=09_ガント元データ!$G142,X$2&lt;=09_ガント元データ!$H142),"■",""))</f>
        <v/>
      </c>
      <c r="Y143" s="24" t="str">
        <f aca="false">IF($A143="","",IF(AND(Y$2&gt;=09_ガント元データ!$G142,Y$2&lt;=09_ガント元データ!$H142),"■",""))</f>
        <v/>
      </c>
      <c r="Z143" s="24" t="str">
        <f aca="false">IF($A143="","",IF(AND(Z$2&gt;=09_ガント元データ!$G142,Z$2&lt;=09_ガント元データ!$H142),"■",""))</f>
        <v/>
      </c>
      <c r="AA143" s="24" t="str">
        <f aca="false">IF($A143="","",IF(AND(AA$2&gt;=09_ガント元データ!$G142,AA$2&lt;=09_ガント元データ!$H142),"■",""))</f>
        <v/>
      </c>
      <c r="AB143" s="24" t="str">
        <f aca="false">IF($A143="","",IF(AND(AB$2&gt;=09_ガント元データ!$G142,AB$2&lt;=09_ガント元データ!$H142),"■",""))</f>
        <v/>
      </c>
      <c r="AC143" s="24" t="str">
        <f aca="false">IF($A143="","",IF(AND(AC$2&gt;=09_ガント元データ!$G142,AC$2&lt;=09_ガント元データ!$H142),"■",""))</f>
        <v/>
      </c>
      <c r="AD143" s="24" t="str">
        <f aca="false">IF($A143="","",IF(AND(AD$2&gt;=09_ガント元データ!$G142,AD$2&lt;=09_ガント元データ!$H142),"■",""))</f>
        <v/>
      </c>
      <c r="AE143" s="24" t="str">
        <f aca="false">IF($A143="","",IF(AND(AE$2&gt;=09_ガント元データ!$G142,AE$2&lt;=09_ガント元データ!$H142),"■",""))</f>
        <v/>
      </c>
      <c r="AF143" s="24" t="str">
        <f aca="false">IF($A143="","",IF(AND(AF$2&gt;=09_ガント元データ!$G142,AF$2&lt;=09_ガント元データ!$H142),"■",""))</f>
        <v/>
      </c>
      <c r="AG143" s="24" t="str">
        <f aca="false">IF($A143="","",IF(AND(AG$2&gt;=09_ガント元データ!$G142,AG$2&lt;=09_ガント元データ!$H142),"■",""))</f>
        <v/>
      </c>
      <c r="AH143" s="24" t="str">
        <f aca="false">IF($A143="","",IF(AND(AH$2&gt;=09_ガント元データ!$G142,AH$2&lt;=09_ガント元データ!$H142),"■",""))</f>
        <v/>
      </c>
      <c r="AI143" s="24" t="str">
        <f aca="false">IF($A143="","",IF(AND(AI$2&gt;=09_ガント元データ!$G142,AI$2&lt;=09_ガント元データ!$H142),"■",""))</f>
        <v/>
      </c>
      <c r="AJ143" s="24" t="str">
        <f aca="false">IF($A143="","",IF(AND(AJ$2&gt;=09_ガント元データ!$G142,AJ$2&lt;=09_ガント元データ!$H142),"■",""))</f>
        <v/>
      </c>
      <c r="AK143" s="24" t="str">
        <f aca="false">IF($A143="","",IF(AND(AK$2&gt;=09_ガント元データ!$G142,AK$2&lt;=09_ガント元データ!$H142),"■",""))</f>
        <v/>
      </c>
      <c r="AL143" s="24" t="str">
        <f aca="false">IF($A143="","",IF(AND(AL$2&gt;=09_ガント元データ!$G142,AL$2&lt;=09_ガント元データ!$H142),"■",""))</f>
        <v/>
      </c>
      <c r="AM143" s="24" t="str">
        <f aca="false">IF($A143="","",IF(AND(AM$2&gt;=09_ガント元データ!$G142,AM$2&lt;=09_ガント元データ!$H142),"■",""))</f>
        <v/>
      </c>
    </row>
    <row r="144" customFormat="false" ht="15" hidden="false" customHeight="false" outlineLevel="0" collapsed="false">
      <c r="A144" s="22" t="str">
        <f aca="false">09_ガント元データ!A143</f>
        <v/>
      </c>
      <c r="B144" s="22" t="str">
        <f aca="false">09_ガント元データ!B143</f>
        <v/>
      </c>
      <c r="C144" s="23" t="str">
        <f aca="false">09_ガント元データ!C143</f>
        <v/>
      </c>
      <c r="D144" s="24" t="str">
        <f aca="false">IF($A144="","",IF(AND(D$2&gt;=09_ガント元データ!$G143,D$2&lt;=09_ガント元データ!$H143),"■",""))</f>
        <v/>
      </c>
      <c r="E144" s="24" t="str">
        <f aca="false">IF($A144="","",IF(AND(E$2&gt;=09_ガント元データ!$G143,E$2&lt;=09_ガント元データ!$H143),"■",""))</f>
        <v/>
      </c>
      <c r="F144" s="24" t="str">
        <f aca="false">IF($A144="","",IF(AND(F$2&gt;=09_ガント元データ!$G143,F$2&lt;=09_ガント元データ!$H143),"■",""))</f>
        <v/>
      </c>
      <c r="G144" s="24" t="str">
        <f aca="false">IF($A144="","",IF(AND(G$2&gt;=09_ガント元データ!$G143,G$2&lt;=09_ガント元データ!$H143),"■",""))</f>
        <v/>
      </c>
      <c r="H144" s="24" t="str">
        <f aca="false">IF($A144="","",IF(AND(H$2&gt;=09_ガント元データ!$G143,H$2&lt;=09_ガント元データ!$H143),"■",""))</f>
        <v/>
      </c>
      <c r="I144" s="24" t="str">
        <f aca="false">IF($A144="","",IF(AND(I$2&gt;=09_ガント元データ!$G143,I$2&lt;=09_ガント元データ!$H143),"■",""))</f>
        <v/>
      </c>
      <c r="J144" s="24" t="str">
        <f aca="false">IF($A144="","",IF(AND(J$2&gt;=09_ガント元データ!$G143,J$2&lt;=09_ガント元データ!$H143),"■",""))</f>
        <v/>
      </c>
      <c r="K144" s="24" t="str">
        <f aca="false">IF($A144="","",IF(AND(K$2&gt;=09_ガント元データ!$G143,K$2&lt;=09_ガント元データ!$H143),"■",""))</f>
        <v/>
      </c>
      <c r="L144" s="24" t="str">
        <f aca="false">IF($A144="","",IF(AND(L$2&gt;=09_ガント元データ!$G143,L$2&lt;=09_ガント元データ!$H143),"■",""))</f>
        <v/>
      </c>
      <c r="M144" s="24" t="str">
        <f aca="false">IF($A144="","",IF(AND(M$2&gt;=09_ガント元データ!$G143,M$2&lt;=09_ガント元データ!$H143),"■",""))</f>
        <v/>
      </c>
      <c r="N144" s="24" t="str">
        <f aca="false">IF($A144="","",IF(AND(N$2&gt;=09_ガント元データ!$G143,N$2&lt;=09_ガント元データ!$H143),"■",""))</f>
        <v/>
      </c>
      <c r="O144" s="24" t="str">
        <f aca="false">IF($A144="","",IF(AND(O$2&gt;=09_ガント元データ!$G143,O$2&lt;=09_ガント元データ!$H143),"■",""))</f>
        <v/>
      </c>
      <c r="P144" s="24" t="str">
        <f aca="false">IF($A144="","",IF(AND(P$2&gt;=09_ガント元データ!$G143,P$2&lt;=09_ガント元データ!$H143),"■",""))</f>
        <v/>
      </c>
      <c r="Q144" s="24" t="str">
        <f aca="false">IF($A144="","",IF(AND(Q$2&gt;=09_ガント元データ!$G143,Q$2&lt;=09_ガント元データ!$H143),"■",""))</f>
        <v/>
      </c>
      <c r="R144" s="24" t="str">
        <f aca="false">IF($A144="","",IF(AND(R$2&gt;=09_ガント元データ!$G143,R$2&lt;=09_ガント元データ!$H143),"■",""))</f>
        <v/>
      </c>
      <c r="S144" s="24" t="str">
        <f aca="false">IF($A144="","",IF(AND(S$2&gt;=09_ガント元データ!$G143,S$2&lt;=09_ガント元データ!$H143),"■",""))</f>
        <v/>
      </c>
      <c r="T144" s="24" t="str">
        <f aca="false">IF($A144="","",IF(AND(T$2&gt;=09_ガント元データ!$G143,T$2&lt;=09_ガント元データ!$H143),"■",""))</f>
        <v/>
      </c>
      <c r="U144" s="24" t="str">
        <f aca="false">IF($A144="","",IF(AND(U$2&gt;=09_ガント元データ!$G143,U$2&lt;=09_ガント元データ!$H143),"■",""))</f>
        <v/>
      </c>
      <c r="V144" s="24" t="str">
        <f aca="false">IF($A144="","",IF(AND(V$2&gt;=09_ガント元データ!$G143,V$2&lt;=09_ガント元データ!$H143),"■",""))</f>
        <v/>
      </c>
      <c r="W144" s="24" t="str">
        <f aca="false">IF($A144="","",IF(AND(W$2&gt;=09_ガント元データ!$G143,W$2&lt;=09_ガント元データ!$H143),"■",""))</f>
        <v/>
      </c>
      <c r="X144" s="24" t="str">
        <f aca="false">IF($A144="","",IF(AND(X$2&gt;=09_ガント元データ!$G143,X$2&lt;=09_ガント元データ!$H143),"■",""))</f>
        <v/>
      </c>
      <c r="Y144" s="24" t="str">
        <f aca="false">IF($A144="","",IF(AND(Y$2&gt;=09_ガント元データ!$G143,Y$2&lt;=09_ガント元データ!$H143),"■",""))</f>
        <v/>
      </c>
      <c r="Z144" s="24" t="str">
        <f aca="false">IF($A144="","",IF(AND(Z$2&gt;=09_ガント元データ!$G143,Z$2&lt;=09_ガント元データ!$H143),"■",""))</f>
        <v/>
      </c>
      <c r="AA144" s="24" t="str">
        <f aca="false">IF($A144="","",IF(AND(AA$2&gt;=09_ガント元データ!$G143,AA$2&lt;=09_ガント元データ!$H143),"■",""))</f>
        <v/>
      </c>
      <c r="AB144" s="24" t="str">
        <f aca="false">IF($A144="","",IF(AND(AB$2&gt;=09_ガント元データ!$G143,AB$2&lt;=09_ガント元データ!$H143),"■",""))</f>
        <v/>
      </c>
      <c r="AC144" s="24" t="str">
        <f aca="false">IF($A144="","",IF(AND(AC$2&gt;=09_ガント元データ!$G143,AC$2&lt;=09_ガント元データ!$H143),"■",""))</f>
        <v/>
      </c>
      <c r="AD144" s="24" t="str">
        <f aca="false">IF($A144="","",IF(AND(AD$2&gt;=09_ガント元データ!$G143,AD$2&lt;=09_ガント元データ!$H143),"■",""))</f>
        <v/>
      </c>
      <c r="AE144" s="24" t="str">
        <f aca="false">IF($A144="","",IF(AND(AE$2&gt;=09_ガント元データ!$G143,AE$2&lt;=09_ガント元データ!$H143),"■",""))</f>
        <v/>
      </c>
      <c r="AF144" s="24" t="str">
        <f aca="false">IF($A144="","",IF(AND(AF$2&gt;=09_ガント元データ!$G143,AF$2&lt;=09_ガント元データ!$H143),"■",""))</f>
        <v/>
      </c>
      <c r="AG144" s="24" t="str">
        <f aca="false">IF($A144="","",IF(AND(AG$2&gt;=09_ガント元データ!$G143,AG$2&lt;=09_ガント元データ!$H143),"■",""))</f>
        <v/>
      </c>
      <c r="AH144" s="24" t="str">
        <f aca="false">IF($A144="","",IF(AND(AH$2&gt;=09_ガント元データ!$G143,AH$2&lt;=09_ガント元データ!$H143),"■",""))</f>
        <v/>
      </c>
      <c r="AI144" s="24" t="str">
        <f aca="false">IF($A144="","",IF(AND(AI$2&gt;=09_ガント元データ!$G143,AI$2&lt;=09_ガント元データ!$H143),"■",""))</f>
        <v/>
      </c>
      <c r="AJ144" s="24" t="str">
        <f aca="false">IF($A144="","",IF(AND(AJ$2&gt;=09_ガント元データ!$G143,AJ$2&lt;=09_ガント元データ!$H143),"■",""))</f>
        <v/>
      </c>
      <c r="AK144" s="24" t="str">
        <f aca="false">IF($A144="","",IF(AND(AK$2&gt;=09_ガント元データ!$G143,AK$2&lt;=09_ガント元データ!$H143),"■",""))</f>
        <v/>
      </c>
      <c r="AL144" s="24" t="str">
        <f aca="false">IF($A144="","",IF(AND(AL$2&gt;=09_ガント元データ!$G143,AL$2&lt;=09_ガント元データ!$H143),"■",""))</f>
        <v/>
      </c>
      <c r="AM144" s="24" t="str">
        <f aca="false">IF($A144="","",IF(AND(AM$2&gt;=09_ガント元データ!$G143,AM$2&lt;=09_ガント元データ!$H143),"■",""))</f>
        <v/>
      </c>
    </row>
    <row r="145" customFormat="false" ht="15" hidden="false" customHeight="false" outlineLevel="0" collapsed="false">
      <c r="A145" s="22" t="str">
        <f aca="false">09_ガント元データ!A144</f>
        <v/>
      </c>
      <c r="B145" s="22" t="str">
        <f aca="false">09_ガント元データ!B144</f>
        <v/>
      </c>
      <c r="C145" s="23" t="str">
        <f aca="false">09_ガント元データ!C144</f>
        <v/>
      </c>
      <c r="D145" s="24" t="str">
        <f aca="false">IF($A145="","",IF(AND(D$2&gt;=09_ガント元データ!$G144,D$2&lt;=09_ガント元データ!$H144),"■",""))</f>
        <v/>
      </c>
      <c r="E145" s="24" t="str">
        <f aca="false">IF($A145="","",IF(AND(E$2&gt;=09_ガント元データ!$G144,E$2&lt;=09_ガント元データ!$H144),"■",""))</f>
        <v/>
      </c>
      <c r="F145" s="24" t="str">
        <f aca="false">IF($A145="","",IF(AND(F$2&gt;=09_ガント元データ!$G144,F$2&lt;=09_ガント元データ!$H144),"■",""))</f>
        <v/>
      </c>
      <c r="G145" s="24" t="str">
        <f aca="false">IF($A145="","",IF(AND(G$2&gt;=09_ガント元データ!$G144,G$2&lt;=09_ガント元データ!$H144),"■",""))</f>
        <v/>
      </c>
      <c r="H145" s="24" t="str">
        <f aca="false">IF($A145="","",IF(AND(H$2&gt;=09_ガント元データ!$G144,H$2&lt;=09_ガント元データ!$H144),"■",""))</f>
        <v/>
      </c>
      <c r="I145" s="24" t="str">
        <f aca="false">IF($A145="","",IF(AND(I$2&gt;=09_ガント元データ!$G144,I$2&lt;=09_ガント元データ!$H144),"■",""))</f>
        <v/>
      </c>
      <c r="J145" s="24" t="str">
        <f aca="false">IF($A145="","",IF(AND(J$2&gt;=09_ガント元データ!$G144,J$2&lt;=09_ガント元データ!$H144),"■",""))</f>
        <v/>
      </c>
      <c r="K145" s="24" t="str">
        <f aca="false">IF($A145="","",IF(AND(K$2&gt;=09_ガント元データ!$G144,K$2&lt;=09_ガント元データ!$H144),"■",""))</f>
        <v/>
      </c>
      <c r="L145" s="24" t="str">
        <f aca="false">IF($A145="","",IF(AND(L$2&gt;=09_ガント元データ!$G144,L$2&lt;=09_ガント元データ!$H144),"■",""))</f>
        <v/>
      </c>
      <c r="M145" s="24" t="str">
        <f aca="false">IF($A145="","",IF(AND(M$2&gt;=09_ガント元データ!$G144,M$2&lt;=09_ガント元データ!$H144),"■",""))</f>
        <v/>
      </c>
      <c r="N145" s="24" t="str">
        <f aca="false">IF($A145="","",IF(AND(N$2&gt;=09_ガント元データ!$G144,N$2&lt;=09_ガント元データ!$H144),"■",""))</f>
        <v/>
      </c>
      <c r="O145" s="24" t="str">
        <f aca="false">IF($A145="","",IF(AND(O$2&gt;=09_ガント元データ!$G144,O$2&lt;=09_ガント元データ!$H144),"■",""))</f>
        <v/>
      </c>
      <c r="P145" s="24" t="str">
        <f aca="false">IF($A145="","",IF(AND(P$2&gt;=09_ガント元データ!$G144,P$2&lt;=09_ガント元データ!$H144),"■",""))</f>
        <v/>
      </c>
      <c r="Q145" s="24" t="str">
        <f aca="false">IF($A145="","",IF(AND(Q$2&gt;=09_ガント元データ!$G144,Q$2&lt;=09_ガント元データ!$H144),"■",""))</f>
        <v/>
      </c>
      <c r="R145" s="24" t="str">
        <f aca="false">IF($A145="","",IF(AND(R$2&gt;=09_ガント元データ!$G144,R$2&lt;=09_ガント元データ!$H144),"■",""))</f>
        <v/>
      </c>
      <c r="S145" s="24" t="str">
        <f aca="false">IF($A145="","",IF(AND(S$2&gt;=09_ガント元データ!$G144,S$2&lt;=09_ガント元データ!$H144),"■",""))</f>
        <v/>
      </c>
      <c r="T145" s="24" t="str">
        <f aca="false">IF($A145="","",IF(AND(T$2&gt;=09_ガント元データ!$G144,T$2&lt;=09_ガント元データ!$H144),"■",""))</f>
        <v/>
      </c>
      <c r="U145" s="24" t="str">
        <f aca="false">IF($A145="","",IF(AND(U$2&gt;=09_ガント元データ!$G144,U$2&lt;=09_ガント元データ!$H144),"■",""))</f>
        <v/>
      </c>
      <c r="V145" s="24" t="str">
        <f aca="false">IF($A145="","",IF(AND(V$2&gt;=09_ガント元データ!$G144,V$2&lt;=09_ガント元データ!$H144),"■",""))</f>
        <v/>
      </c>
      <c r="W145" s="24" t="str">
        <f aca="false">IF($A145="","",IF(AND(W$2&gt;=09_ガント元データ!$G144,W$2&lt;=09_ガント元データ!$H144),"■",""))</f>
        <v/>
      </c>
      <c r="X145" s="24" t="str">
        <f aca="false">IF($A145="","",IF(AND(X$2&gt;=09_ガント元データ!$G144,X$2&lt;=09_ガント元データ!$H144),"■",""))</f>
        <v/>
      </c>
      <c r="Y145" s="24" t="str">
        <f aca="false">IF($A145="","",IF(AND(Y$2&gt;=09_ガント元データ!$G144,Y$2&lt;=09_ガント元データ!$H144),"■",""))</f>
        <v/>
      </c>
      <c r="Z145" s="24" t="str">
        <f aca="false">IF($A145="","",IF(AND(Z$2&gt;=09_ガント元データ!$G144,Z$2&lt;=09_ガント元データ!$H144),"■",""))</f>
        <v/>
      </c>
      <c r="AA145" s="24" t="str">
        <f aca="false">IF($A145="","",IF(AND(AA$2&gt;=09_ガント元データ!$G144,AA$2&lt;=09_ガント元データ!$H144),"■",""))</f>
        <v/>
      </c>
      <c r="AB145" s="24" t="str">
        <f aca="false">IF($A145="","",IF(AND(AB$2&gt;=09_ガント元データ!$G144,AB$2&lt;=09_ガント元データ!$H144),"■",""))</f>
        <v/>
      </c>
      <c r="AC145" s="24" t="str">
        <f aca="false">IF($A145="","",IF(AND(AC$2&gt;=09_ガント元データ!$G144,AC$2&lt;=09_ガント元データ!$H144),"■",""))</f>
        <v/>
      </c>
      <c r="AD145" s="24" t="str">
        <f aca="false">IF($A145="","",IF(AND(AD$2&gt;=09_ガント元データ!$G144,AD$2&lt;=09_ガント元データ!$H144),"■",""))</f>
        <v/>
      </c>
      <c r="AE145" s="24" t="str">
        <f aca="false">IF($A145="","",IF(AND(AE$2&gt;=09_ガント元データ!$G144,AE$2&lt;=09_ガント元データ!$H144),"■",""))</f>
        <v/>
      </c>
      <c r="AF145" s="24" t="str">
        <f aca="false">IF($A145="","",IF(AND(AF$2&gt;=09_ガント元データ!$G144,AF$2&lt;=09_ガント元データ!$H144),"■",""))</f>
        <v/>
      </c>
      <c r="AG145" s="24" t="str">
        <f aca="false">IF($A145="","",IF(AND(AG$2&gt;=09_ガント元データ!$G144,AG$2&lt;=09_ガント元データ!$H144),"■",""))</f>
        <v/>
      </c>
      <c r="AH145" s="24" t="str">
        <f aca="false">IF($A145="","",IF(AND(AH$2&gt;=09_ガント元データ!$G144,AH$2&lt;=09_ガント元データ!$H144),"■",""))</f>
        <v/>
      </c>
      <c r="AI145" s="24" t="str">
        <f aca="false">IF($A145="","",IF(AND(AI$2&gt;=09_ガント元データ!$G144,AI$2&lt;=09_ガント元データ!$H144),"■",""))</f>
        <v/>
      </c>
      <c r="AJ145" s="24" t="str">
        <f aca="false">IF($A145="","",IF(AND(AJ$2&gt;=09_ガント元データ!$G144,AJ$2&lt;=09_ガント元データ!$H144),"■",""))</f>
        <v/>
      </c>
      <c r="AK145" s="24" t="str">
        <f aca="false">IF($A145="","",IF(AND(AK$2&gt;=09_ガント元データ!$G144,AK$2&lt;=09_ガント元データ!$H144),"■",""))</f>
        <v/>
      </c>
      <c r="AL145" s="24" t="str">
        <f aca="false">IF($A145="","",IF(AND(AL$2&gt;=09_ガント元データ!$G144,AL$2&lt;=09_ガント元データ!$H144),"■",""))</f>
        <v/>
      </c>
      <c r="AM145" s="24" t="str">
        <f aca="false">IF($A145="","",IF(AND(AM$2&gt;=09_ガント元データ!$G144,AM$2&lt;=09_ガント元データ!$H144),"■",""))</f>
        <v/>
      </c>
    </row>
    <row r="146" customFormat="false" ht="15" hidden="false" customHeight="false" outlineLevel="0" collapsed="false">
      <c r="A146" s="22" t="str">
        <f aca="false">09_ガント元データ!A145</f>
        <v/>
      </c>
      <c r="B146" s="22" t="str">
        <f aca="false">09_ガント元データ!B145</f>
        <v/>
      </c>
      <c r="C146" s="23" t="str">
        <f aca="false">09_ガント元データ!C145</f>
        <v/>
      </c>
      <c r="D146" s="24" t="str">
        <f aca="false">IF($A146="","",IF(AND(D$2&gt;=09_ガント元データ!$G145,D$2&lt;=09_ガント元データ!$H145),"■",""))</f>
        <v/>
      </c>
      <c r="E146" s="24" t="str">
        <f aca="false">IF($A146="","",IF(AND(E$2&gt;=09_ガント元データ!$G145,E$2&lt;=09_ガント元データ!$H145),"■",""))</f>
        <v/>
      </c>
      <c r="F146" s="24" t="str">
        <f aca="false">IF($A146="","",IF(AND(F$2&gt;=09_ガント元データ!$G145,F$2&lt;=09_ガント元データ!$H145),"■",""))</f>
        <v/>
      </c>
      <c r="G146" s="24" t="str">
        <f aca="false">IF($A146="","",IF(AND(G$2&gt;=09_ガント元データ!$G145,G$2&lt;=09_ガント元データ!$H145),"■",""))</f>
        <v/>
      </c>
      <c r="H146" s="24" t="str">
        <f aca="false">IF($A146="","",IF(AND(H$2&gt;=09_ガント元データ!$G145,H$2&lt;=09_ガント元データ!$H145),"■",""))</f>
        <v/>
      </c>
      <c r="I146" s="24" t="str">
        <f aca="false">IF($A146="","",IF(AND(I$2&gt;=09_ガント元データ!$G145,I$2&lt;=09_ガント元データ!$H145),"■",""))</f>
        <v/>
      </c>
      <c r="J146" s="24" t="str">
        <f aca="false">IF($A146="","",IF(AND(J$2&gt;=09_ガント元データ!$G145,J$2&lt;=09_ガント元データ!$H145),"■",""))</f>
        <v/>
      </c>
      <c r="K146" s="24" t="str">
        <f aca="false">IF($A146="","",IF(AND(K$2&gt;=09_ガント元データ!$G145,K$2&lt;=09_ガント元データ!$H145),"■",""))</f>
        <v/>
      </c>
      <c r="L146" s="24" t="str">
        <f aca="false">IF($A146="","",IF(AND(L$2&gt;=09_ガント元データ!$G145,L$2&lt;=09_ガント元データ!$H145),"■",""))</f>
        <v/>
      </c>
      <c r="M146" s="24" t="str">
        <f aca="false">IF($A146="","",IF(AND(M$2&gt;=09_ガント元データ!$G145,M$2&lt;=09_ガント元データ!$H145),"■",""))</f>
        <v/>
      </c>
      <c r="N146" s="24" t="str">
        <f aca="false">IF($A146="","",IF(AND(N$2&gt;=09_ガント元データ!$G145,N$2&lt;=09_ガント元データ!$H145),"■",""))</f>
        <v/>
      </c>
      <c r="O146" s="24" t="str">
        <f aca="false">IF($A146="","",IF(AND(O$2&gt;=09_ガント元データ!$G145,O$2&lt;=09_ガント元データ!$H145),"■",""))</f>
        <v/>
      </c>
      <c r="P146" s="24" t="str">
        <f aca="false">IF($A146="","",IF(AND(P$2&gt;=09_ガント元データ!$G145,P$2&lt;=09_ガント元データ!$H145),"■",""))</f>
        <v/>
      </c>
      <c r="Q146" s="24" t="str">
        <f aca="false">IF($A146="","",IF(AND(Q$2&gt;=09_ガント元データ!$G145,Q$2&lt;=09_ガント元データ!$H145),"■",""))</f>
        <v/>
      </c>
      <c r="R146" s="24" t="str">
        <f aca="false">IF($A146="","",IF(AND(R$2&gt;=09_ガント元データ!$G145,R$2&lt;=09_ガント元データ!$H145),"■",""))</f>
        <v/>
      </c>
      <c r="S146" s="24" t="str">
        <f aca="false">IF($A146="","",IF(AND(S$2&gt;=09_ガント元データ!$G145,S$2&lt;=09_ガント元データ!$H145),"■",""))</f>
        <v/>
      </c>
      <c r="T146" s="24" t="str">
        <f aca="false">IF($A146="","",IF(AND(T$2&gt;=09_ガント元データ!$G145,T$2&lt;=09_ガント元データ!$H145),"■",""))</f>
        <v/>
      </c>
      <c r="U146" s="24" t="str">
        <f aca="false">IF($A146="","",IF(AND(U$2&gt;=09_ガント元データ!$G145,U$2&lt;=09_ガント元データ!$H145),"■",""))</f>
        <v/>
      </c>
      <c r="V146" s="24" t="str">
        <f aca="false">IF($A146="","",IF(AND(V$2&gt;=09_ガント元データ!$G145,V$2&lt;=09_ガント元データ!$H145),"■",""))</f>
        <v/>
      </c>
      <c r="W146" s="24" t="str">
        <f aca="false">IF($A146="","",IF(AND(W$2&gt;=09_ガント元データ!$G145,W$2&lt;=09_ガント元データ!$H145),"■",""))</f>
        <v/>
      </c>
      <c r="X146" s="24" t="str">
        <f aca="false">IF($A146="","",IF(AND(X$2&gt;=09_ガント元データ!$G145,X$2&lt;=09_ガント元データ!$H145),"■",""))</f>
        <v/>
      </c>
      <c r="Y146" s="24" t="str">
        <f aca="false">IF($A146="","",IF(AND(Y$2&gt;=09_ガント元データ!$G145,Y$2&lt;=09_ガント元データ!$H145),"■",""))</f>
        <v/>
      </c>
      <c r="Z146" s="24" t="str">
        <f aca="false">IF($A146="","",IF(AND(Z$2&gt;=09_ガント元データ!$G145,Z$2&lt;=09_ガント元データ!$H145),"■",""))</f>
        <v/>
      </c>
      <c r="AA146" s="24" t="str">
        <f aca="false">IF($A146="","",IF(AND(AA$2&gt;=09_ガント元データ!$G145,AA$2&lt;=09_ガント元データ!$H145),"■",""))</f>
        <v/>
      </c>
      <c r="AB146" s="24" t="str">
        <f aca="false">IF($A146="","",IF(AND(AB$2&gt;=09_ガント元データ!$G145,AB$2&lt;=09_ガント元データ!$H145),"■",""))</f>
        <v/>
      </c>
      <c r="AC146" s="24" t="str">
        <f aca="false">IF($A146="","",IF(AND(AC$2&gt;=09_ガント元データ!$G145,AC$2&lt;=09_ガント元データ!$H145),"■",""))</f>
        <v/>
      </c>
      <c r="AD146" s="24" t="str">
        <f aca="false">IF($A146="","",IF(AND(AD$2&gt;=09_ガント元データ!$G145,AD$2&lt;=09_ガント元データ!$H145),"■",""))</f>
        <v/>
      </c>
      <c r="AE146" s="24" t="str">
        <f aca="false">IF($A146="","",IF(AND(AE$2&gt;=09_ガント元データ!$G145,AE$2&lt;=09_ガント元データ!$H145),"■",""))</f>
        <v/>
      </c>
      <c r="AF146" s="24" t="str">
        <f aca="false">IF($A146="","",IF(AND(AF$2&gt;=09_ガント元データ!$G145,AF$2&lt;=09_ガント元データ!$H145),"■",""))</f>
        <v/>
      </c>
      <c r="AG146" s="24" t="str">
        <f aca="false">IF($A146="","",IF(AND(AG$2&gt;=09_ガント元データ!$G145,AG$2&lt;=09_ガント元データ!$H145),"■",""))</f>
        <v/>
      </c>
      <c r="AH146" s="24" t="str">
        <f aca="false">IF($A146="","",IF(AND(AH$2&gt;=09_ガント元データ!$G145,AH$2&lt;=09_ガント元データ!$H145),"■",""))</f>
        <v/>
      </c>
      <c r="AI146" s="24" t="str">
        <f aca="false">IF($A146="","",IF(AND(AI$2&gt;=09_ガント元データ!$G145,AI$2&lt;=09_ガント元データ!$H145),"■",""))</f>
        <v/>
      </c>
      <c r="AJ146" s="24" t="str">
        <f aca="false">IF($A146="","",IF(AND(AJ$2&gt;=09_ガント元データ!$G145,AJ$2&lt;=09_ガント元データ!$H145),"■",""))</f>
        <v/>
      </c>
      <c r="AK146" s="24" t="str">
        <f aca="false">IF($A146="","",IF(AND(AK$2&gt;=09_ガント元データ!$G145,AK$2&lt;=09_ガント元データ!$H145),"■",""))</f>
        <v/>
      </c>
      <c r="AL146" s="24" t="str">
        <f aca="false">IF($A146="","",IF(AND(AL$2&gt;=09_ガント元データ!$G145,AL$2&lt;=09_ガント元データ!$H145),"■",""))</f>
        <v/>
      </c>
      <c r="AM146" s="24" t="str">
        <f aca="false">IF($A146="","",IF(AND(AM$2&gt;=09_ガント元データ!$G145,AM$2&lt;=09_ガント元データ!$H145),"■",""))</f>
        <v/>
      </c>
    </row>
    <row r="147" customFormat="false" ht="15" hidden="false" customHeight="false" outlineLevel="0" collapsed="false">
      <c r="A147" s="22" t="str">
        <f aca="false">09_ガント元データ!A146</f>
        <v/>
      </c>
      <c r="B147" s="22" t="str">
        <f aca="false">09_ガント元データ!B146</f>
        <v/>
      </c>
      <c r="C147" s="23" t="str">
        <f aca="false">09_ガント元データ!C146</f>
        <v/>
      </c>
      <c r="D147" s="24" t="str">
        <f aca="false">IF($A147="","",IF(AND(D$2&gt;=09_ガント元データ!$G146,D$2&lt;=09_ガント元データ!$H146),"■",""))</f>
        <v/>
      </c>
      <c r="E147" s="24" t="str">
        <f aca="false">IF($A147="","",IF(AND(E$2&gt;=09_ガント元データ!$G146,E$2&lt;=09_ガント元データ!$H146),"■",""))</f>
        <v/>
      </c>
      <c r="F147" s="24" t="str">
        <f aca="false">IF($A147="","",IF(AND(F$2&gt;=09_ガント元データ!$G146,F$2&lt;=09_ガント元データ!$H146),"■",""))</f>
        <v/>
      </c>
      <c r="G147" s="24" t="str">
        <f aca="false">IF($A147="","",IF(AND(G$2&gt;=09_ガント元データ!$G146,G$2&lt;=09_ガント元データ!$H146),"■",""))</f>
        <v/>
      </c>
      <c r="H147" s="24" t="str">
        <f aca="false">IF($A147="","",IF(AND(H$2&gt;=09_ガント元データ!$G146,H$2&lt;=09_ガント元データ!$H146),"■",""))</f>
        <v/>
      </c>
      <c r="I147" s="24" t="str">
        <f aca="false">IF($A147="","",IF(AND(I$2&gt;=09_ガント元データ!$G146,I$2&lt;=09_ガント元データ!$H146),"■",""))</f>
        <v/>
      </c>
      <c r="J147" s="24" t="str">
        <f aca="false">IF($A147="","",IF(AND(J$2&gt;=09_ガント元データ!$G146,J$2&lt;=09_ガント元データ!$H146),"■",""))</f>
        <v/>
      </c>
      <c r="K147" s="24" t="str">
        <f aca="false">IF($A147="","",IF(AND(K$2&gt;=09_ガント元データ!$G146,K$2&lt;=09_ガント元データ!$H146),"■",""))</f>
        <v/>
      </c>
      <c r="L147" s="24" t="str">
        <f aca="false">IF($A147="","",IF(AND(L$2&gt;=09_ガント元データ!$G146,L$2&lt;=09_ガント元データ!$H146),"■",""))</f>
        <v/>
      </c>
      <c r="M147" s="24" t="str">
        <f aca="false">IF($A147="","",IF(AND(M$2&gt;=09_ガント元データ!$G146,M$2&lt;=09_ガント元データ!$H146),"■",""))</f>
        <v/>
      </c>
      <c r="N147" s="24" t="str">
        <f aca="false">IF($A147="","",IF(AND(N$2&gt;=09_ガント元データ!$G146,N$2&lt;=09_ガント元データ!$H146),"■",""))</f>
        <v/>
      </c>
      <c r="O147" s="24" t="str">
        <f aca="false">IF($A147="","",IF(AND(O$2&gt;=09_ガント元データ!$G146,O$2&lt;=09_ガント元データ!$H146),"■",""))</f>
        <v/>
      </c>
      <c r="P147" s="24" t="str">
        <f aca="false">IF($A147="","",IF(AND(P$2&gt;=09_ガント元データ!$G146,P$2&lt;=09_ガント元データ!$H146),"■",""))</f>
        <v/>
      </c>
      <c r="Q147" s="24" t="str">
        <f aca="false">IF($A147="","",IF(AND(Q$2&gt;=09_ガント元データ!$G146,Q$2&lt;=09_ガント元データ!$H146),"■",""))</f>
        <v/>
      </c>
      <c r="R147" s="24" t="str">
        <f aca="false">IF($A147="","",IF(AND(R$2&gt;=09_ガント元データ!$G146,R$2&lt;=09_ガント元データ!$H146),"■",""))</f>
        <v/>
      </c>
      <c r="S147" s="24" t="str">
        <f aca="false">IF($A147="","",IF(AND(S$2&gt;=09_ガント元データ!$G146,S$2&lt;=09_ガント元データ!$H146),"■",""))</f>
        <v/>
      </c>
      <c r="T147" s="24" t="str">
        <f aca="false">IF($A147="","",IF(AND(T$2&gt;=09_ガント元データ!$G146,T$2&lt;=09_ガント元データ!$H146),"■",""))</f>
        <v/>
      </c>
      <c r="U147" s="24" t="str">
        <f aca="false">IF($A147="","",IF(AND(U$2&gt;=09_ガント元データ!$G146,U$2&lt;=09_ガント元データ!$H146),"■",""))</f>
        <v/>
      </c>
      <c r="V147" s="24" t="str">
        <f aca="false">IF($A147="","",IF(AND(V$2&gt;=09_ガント元データ!$G146,V$2&lt;=09_ガント元データ!$H146),"■",""))</f>
        <v/>
      </c>
      <c r="W147" s="24" t="str">
        <f aca="false">IF($A147="","",IF(AND(W$2&gt;=09_ガント元データ!$G146,W$2&lt;=09_ガント元データ!$H146),"■",""))</f>
        <v/>
      </c>
      <c r="X147" s="24" t="str">
        <f aca="false">IF($A147="","",IF(AND(X$2&gt;=09_ガント元データ!$G146,X$2&lt;=09_ガント元データ!$H146),"■",""))</f>
        <v/>
      </c>
      <c r="Y147" s="24" t="str">
        <f aca="false">IF($A147="","",IF(AND(Y$2&gt;=09_ガント元データ!$G146,Y$2&lt;=09_ガント元データ!$H146),"■",""))</f>
        <v/>
      </c>
      <c r="Z147" s="24" t="str">
        <f aca="false">IF($A147="","",IF(AND(Z$2&gt;=09_ガント元データ!$G146,Z$2&lt;=09_ガント元データ!$H146),"■",""))</f>
        <v/>
      </c>
      <c r="AA147" s="24" t="str">
        <f aca="false">IF($A147="","",IF(AND(AA$2&gt;=09_ガント元データ!$G146,AA$2&lt;=09_ガント元データ!$H146),"■",""))</f>
        <v/>
      </c>
      <c r="AB147" s="24" t="str">
        <f aca="false">IF($A147="","",IF(AND(AB$2&gt;=09_ガント元データ!$G146,AB$2&lt;=09_ガント元データ!$H146),"■",""))</f>
        <v/>
      </c>
      <c r="AC147" s="24" t="str">
        <f aca="false">IF($A147="","",IF(AND(AC$2&gt;=09_ガント元データ!$G146,AC$2&lt;=09_ガント元データ!$H146),"■",""))</f>
        <v/>
      </c>
      <c r="AD147" s="24" t="str">
        <f aca="false">IF($A147="","",IF(AND(AD$2&gt;=09_ガント元データ!$G146,AD$2&lt;=09_ガント元データ!$H146),"■",""))</f>
        <v/>
      </c>
      <c r="AE147" s="24" t="str">
        <f aca="false">IF($A147="","",IF(AND(AE$2&gt;=09_ガント元データ!$G146,AE$2&lt;=09_ガント元データ!$H146),"■",""))</f>
        <v/>
      </c>
      <c r="AF147" s="24" t="str">
        <f aca="false">IF($A147="","",IF(AND(AF$2&gt;=09_ガント元データ!$G146,AF$2&lt;=09_ガント元データ!$H146),"■",""))</f>
        <v/>
      </c>
      <c r="AG147" s="24" t="str">
        <f aca="false">IF($A147="","",IF(AND(AG$2&gt;=09_ガント元データ!$G146,AG$2&lt;=09_ガント元データ!$H146),"■",""))</f>
        <v/>
      </c>
      <c r="AH147" s="24" t="str">
        <f aca="false">IF($A147="","",IF(AND(AH$2&gt;=09_ガント元データ!$G146,AH$2&lt;=09_ガント元データ!$H146),"■",""))</f>
        <v/>
      </c>
      <c r="AI147" s="24" t="str">
        <f aca="false">IF($A147="","",IF(AND(AI$2&gt;=09_ガント元データ!$G146,AI$2&lt;=09_ガント元データ!$H146),"■",""))</f>
        <v/>
      </c>
      <c r="AJ147" s="24" t="str">
        <f aca="false">IF($A147="","",IF(AND(AJ$2&gt;=09_ガント元データ!$G146,AJ$2&lt;=09_ガント元データ!$H146),"■",""))</f>
        <v/>
      </c>
      <c r="AK147" s="24" t="str">
        <f aca="false">IF($A147="","",IF(AND(AK$2&gt;=09_ガント元データ!$G146,AK$2&lt;=09_ガント元データ!$H146),"■",""))</f>
        <v/>
      </c>
      <c r="AL147" s="24" t="str">
        <f aca="false">IF($A147="","",IF(AND(AL$2&gt;=09_ガント元データ!$G146,AL$2&lt;=09_ガント元データ!$H146),"■",""))</f>
        <v/>
      </c>
      <c r="AM147" s="24" t="str">
        <f aca="false">IF($A147="","",IF(AND(AM$2&gt;=09_ガント元データ!$G146,AM$2&lt;=09_ガント元データ!$H146),"■",""))</f>
        <v/>
      </c>
    </row>
    <row r="148" customFormat="false" ht="15" hidden="false" customHeight="false" outlineLevel="0" collapsed="false">
      <c r="A148" s="22" t="str">
        <f aca="false">09_ガント元データ!A147</f>
        <v/>
      </c>
      <c r="B148" s="22" t="str">
        <f aca="false">09_ガント元データ!B147</f>
        <v/>
      </c>
      <c r="C148" s="23" t="str">
        <f aca="false">09_ガント元データ!C147</f>
        <v/>
      </c>
      <c r="D148" s="24" t="str">
        <f aca="false">IF($A148="","",IF(AND(D$2&gt;=09_ガント元データ!$G147,D$2&lt;=09_ガント元データ!$H147),"■",""))</f>
        <v/>
      </c>
      <c r="E148" s="24" t="str">
        <f aca="false">IF($A148="","",IF(AND(E$2&gt;=09_ガント元データ!$G147,E$2&lt;=09_ガント元データ!$H147),"■",""))</f>
        <v/>
      </c>
      <c r="F148" s="24" t="str">
        <f aca="false">IF($A148="","",IF(AND(F$2&gt;=09_ガント元データ!$G147,F$2&lt;=09_ガント元データ!$H147),"■",""))</f>
        <v/>
      </c>
      <c r="G148" s="24" t="str">
        <f aca="false">IF($A148="","",IF(AND(G$2&gt;=09_ガント元データ!$G147,G$2&lt;=09_ガント元データ!$H147),"■",""))</f>
        <v/>
      </c>
      <c r="H148" s="24" t="str">
        <f aca="false">IF($A148="","",IF(AND(H$2&gt;=09_ガント元データ!$G147,H$2&lt;=09_ガント元データ!$H147),"■",""))</f>
        <v/>
      </c>
      <c r="I148" s="24" t="str">
        <f aca="false">IF($A148="","",IF(AND(I$2&gt;=09_ガント元データ!$G147,I$2&lt;=09_ガント元データ!$H147),"■",""))</f>
        <v/>
      </c>
      <c r="J148" s="24" t="str">
        <f aca="false">IF($A148="","",IF(AND(J$2&gt;=09_ガント元データ!$G147,J$2&lt;=09_ガント元データ!$H147),"■",""))</f>
        <v/>
      </c>
      <c r="K148" s="24" t="str">
        <f aca="false">IF($A148="","",IF(AND(K$2&gt;=09_ガント元データ!$G147,K$2&lt;=09_ガント元データ!$H147),"■",""))</f>
        <v/>
      </c>
      <c r="L148" s="24" t="str">
        <f aca="false">IF($A148="","",IF(AND(L$2&gt;=09_ガント元データ!$G147,L$2&lt;=09_ガント元データ!$H147),"■",""))</f>
        <v/>
      </c>
      <c r="M148" s="24" t="str">
        <f aca="false">IF($A148="","",IF(AND(M$2&gt;=09_ガント元データ!$G147,M$2&lt;=09_ガント元データ!$H147),"■",""))</f>
        <v/>
      </c>
      <c r="N148" s="24" t="str">
        <f aca="false">IF($A148="","",IF(AND(N$2&gt;=09_ガント元データ!$G147,N$2&lt;=09_ガント元データ!$H147),"■",""))</f>
        <v/>
      </c>
      <c r="O148" s="24" t="str">
        <f aca="false">IF($A148="","",IF(AND(O$2&gt;=09_ガント元データ!$G147,O$2&lt;=09_ガント元データ!$H147),"■",""))</f>
        <v/>
      </c>
      <c r="P148" s="24" t="str">
        <f aca="false">IF($A148="","",IF(AND(P$2&gt;=09_ガント元データ!$G147,P$2&lt;=09_ガント元データ!$H147),"■",""))</f>
        <v/>
      </c>
      <c r="Q148" s="24" t="str">
        <f aca="false">IF($A148="","",IF(AND(Q$2&gt;=09_ガント元データ!$G147,Q$2&lt;=09_ガント元データ!$H147),"■",""))</f>
        <v/>
      </c>
      <c r="R148" s="24" t="str">
        <f aca="false">IF($A148="","",IF(AND(R$2&gt;=09_ガント元データ!$G147,R$2&lt;=09_ガント元データ!$H147),"■",""))</f>
        <v/>
      </c>
      <c r="S148" s="24" t="str">
        <f aca="false">IF($A148="","",IF(AND(S$2&gt;=09_ガント元データ!$G147,S$2&lt;=09_ガント元データ!$H147),"■",""))</f>
        <v/>
      </c>
      <c r="T148" s="24" t="str">
        <f aca="false">IF($A148="","",IF(AND(T$2&gt;=09_ガント元データ!$G147,T$2&lt;=09_ガント元データ!$H147),"■",""))</f>
        <v/>
      </c>
      <c r="U148" s="24" t="str">
        <f aca="false">IF($A148="","",IF(AND(U$2&gt;=09_ガント元データ!$G147,U$2&lt;=09_ガント元データ!$H147),"■",""))</f>
        <v/>
      </c>
      <c r="V148" s="24" t="str">
        <f aca="false">IF($A148="","",IF(AND(V$2&gt;=09_ガント元データ!$G147,V$2&lt;=09_ガント元データ!$H147),"■",""))</f>
        <v/>
      </c>
      <c r="W148" s="24" t="str">
        <f aca="false">IF($A148="","",IF(AND(W$2&gt;=09_ガント元データ!$G147,W$2&lt;=09_ガント元データ!$H147),"■",""))</f>
        <v/>
      </c>
      <c r="X148" s="24" t="str">
        <f aca="false">IF($A148="","",IF(AND(X$2&gt;=09_ガント元データ!$G147,X$2&lt;=09_ガント元データ!$H147),"■",""))</f>
        <v/>
      </c>
      <c r="Y148" s="24" t="str">
        <f aca="false">IF($A148="","",IF(AND(Y$2&gt;=09_ガント元データ!$G147,Y$2&lt;=09_ガント元データ!$H147),"■",""))</f>
        <v/>
      </c>
      <c r="Z148" s="24" t="str">
        <f aca="false">IF($A148="","",IF(AND(Z$2&gt;=09_ガント元データ!$G147,Z$2&lt;=09_ガント元データ!$H147),"■",""))</f>
        <v/>
      </c>
      <c r="AA148" s="24" t="str">
        <f aca="false">IF($A148="","",IF(AND(AA$2&gt;=09_ガント元データ!$G147,AA$2&lt;=09_ガント元データ!$H147),"■",""))</f>
        <v/>
      </c>
      <c r="AB148" s="24" t="str">
        <f aca="false">IF($A148="","",IF(AND(AB$2&gt;=09_ガント元データ!$G147,AB$2&lt;=09_ガント元データ!$H147),"■",""))</f>
        <v/>
      </c>
      <c r="AC148" s="24" t="str">
        <f aca="false">IF($A148="","",IF(AND(AC$2&gt;=09_ガント元データ!$G147,AC$2&lt;=09_ガント元データ!$H147),"■",""))</f>
        <v/>
      </c>
      <c r="AD148" s="24" t="str">
        <f aca="false">IF($A148="","",IF(AND(AD$2&gt;=09_ガント元データ!$G147,AD$2&lt;=09_ガント元データ!$H147),"■",""))</f>
        <v/>
      </c>
      <c r="AE148" s="24" t="str">
        <f aca="false">IF($A148="","",IF(AND(AE$2&gt;=09_ガント元データ!$G147,AE$2&lt;=09_ガント元データ!$H147),"■",""))</f>
        <v/>
      </c>
      <c r="AF148" s="24" t="str">
        <f aca="false">IF($A148="","",IF(AND(AF$2&gt;=09_ガント元データ!$G147,AF$2&lt;=09_ガント元データ!$H147),"■",""))</f>
        <v/>
      </c>
      <c r="AG148" s="24" t="str">
        <f aca="false">IF($A148="","",IF(AND(AG$2&gt;=09_ガント元データ!$G147,AG$2&lt;=09_ガント元データ!$H147),"■",""))</f>
        <v/>
      </c>
      <c r="AH148" s="24" t="str">
        <f aca="false">IF($A148="","",IF(AND(AH$2&gt;=09_ガント元データ!$G147,AH$2&lt;=09_ガント元データ!$H147),"■",""))</f>
        <v/>
      </c>
      <c r="AI148" s="24" t="str">
        <f aca="false">IF($A148="","",IF(AND(AI$2&gt;=09_ガント元データ!$G147,AI$2&lt;=09_ガント元データ!$H147),"■",""))</f>
        <v/>
      </c>
      <c r="AJ148" s="24" t="str">
        <f aca="false">IF($A148="","",IF(AND(AJ$2&gt;=09_ガント元データ!$G147,AJ$2&lt;=09_ガント元データ!$H147),"■",""))</f>
        <v/>
      </c>
      <c r="AK148" s="24" t="str">
        <f aca="false">IF($A148="","",IF(AND(AK$2&gt;=09_ガント元データ!$G147,AK$2&lt;=09_ガント元データ!$H147),"■",""))</f>
        <v/>
      </c>
      <c r="AL148" s="24" t="str">
        <f aca="false">IF($A148="","",IF(AND(AL$2&gt;=09_ガント元データ!$G147,AL$2&lt;=09_ガント元データ!$H147),"■",""))</f>
        <v/>
      </c>
      <c r="AM148" s="24" t="str">
        <f aca="false">IF($A148="","",IF(AND(AM$2&gt;=09_ガント元データ!$G147,AM$2&lt;=09_ガント元データ!$H147),"■",""))</f>
        <v/>
      </c>
    </row>
    <row r="149" customFormat="false" ht="15" hidden="false" customHeight="false" outlineLevel="0" collapsed="false">
      <c r="A149" s="22" t="str">
        <f aca="false">09_ガント元データ!A148</f>
        <v/>
      </c>
      <c r="B149" s="22" t="str">
        <f aca="false">09_ガント元データ!B148</f>
        <v/>
      </c>
      <c r="C149" s="23" t="str">
        <f aca="false">09_ガント元データ!C148</f>
        <v/>
      </c>
      <c r="D149" s="24" t="str">
        <f aca="false">IF($A149="","",IF(AND(D$2&gt;=09_ガント元データ!$G148,D$2&lt;=09_ガント元データ!$H148),"■",""))</f>
        <v/>
      </c>
      <c r="E149" s="24" t="str">
        <f aca="false">IF($A149="","",IF(AND(E$2&gt;=09_ガント元データ!$G148,E$2&lt;=09_ガント元データ!$H148),"■",""))</f>
        <v/>
      </c>
      <c r="F149" s="24" t="str">
        <f aca="false">IF($A149="","",IF(AND(F$2&gt;=09_ガント元データ!$G148,F$2&lt;=09_ガント元データ!$H148),"■",""))</f>
        <v/>
      </c>
      <c r="G149" s="24" t="str">
        <f aca="false">IF($A149="","",IF(AND(G$2&gt;=09_ガント元データ!$G148,G$2&lt;=09_ガント元データ!$H148),"■",""))</f>
        <v/>
      </c>
      <c r="H149" s="24" t="str">
        <f aca="false">IF($A149="","",IF(AND(H$2&gt;=09_ガント元データ!$G148,H$2&lt;=09_ガント元データ!$H148),"■",""))</f>
        <v/>
      </c>
      <c r="I149" s="24" t="str">
        <f aca="false">IF($A149="","",IF(AND(I$2&gt;=09_ガント元データ!$G148,I$2&lt;=09_ガント元データ!$H148),"■",""))</f>
        <v/>
      </c>
      <c r="J149" s="24" t="str">
        <f aca="false">IF($A149="","",IF(AND(J$2&gt;=09_ガント元データ!$G148,J$2&lt;=09_ガント元データ!$H148),"■",""))</f>
        <v/>
      </c>
      <c r="K149" s="24" t="str">
        <f aca="false">IF($A149="","",IF(AND(K$2&gt;=09_ガント元データ!$G148,K$2&lt;=09_ガント元データ!$H148),"■",""))</f>
        <v/>
      </c>
      <c r="L149" s="24" t="str">
        <f aca="false">IF($A149="","",IF(AND(L$2&gt;=09_ガント元データ!$G148,L$2&lt;=09_ガント元データ!$H148),"■",""))</f>
        <v/>
      </c>
      <c r="M149" s="24" t="str">
        <f aca="false">IF($A149="","",IF(AND(M$2&gt;=09_ガント元データ!$G148,M$2&lt;=09_ガント元データ!$H148),"■",""))</f>
        <v/>
      </c>
      <c r="N149" s="24" t="str">
        <f aca="false">IF($A149="","",IF(AND(N$2&gt;=09_ガント元データ!$G148,N$2&lt;=09_ガント元データ!$H148),"■",""))</f>
        <v/>
      </c>
      <c r="O149" s="24" t="str">
        <f aca="false">IF($A149="","",IF(AND(O$2&gt;=09_ガント元データ!$G148,O$2&lt;=09_ガント元データ!$H148),"■",""))</f>
        <v/>
      </c>
      <c r="P149" s="24" t="str">
        <f aca="false">IF($A149="","",IF(AND(P$2&gt;=09_ガント元データ!$G148,P$2&lt;=09_ガント元データ!$H148),"■",""))</f>
        <v/>
      </c>
      <c r="Q149" s="24" t="str">
        <f aca="false">IF($A149="","",IF(AND(Q$2&gt;=09_ガント元データ!$G148,Q$2&lt;=09_ガント元データ!$H148),"■",""))</f>
        <v/>
      </c>
      <c r="R149" s="24" t="str">
        <f aca="false">IF($A149="","",IF(AND(R$2&gt;=09_ガント元データ!$G148,R$2&lt;=09_ガント元データ!$H148),"■",""))</f>
        <v/>
      </c>
      <c r="S149" s="24" t="str">
        <f aca="false">IF($A149="","",IF(AND(S$2&gt;=09_ガント元データ!$G148,S$2&lt;=09_ガント元データ!$H148),"■",""))</f>
        <v/>
      </c>
      <c r="T149" s="24" t="str">
        <f aca="false">IF($A149="","",IF(AND(T$2&gt;=09_ガント元データ!$G148,T$2&lt;=09_ガント元データ!$H148),"■",""))</f>
        <v/>
      </c>
      <c r="U149" s="24" t="str">
        <f aca="false">IF($A149="","",IF(AND(U$2&gt;=09_ガント元データ!$G148,U$2&lt;=09_ガント元データ!$H148),"■",""))</f>
        <v/>
      </c>
      <c r="V149" s="24" t="str">
        <f aca="false">IF($A149="","",IF(AND(V$2&gt;=09_ガント元データ!$G148,V$2&lt;=09_ガント元データ!$H148),"■",""))</f>
        <v/>
      </c>
      <c r="W149" s="24" t="str">
        <f aca="false">IF($A149="","",IF(AND(W$2&gt;=09_ガント元データ!$G148,W$2&lt;=09_ガント元データ!$H148),"■",""))</f>
        <v/>
      </c>
      <c r="X149" s="24" t="str">
        <f aca="false">IF($A149="","",IF(AND(X$2&gt;=09_ガント元データ!$G148,X$2&lt;=09_ガント元データ!$H148),"■",""))</f>
        <v/>
      </c>
      <c r="Y149" s="24" t="str">
        <f aca="false">IF($A149="","",IF(AND(Y$2&gt;=09_ガント元データ!$G148,Y$2&lt;=09_ガント元データ!$H148),"■",""))</f>
        <v/>
      </c>
      <c r="Z149" s="24" t="str">
        <f aca="false">IF($A149="","",IF(AND(Z$2&gt;=09_ガント元データ!$G148,Z$2&lt;=09_ガント元データ!$H148),"■",""))</f>
        <v/>
      </c>
      <c r="AA149" s="24" t="str">
        <f aca="false">IF($A149="","",IF(AND(AA$2&gt;=09_ガント元データ!$G148,AA$2&lt;=09_ガント元データ!$H148),"■",""))</f>
        <v/>
      </c>
      <c r="AB149" s="24" t="str">
        <f aca="false">IF($A149="","",IF(AND(AB$2&gt;=09_ガント元データ!$G148,AB$2&lt;=09_ガント元データ!$H148),"■",""))</f>
        <v/>
      </c>
      <c r="AC149" s="24" t="str">
        <f aca="false">IF($A149="","",IF(AND(AC$2&gt;=09_ガント元データ!$G148,AC$2&lt;=09_ガント元データ!$H148),"■",""))</f>
        <v/>
      </c>
      <c r="AD149" s="24" t="str">
        <f aca="false">IF($A149="","",IF(AND(AD$2&gt;=09_ガント元データ!$G148,AD$2&lt;=09_ガント元データ!$H148),"■",""))</f>
        <v/>
      </c>
      <c r="AE149" s="24" t="str">
        <f aca="false">IF($A149="","",IF(AND(AE$2&gt;=09_ガント元データ!$G148,AE$2&lt;=09_ガント元データ!$H148),"■",""))</f>
        <v/>
      </c>
      <c r="AF149" s="24" t="str">
        <f aca="false">IF($A149="","",IF(AND(AF$2&gt;=09_ガント元データ!$G148,AF$2&lt;=09_ガント元データ!$H148),"■",""))</f>
        <v/>
      </c>
      <c r="AG149" s="24" t="str">
        <f aca="false">IF($A149="","",IF(AND(AG$2&gt;=09_ガント元データ!$G148,AG$2&lt;=09_ガント元データ!$H148),"■",""))</f>
        <v/>
      </c>
      <c r="AH149" s="24" t="str">
        <f aca="false">IF($A149="","",IF(AND(AH$2&gt;=09_ガント元データ!$G148,AH$2&lt;=09_ガント元データ!$H148),"■",""))</f>
        <v/>
      </c>
      <c r="AI149" s="24" t="str">
        <f aca="false">IF($A149="","",IF(AND(AI$2&gt;=09_ガント元データ!$G148,AI$2&lt;=09_ガント元データ!$H148),"■",""))</f>
        <v/>
      </c>
      <c r="AJ149" s="24" t="str">
        <f aca="false">IF($A149="","",IF(AND(AJ$2&gt;=09_ガント元データ!$G148,AJ$2&lt;=09_ガント元データ!$H148),"■",""))</f>
        <v/>
      </c>
      <c r="AK149" s="24" t="str">
        <f aca="false">IF($A149="","",IF(AND(AK$2&gt;=09_ガント元データ!$G148,AK$2&lt;=09_ガント元データ!$H148),"■",""))</f>
        <v/>
      </c>
      <c r="AL149" s="24" t="str">
        <f aca="false">IF($A149="","",IF(AND(AL$2&gt;=09_ガント元データ!$G148,AL$2&lt;=09_ガント元データ!$H148),"■",""))</f>
        <v/>
      </c>
      <c r="AM149" s="24" t="str">
        <f aca="false">IF($A149="","",IF(AND(AM$2&gt;=09_ガント元データ!$G148,AM$2&lt;=09_ガント元データ!$H148),"■",""))</f>
        <v/>
      </c>
    </row>
    <row r="150" customFormat="false" ht="15" hidden="false" customHeight="false" outlineLevel="0" collapsed="false">
      <c r="A150" s="22" t="str">
        <f aca="false">09_ガント元データ!A149</f>
        <v/>
      </c>
      <c r="B150" s="22" t="str">
        <f aca="false">09_ガント元データ!B149</f>
        <v/>
      </c>
      <c r="C150" s="23" t="str">
        <f aca="false">09_ガント元データ!C149</f>
        <v/>
      </c>
      <c r="D150" s="24" t="str">
        <f aca="false">IF($A150="","",IF(AND(D$2&gt;=09_ガント元データ!$G149,D$2&lt;=09_ガント元データ!$H149),"■",""))</f>
        <v/>
      </c>
      <c r="E150" s="24" t="str">
        <f aca="false">IF($A150="","",IF(AND(E$2&gt;=09_ガント元データ!$G149,E$2&lt;=09_ガント元データ!$H149),"■",""))</f>
        <v/>
      </c>
      <c r="F150" s="24" t="str">
        <f aca="false">IF($A150="","",IF(AND(F$2&gt;=09_ガント元データ!$G149,F$2&lt;=09_ガント元データ!$H149),"■",""))</f>
        <v/>
      </c>
      <c r="G150" s="24" t="str">
        <f aca="false">IF($A150="","",IF(AND(G$2&gt;=09_ガント元データ!$G149,G$2&lt;=09_ガント元データ!$H149),"■",""))</f>
        <v/>
      </c>
      <c r="H150" s="24" t="str">
        <f aca="false">IF($A150="","",IF(AND(H$2&gt;=09_ガント元データ!$G149,H$2&lt;=09_ガント元データ!$H149),"■",""))</f>
        <v/>
      </c>
      <c r="I150" s="24" t="str">
        <f aca="false">IF($A150="","",IF(AND(I$2&gt;=09_ガント元データ!$G149,I$2&lt;=09_ガント元データ!$H149),"■",""))</f>
        <v/>
      </c>
      <c r="J150" s="24" t="str">
        <f aca="false">IF($A150="","",IF(AND(J$2&gt;=09_ガント元データ!$G149,J$2&lt;=09_ガント元データ!$H149),"■",""))</f>
        <v/>
      </c>
      <c r="K150" s="24" t="str">
        <f aca="false">IF($A150="","",IF(AND(K$2&gt;=09_ガント元データ!$G149,K$2&lt;=09_ガント元データ!$H149),"■",""))</f>
        <v/>
      </c>
      <c r="L150" s="24" t="str">
        <f aca="false">IF($A150="","",IF(AND(L$2&gt;=09_ガント元データ!$G149,L$2&lt;=09_ガント元データ!$H149),"■",""))</f>
        <v/>
      </c>
      <c r="M150" s="24" t="str">
        <f aca="false">IF($A150="","",IF(AND(M$2&gt;=09_ガント元データ!$G149,M$2&lt;=09_ガント元データ!$H149),"■",""))</f>
        <v/>
      </c>
      <c r="N150" s="24" t="str">
        <f aca="false">IF($A150="","",IF(AND(N$2&gt;=09_ガント元データ!$G149,N$2&lt;=09_ガント元データ!$H149),"■",""))</f>
        <v/>
      </c>
      <c r="O150" s="24" t="str">
        <f aca="false">IF($A150="","",IF(AND(O$2&gt;=09_ガント元データ!$G149,O$2&lt;=09_ガント元データ!$H149),"■",""))</f>
        <v/>
      </c>
      <c r="P150" s="24" t="str">
        <f aca="false">IF($A150="","",IF(AND(P$2&gt;=09_ガント元データ!$G149,P$2&lt;=09_ガント元データ!$H149),"■",""))</f>
        <v/>
      </c>
      <c r="Q150" s="24" t="str">
        <f aca="false">IF($A150="","",IF(AND(Q$2&gt;=09_ガント元データ!$G149,Q$2&lt;=09_ガント元データ!$H149),"■",""))</f>
        <v/>
      </c>
      <c r="R150" s="24" t="str">
        <f aca="false">IF($A150="","",IF(AND(R$2&gt;=09_ガント元データ!$G149,R$2&lt;=09_ガント元データ!$H149),"■",""))</f>
        <v/>
      </c>
      <c r="S150" s="24" t="str">
        <f aca="false">IF($A150="","",IF(AND(S$2&gt;=09_ガント元データ!$G149,S$2&lt;=09_ガント元データ!$H149),"■",""))</f>
        <v/>
      </c>
      <c r="T150" s="24" t="str">
        <f aca="false">IF($A150="","",IF(AND(T$2&gt;=09_ガント元データ!$G149,T$2&lt;=09_ガント元データ!$H149),"■",""))</f>
        <v/>
      </c>
      <c r="U150" s="24" t="str">
        <f aca="false">IF($A150="","",IF(AND(U$2&gt;=09_ガント元データ!$G149,U$2&lt;=09_ガント元データ!$H149),"■",""))</f>
        <v/>
      </c>
      <c r="V150" s="24" t="str">
        <f aca="false">IF($A150="","",IF(AND(V$2&gt;=09_ガント元データ!$G149,V$2&lt;=09_ガント元データ!$H149),"■",""))</f>
        <v/>
      </c>
      <c r="W150" s="24" t="str">
        <f aca="false">IF($A150="","",IF(AND(W$2&gt;=09_ガント元データ!$G149,W$2&lt;=09_ガント元データ!$H149),"■",""))</f>
        <v/>
      </c>
      <c r="X150" s="24" t="str">
        <f aca="false">IF($A150="","",IF(AND(X$2&gt;=09_ガント元データ!$G149,X$2&lt;=09_ガント元データ!$H149),"■",""))</f>
        <v/>
      </c>
      <c r="Y150" s="24" t="str">
        <f aca="false">IF($A150="","",IF(AND(Y$2&gt;=09_ガント元データ!$G149,Y$2&lt;=09_ガント元データ!$H149),"■",""))</f>
        <v/>
      </c>
      <c r="Z150" s="24" t="str">
        <f aca="false">IF($A150="","",IF(AND(Z$2&gt;=09_ガント元データ!$G149,Z$2&lt;=09_ガント元データ!$H149),"■",""))</f>
        <v/>
      </c>
      <c r="AA150" s="24" t="str">
        <f aca="false">IF($A150="","",IF(AND(AA$2&gt;=09_ガント元データ!$G149,AA$2&lt;=09_ガント元データ!$H149),"■",""))</f>
        <v/>
      </c>
      <c r="AB150" s="24" t="str">
        <f aca="false">IF($A150="","",IF(AND(AB$2&gt;=09_ガント元データ!$G149,AB$2&lt;=09_ガント元データ!$H149),"■",""))</f>
        <v/>
      </c>
      <c r="AC150" s="24" t="str">
        <f aca="false">IF($A150="","",IF(AND(AC$2&gt;=09_ガント元データ!$G149,AC$2&lt;=09_ガント元データ!$H149),"■",""))</f>
        <v/>
      </c>
      <c r="AD150" s="24" t="str">
        <f aca="false">IF($A150="","",IF(AND(AD$2&gt;=09_ガント元データ!$G149,AD$2&lt;=09_ガント元データ!$H149),"■",""))</f>
        <v/>
      </c>
      <c r="AE150" s="24" t="str">
        <f aca="false">IF($A150="","",IF(AND(AE$2&gt;=09_ガント元データ!$G149,AE$2&lt;=09_ガント元データ!$H149),"■",""))</f>
        <v/>
      </c>
      <c r="AF150" s="24" t="str">
        <f aca="false">IF($A150="","",IF(AND(AF$2&gt;=09_ガント元データ!$G149,AF$2&lt;=09_ガント元データ!$H149),"■",""))</f>
        <v/>
      </c>
      <c r="AG150" s="24" t="str">
        <f aca="false">IF($A150="","",IF(AND(AG$2&gt;=09_ガント元データ!$G149,AG$2&lt;=09_ガント元データ!$H149),"■",""))</f>
        <v/>
      </c>
      <c r="AH150" s="24" t="str">
        <f aca="false">IF($A150="","",IF(AND(AH$2&gt;=09_ガント元データ!$G149,AH$2&lt;=09_ガント元データ!$H149),"■",""))</f>
        <v/>
      </c>
      <c r="AI150" s="24" t="str">
        <f aca="false">IF($A150="","",IF(AND(AI$2&gt;=09_ガント元データ!$G149,AI$2&lt;=09_ガント元データ!$H149),"■",""))</f>
        <v/>
      </c>
      <c r="AJ150" s="24" t="str">
        <f aca="false">IF($A150="","",IF(AND(AJ$2&gt;=09_ガント元データ!$G149,AJ$2&lt;=09_ガント元データ!$H149),"■",""))</f>
        <v/>
      </c>
      <c r="AK150" s="24" t="str">
        <f aca="false">IF($A150="","",IF(AND(AK$2&gt;=09_ガント元データ!$G149,AK$2&lt;=09_ガント元データ!$H149),"■",""))</f>
        <v/>
      </c>
      <c r="AL150" s="24" t="str">
        <f aca="false">IF($A150="","",IF(AND(AL$2&gt;=09_ガント元データ!$G149,AL$2&lt;=09_ガント元データ!$H149),"■",""))</f>
        <v/>
      </c>
      <c r="AM150" s="24" t="str">
        <f aca="false">IF($A150="","",IF(AND(AM$2&gt;=09_ガント元データ!$G149,AM$2&lt;=09_ガント元データ!$H149),"■",""))</f>
        <v/>
      </c>
    </row>
    <row r="151" customFormat="false" ht="15" hidden="false" customHeight="false" outlineLevel="0" collapsed="false">
      <c r="A151" s="22" t="str">
        <f aca="false">09_ガント元データ!A150</f>
        <v/>
      </c>
      <c r="B151" s="22" t="str">
        <f aca="false">09_ガント元データ!B150</f>
        <v/>
      </c>
      <c r="C151" s="23" t="str">
        <f aca="false">09_ガント元データ!C150</f>
        <v/>
      </c>
      <c r="D151" s="24" t="str">
        <f aca="false">IF($A151="","",IF(AND(D$2&gt;=09_ガント元データ!$G150,D$2&lt;=09_ガント元データ!$H150),"■",""))</f>
        <v/>
      </c>
      <c r="E151" s="24" t="str">
        <f aca="false">IF($A151="","",IF(AND(E$2&gt;=09_ガント元データ!$G150,E$2&lt;=09_ガント元データ!$H150),"■",""))</f>
        <v/>
      </c>
      <c r="F151" s="24" t="str">
        <f aca="false">IF($A151="","",IF(AND(F$2&gt;=09_ガント元データ!$G150,F$2&lt;=09_ガント元データ!$H150),"■",""))</f>
        <v/>
      </c>
      <c r="G151" s="24" t="str">
        <f aca="false">IF($A151="","",IF(AND(G$2&gt;=09_ガント元データ!$G150,G$2&lt;=09_ガント元データ!$H150),"■",""))</f>
        <v/>
      </c>
      <c r="H151" s="24" t="str">
        <f aca="false">IF($A151="","",IF(AND(H$2&gt;=09_ガント元データ!$G150,H$2&lt;=09_ガント元データ!$H150),"■",""))</f>
        <v/>
      </c>
      <c r="I151" s="24" t="str">
        <f aca="false">IF($A151="","",IF(AND(I$2&gt;=09_ガント元データ!$G150,I$2&lt;=09_ガント元データ!$H150),"■",""))</f>
        <v/>
      </c>
      <c r="J151" s="24" t="str">
        <f aca="false">IF($A151="","",IF(AND(J$2&gt;=09_ガント元データ!$G150,J$2&lt;=09_ガント元データ!$H150),"■",""))</f>
        <v/>
      </c>
      <c r="K151" s="24" t="str">
        <f aca="false">IF($A151="","",IF(AND(K$2&gt;=09_ガント元データ!$G150,K$2&lt;=09_ガント元データ!$H150),"■",""))</f>
        <v/>
      </c>
      <c r="L151" s="24" t="str">
        <f aca="false">IF($A151="","",IF(AND(L$2&gt;=09_ガント元データ!$G150,L$2&lt;=09_ガント元データ!$H150),"■",""))</f>
        <v/>
      </c>
      <c r="M151" s="24" t="str">
        <f aca="false">IF($A151="","",IF(AND(M$2&gt;=09_ガント元データ!$G150,M$2&lt;=09_ガント元データ!$H150),"■",""))</f>
        <v/>
      </c>
      <c r="N151" s="24" t="str">
        <f aca="false">IF($A151="","",IF(AND(N$2&gt;=09_ガント元データ!$G150,N$2&lt;=09_ガント元データ!$H150),"■",""))</f>
        <v/>
      </c>
      <c r="O151" s="24" t="str">
        <f aca="false">IF($A151="","",IF(AND(O$2&gt;=09_ガント元データ!$G150,O$2&lt;=09_ガント元データ!$H150),"■",""))</f>
        <v/>
      </c>
      <c r="P151" s="24" t="str">
        <f aca="false">IF($A151="","",IF(AND(P$2&gt;=09_ガント元データ!$G150,P$2&lt;=09_ガント元データ!$H150),"■",""))</f>
        <v/>
      </c>
      <c r="Q151" s="24" t="str">
        <f aca="false">IF($A151="","",IF(AND(Q$2&gt;=09_ガント元データ!$G150,Q$2&lt;=09_ガント元データ!$H150),"■",""))</f>
        <v/>
      </c>
      <c r="R151" s="24" t="str">
        <f aca="false">IF($A151="","",IF(AND(R$2&gt;=09_ガント元データ!$G150,R$2&lt;=09_ガント元データ!$H150),"■",""))</f>
        <v/>
      </c>
      <c r="S151" s="24" t="str">
        <f aca="false">IF($A151="","",IF(AND(S$2&gt;=09_ガント元データ!$G150,S$2&lt;=09_ガント元データ!$H150),"■",""))</f>
        <v/>
      </c>
      <c r="T151" s="24" t="str">
        <f aca="false">IF($A151="","",IF(AND(T$2&gt;=09_ガント元データ!$G150,T$2&lt;=09_ガント元データ!$H150),"■",""))</f>
        <v/>
      </c>
      <c r="U151" s="24" t="str">
        <f aca="false">IF($A151="","",IF(AND(U$2&gt;=09_ガント元データ!$G150,U$2&lt;=09_ガント元データ!$H150),"■",""))</f>
        <v/>
      </c>
      <c r="V151" s="24" t="str">
        <f aca="false">IF($A151="","",IF(AND(V$2&gt;=09_ガント元データ!$G150,V$2&lt;=09_ガント元データ!$H150),"■",""))</f>
        <v/>
      </c>
      <c r="W151" s="24" t="str">
        <f aca="false">IF($A151="","",IF(AND(W$2&gt;=09_ガント元データ!$G150,W$2&lt;=09_ガント元データ!$H150),"■",""))</f>
        <v/>
      </c>
      <c r="X151" s="24" t="str">
        <f aca="false">IF($A151="","",IF(AND(X$2&gt;=09_ガント元データ!$G150,X$2&lt;=09_ガント元データ!$H150),"■",""))</f>
        <v/>
      </c>
      <c r="Y151" s="24" t="str">
        <f aca="false">IF($A151="","",IF(AND(Y$2&gt;=09_ガント元データ!$G150,Y$2&lt;=09_ガント元データ!$H150),"■",""))</f>
        <v/>
      </c>
      <c r="Z151" s="24" t="str">
        <f aca="false">IF($A151="","",IF(AND(Z$2&gt;=09_ガント元データ!$G150,Z$2&lt;=09_ガント元データ!$H150),"■",""))</f>
        <v/>
      </c>
      <c r="AA151" s="24" t="str">
        <f aca="false">IF($A151="","",IF(AND(AA$2&gt;=09_ガント元データ!$G150,AA$2&lt;=09_ガント元データ!$H150),"■",""))</f>
        <v/>
      </c>
      <c r="AB151" s="24" t="str">
        <f aca="false">IF($A151="","",IF(AND(AB$2&gt;=09_ガント元データ!$G150,AB$2&lt;=09_ガント元データ!$H150),"■",""))</f>
        <v/>
      </c>
      <c r="AC151" s="24" t="str">
        <f aca="false">IF($A151="","",IF(AND(AC$2&gt;=09_ガント元データ!$G150,AC$2&lt;=09_ガント元データ!$H150),"■",""))</f>
        <v/>
      </c>
      <c r="AD151" s="24" t="str">
        <f aca="false">IF($A151="","",IF(AND(AD$2&gt;=09_ガント元データ!$G150,AD$2&lt;=09_ガント元データ!$H150),"■",""))</f>
        <v/>
      </c>
      <c r="AE151" s="24" t="str">
        <f aca="false">IF($A151="","",IF(AND(AE$2&gt;=09_ガント元データ!$G150,AE$2&lt;=09_ガント元データ!$H150),"■",""))</f>
        <v/>
      </c>
      <c r="AF151" s="24" t="str">
        <f aca="false">IF($A151="","",IF(AND(AF$2&gt;=09_ガント元データ!$G150,AF$2&lt;=09_ガント元データ!$H150),"■",""))</f>
        <v/>
      </c>
      <c r="AG151" s="24" t="str">
        <f aca="false">IF($A151="","",IF(AND(AG$2&gt;=09_ガント元データ!$G150,AG$2&lt;=09_ガント元データ!$H150),"■",""))</f>
        <v/>
      </c>
      <c r="AH151" s="24" t="str">
        <f aca="false">IF($A151="","",IF(AND(AH$2&gt;=09_ガント元データ!$G150,AH$2&lt;=09_ガント元データ!$H150),"■",""))</f>
        <v/>
      </c>
      <c r="AI151" s="24" t="str">
        <f aca="false">IF($A151="","",IF(AND(AI$2&gt;=09_ガント元データ!$G150,AI$2&lt;=09_ガント元データ!$H150),"■",""))</f>
        <v/>
      </c>
      <c r="AJ151" s="24" t="str">
        <f aca="false">IF($A151="","",IF(AND(AJ$2&gt;=09_ガント元データ!$G150,AJ$2&lt;=09_ガント元データ!$H150),"■",""))</f>
        <v/>
      </c>
      <c r="AK151" s="24" t="str">
        <f aca="false">IF($A151="","",IF(AND(AK$2&gt;=09_ガント元データ!$G150,AK$2&lt;=09_ガント元データ!$H150),"■",""))</f>
        <v/>
      </c>
      <c r="AL151" s="24" t="str">
        <f aca="false">IF($A151="","",IF(AND(AL$2&gt;=09_ガント元データ!$G150,AL$2&lt;=09_ガント元データ!$H150),"■",""))</f>
        <v/>
      </c>
      <c r="AM151" s="24" t="str">
        <f aca="false">IF($A151="","",IF(AND(AM$2&gt;=09_ガント元データ!$G150,AM$2&lt;=09_ガント元データ!$H150),"■",""))</f>
        <v/>
      </c>
    </row>
    <row r="152" customFormat="false" ht="15" hidden="false" customHeight="false" outlineLevel="0" collapsed="false">
      <c r="A152" s="22" t="str">
        <f aca="false">09_ガント元データ!A151</f>
        <v/>
      </c>
      <c r="B152" s="22" t="str">
        <f aca="false">09_ガント元データ!B151</f>
        <v/>
      </c>
      <c r="C152" s="23" t="str">
        <f aca="false">09_ガント元データ!C151</f>
        <v/>
      </c>
      <c r="D152" s="24" t="str">
        <f aca="false">IF($A152="","",IF(AND(D$2&gt;=09_ガント元データ!$G151,D$2&lt;=09_ガント元データ!$H151),"■",""))</f>
        <v/>
      </c>
      <c r="E152" s="24" t="str">
        <f aca="false">IF($A152="","",IF(AND(E$2&gt;=09_ガント元データ!$G151,E$2&lt;=09_ガント元データ!$H151),"■",""))</f>
        <v/>
      </c>
      <c r="F152" s="24" t="str">
        <f aca="false">IF($A152="","",IF(AND(F$2&gt;=09_ガント元データ!$G151,F$2&lt;=09_ガント元データ!$H151),"■",""))</f>
        <v/>
      </c>
      <c r="G152" s="24" t="str">
        <f aca="false">IF($A152="","",IF(AND(G$2&gt;=09_ガント元データ!$G151,G$2&lt;=09_ガント元データ!$H151),"■",""))</f>
        <v/>
      </c>
      <c r="H152" s="24" t="str">
        <f aca="false">IF($A152="","",IF(AND(H$2&gt;=09_ガント元データ!$G151,H$2&lt;=09_ガント元データ!$H151),"■",""))</f>
        <v/>
      </c>
      <c r="I152" s="24" t="str">
        <f aca="false">IF($A152="","",IF(AND(I$2&gt;=09_ガント元データ!$G151,I$2&lt;=09_ガント元データ!$H151),"■",""))</f>
        <v/>
      </c>
      <c r="J152" s="24" t="str">
        <f aca="false">IF($A152="","",IF(AND(J$2&gt;=09_ガント元データ!$G151,J$2&lt;=09_ガント元データ!$H151),"■",""))</f>
        <v/>
      </c>
      <c r="K152" s="24" t="str">
        <f aca="false">IF($A152="","",IF(AND(K$2&gt;=09_ガント元データ!$G151,K$2&lt;=09_ガント元データ!$H151),"■",""))</f>
        <v/>
      </c>
      <c r="L152" s="24" t="str">
        <f aca="false">IF($A152="","",IF(AND(L$2&gt;=09_ガント元データ!$G151,L$2&lt;=09_ガント元データ!$H151),"■",""))</f>
        <v/>
      </c>
      <c r="M152" s="24" t="str">
        <f aca="false">IF($A152="","",IF(AND(M$2&gt;=09_ガント元データ!$G151,M$2&lt;=09_ガント元データ!$H151),"■",""))</f>
        <v/>
      </c>
      <c r="N152" s="24" t="str">
        <f aca="false">IF($A152="","",IF(AND(N$2&gt;=09_ガント元データ!$G151,N$2&lt;=09_ガント元データ!$H151),"■",""))</f>
        <v/>
      </c>
      <c r="O152" s="24" t="str">
        <f aca="false">IF($A152="","",IF(AND(O$2&gt;=09_ガント元データ!$G151,O$2&lt;=09_ガント元データ!$H151),"■",""))</f>
        <v/>
      </c>
      <c r="P152" s="24" t="str">
        <f aca="false">IF($A152="","",IF(AND(P$2&gt;=09_ガント元データ!$G151,P$2&lt;=09_ガント元データ!$H151),"■",""))</f>
        <v/>
      </c>
      <c r="Q152" s="24" t="str">
        <f aca="false">IF($A152="","",IF(AND(Q$2&gt;=09_ガント元データ!$G151,Q$2&lt;=09_ガント元データ!$H151),"■",""))</f>
        <v/>
      </c>
      <c r="R152" s="24" t="str">
        <f aca="false">IF($A152="","",IF(AND(R$2&gt;=09_ガント元データ!$G151,R$2&lt;=09_ガント元データ!$H151),"■",""))</f>
        <v/>
      </c>
      <c r="S152" s="24" t="str">
        <f aca="false">IF($A152="","",IF(AND(S$2&gt;=09_ガント元データ!$G151,S$2&lt;=09_ガント元データ!$H151),"■",""))</f>
        <v/>
      </c>
      <c r="T152" s="24" t="str">
        <f aca="false">IF($A152="","",IF(AND(T$2&gt;=09_ガント元データ!$G151,T$2&lt;=09_ガント元データ!$H151),"■",""))</f>
        <v/>
      </c>
      <c r="U152" s="24" t="str">
        <f aca="false">IF($A152="","",IF(AND(U$2&gt;=09_ガント元データ!$G151,U$2&lt;=09_ガント元データ!$H151),"■",""))</f>
        <v/>
      </c>
      <c r="V152" s="24" t="str">
        <f aca="false">IF($A152="","",IF(AND(V$2&gt;=09_ガント元データ!$G151,V$2&lt;=09_ガント元データ!$H151),"■",""))</f>
        <v/>
      </c>
      <c r="W152" s="24" t="str">
        <f aca="false">IF($A152="","",IF(AND(W$2&gt;=09_ガント元データ!$G151,W$2&lt;=09_ガント元データ!$H151),"■",""))</f>
        <v/>
      </c>
      <c r="X152" s="24" t="str">
        <f aca="false">IF($A152="","",IF(AND(X$2&gt;=09_ガント元データ!$G151,X$2&lt;=09_ガント元データ!$H151),"■",""))</f>
        <v/>
      </c>
      <c r="Y152" s="24" t="str">
        <f aca="false">IF($A152="","",IF(AND(Y$2&gt;=09_ガント元データ!$G151,Y$2&lt;=09_ガント元データ!$H151),"■",""))</f>
        <v/>
      </c>
      <c r="Z152" s="24" t="str">
        <f aca="false">IF($A152="","",IF(AND(Z$2&gt;=09_ガント元データ!$G151,Z$2&lt;=09_ガント元データ!$H151),"■",""))</f>
        <v/>
      </c>
      <c r="AA152" s="24" t="str">
        <f aca="false">IF($A152="","",IF(AND(AA$2&gt;=09_ガント元データ!$G151,AA$2&lt;=09_ガント元データ!$H151),"■",""))</f>
        <v/>
      </c>
      <c r="AB152" s="24" t="str">
        <f aca="false">IF($A152="","",IF(AND(AB$2&gt;=09_ガント元データ!$G151,AB$2&lt;=09_ガント元データ!$H151),"■",""))</f>
        <v/>
      </c>
      <c r="AC152" s="24" t="str">
        <f aca="false">IF($A152="","",IF(AND(AC$2&gt;=09_ガント元データ!$G151,AC$2&lt;=09_ガント元データ!$H151),"■",""))</f>
        <v/>
      </c>
      <c r="AD152" s="24" t="str">
        <f aca="false">IF($A152="","",IF(AND(AD$2&gt;=09_ガント元データ!$G151,AD$2&lt;=09_ガント元データ!$H151),"■",""))</f>
        <v/>
      </c>
      <c r="AE152" s="24" t="str">
        <f aca="false">IF($A152="","",IF(AND(AE$2&gt;=09_ガント元データ!$G151,AE$2&lt;=09_ガント元データ!$H151),"■",""))</f>
        <v/>
      </c>
      <c r="AF152" s="24" t="str">
        <f aca="false">IF($A152="","",IF(AND(AF$2&gt;=09_ガント元データ!$G151,AF$2&lt;=09_ガント元データ!$H151),"■",""))</f>
        <v/>
      </c>
      <c r="AG152" s="24" t="str">
        <f aca="false">IF($A152="","",IF(AND(AG$2&gt;=09_ガント元データ!$G151,AG$2&lt;=09_ガント元データ!$H151),"■",""))</f>
        <v/>
      </c>
      <c r="AH152" s="24" t="str">
        <f aca="false">IF($A152="","",IF(AND(AH$2&gt;=09_ガント元データ!$G151,AH$2&lt;=09_ガント元データ!$H151),"■",""))</f>
        <v/>
      </c>
      <c r="AI152" s="24" t="str">
        <f aca="false">IF($A152="","",IF(AND(AI$2&gt;=09_ガント元データ!$G151,AI$2&lt;=09_ガント元データ!$H151),"■",""))</f>
        <v/>
      </c>
      <c r="AJ152" s="24" t="str">
        <f aca="false">IF($A152="","",IF(AND(AJ$2&gt;=09_ガント元データ!$G151,AJ$2&lt;=09_ガント元データ!$H151),"■",""))</f>
        <v/>
      </c>
      <c r="AK152" s="24" t="str">
        <f aca="false">IF($A152="","",IF(AND(AK$2&gt;=09_ガント元データ!$G151,AK$2&lt;=09_ガント元データ!$H151),"■",""))</f>
        <v/>
      </c>
      <c r="AL152" s="24" t="str">
        <f aca="false">IF($A152="","",IF(AND(AL$2&gt;=09_ガント元データ!$G151,AL$2&lt;=09_ガント元データ!$H151),"■",""))</f>
        <v/>
      </c>
      <c r="AM152" s="24" t="str">
        <f aca="false">IF($A152="","",IF(AND(AM$2&gt;=09_ガント元データ!$G151,AM$2&lt;=09_ガント元データ!$H151),"■",""))</f>
        <v/>
      </c>
    </row>
    <row r="153" customFormat="false" ht="15" hidden="false" customHeight="false" outlineLevel="0" collapsed="false">
      <c r="A153" s="22" t="str">
        <f aca="false">09_ガント元データ!A152</f>
        <v/>
      </c>
      <c r="B153" s="22" t="str">
        <f aca="false">09_ガント元データ!B152</f>
        <v/>
      </c>
      <c r="C153" s="23" t="str">
        <f aca="false">09_ガント元データ!C152</f>
        <v/>
      </c>
      <c r="D153" s="24" t="str">
        <f aca="false">IF($A153="","",IF(AND(D$2&gt;=09_ガント元データ!$G152,D$2&lt;=09_ガント元データ!$H152),"■",""))</f>
        <v/>
      </c>
      <c r="E153" s="24" t="str">
        <f aca="false">IF($A153="","",IF(AND(E$2&gt;=09_ガント元データ!$G152,E$2&lt;=09_ガント元データ!$H152),"■",""))</f>
        <v/>
      </c>
      <c r="F153" s="24" t="str">
        <f aca="false">IF($A153="","",IF(AND(F$2&gt;=09_ガント元データ!$G152,F$2&lt;=09_ガント元データ!$H152),"■",""))</f>
        <v/>
      </c>
      <c r="G153" s="24" t="str">
        <f aca="false">IF($A153="","",IF(AND(G$2&gt;=09_ガント元データ!$G152,G$2&lt;=09_ガント元データ!$H152),"■",""))</f>
        <v/>
      </c>
      <c r="H153" s="24" t="str">
        <f aca="false">IF($A153="","",IF(AND(H$2&gt;=09_ガント元データ!$G152,H$2&lt;=09_ガント元データ!$H152),"■",""))</f>
        <v/>
      </c>
      <c r="I153" s="24" t="str">
        <f aca="false">IF($A153="","",IF(AND(I$2&gt;=09_ガント元データ!$G152,I$2&lt;=09_ガント元データ!$H152),"■",""))</f>
        <v/>
      </c>
      <c r="J153" s="24" t="str">
        <f aca="false">IF($A153="","",IF(AND(J$2&gt;=09_ガント元データ!$G152,J$2&lt;=09_ガント元データ!$H152),"■",""))</f>
        <v/>
      </c>
      <c r="K153" s="24" t="str">
        <f aca="false">IF($A153="","",IF(AND(K$2&gt;=09_ガント元データ!$G152,K$2&lt;=09_ガント元データ!$H152),"■",""))</f>
        <v/>
      </c>
      <c r="L153" s="24" t="str">
        <f aca="false">IF($A153="","",IF(AND(L$2&gt;=09_ガント元データ!$G152,L$2&lt;=09_ガント元データ!$H152),"■",""))</f>
        <v/>
      </c>
      <c r="M153" s="24" t="str">
        <f aca="false">IF($A153="","",IF(AND(M$2&gt;=09_ガント元データ!$G152,M$2&lt;=09_ガント元データ!$H152),"■",""))</f>
        <v/>
      </c>
      <c r="N153" s="24" t="str">
        <f aca="false">IF($A153="","",IF(AND(N$2&gt;=09_ガント元データ!$G152,N$2&lt;=09_ガント元データ!$H152),"■",""))</f>
        <v/>
      </c>
      <c r="O153" s="24" t="str">
        <f aca="false">IF($A153="","",IF(AND(O$2&gt;=09_ガント元データ!$G152,O$2&lt;=09_ガント元データ!$H152),"■",""))</f>
        <v/>
      </c>
      <c r="P153" s="24" t="str">
        <f aca="false">IF($A153="","",IF(AND(P$2&gt;=09_ガント元データ!$G152,P$2&lt;=09_ガント元データ!$H152),"■",""))</f>
        <v/>
      </c>
      <c r="Q153" s="24" t="str">
        <f aca="false">IF($A153="","",IF(AND(Q$2&gt;=09_ガント元データ!$G152,Q$2&lt;=09_ガント元データ!$H152),"■",""))</f>
        <v/>
      </c>
      <c r="R153" s="24" t="str">
        <f aca="false">IF($A153="","",IF(AND(R$2&gt;=09_ガント元データ!$G152,R$2&lt;=09_ガント元データ!$H152),"■",""))</f>
        <v/>
      </c>
      <c r="S153" s="24" t="str">
        <f aca="false">IF($A153="","",IF(AND(S$2&gt;=09_ガント元データ!$G152,S$2&lt;=09_ガント元データ!$H152),"■",""))</f>
        <v/>
      </c>
      <c r="T153" s="24" t="str">
        <f aca="false">IF($A153="","",IF(AND(T$2&gt;=09_ガント元データ!$G152,T$2&lt;=09_ガント元データ!$H152),"■",""))</f>
        <v/>
      </c>
      <c r="U153" s="24" t="str">
        <f aca="false">IF($A153="","",IF(AND(U$2&gt;=09_ガント元データ!$G152,U$2&lt;=09_ガント元データ!$H152),"■",""))</f>
        <v/>
      </c>
      <c r="V153" s="24" t="str">
        <f aca="false">IF($A153="","",IF(AND(V$2&gt;=09_ガント元データ!$G152,V$2&lt;=09_ガント元データ!$H152),"■",""))</f>
        <v/>
      </c>
      <c r="W153" s="24" t="str">
        <f aca="false">IF($A153="","",IF(AND(W$2&gt;=09_ガント元データ!$G152,W$2&lt;=09_ガント元データ!$H152),"■",""))</f>
        <v/>
      </c>
      <c r="X153" s="24" t="str">
        <f aca="false">IF($A153="","",IF(AND(X$2&gt;=09_ガント元データ!$G152,X$2&lt;=09_ガント元データ!$H152),"■",""))</f>
        <v/>
      </c>
      <c r="Y153" s="24" t="str">
        <f aca="false">IF($A153="","",IF(AND(Y$2&gt;=09_ガント元データ!$G152,Y$2&lt;=09_ガント元データ!$H152),"■",""))</f>
        <v/>
      </c>
      <c r="Z153" s="24" t="str">
        <f aca="false">IF($A153="","",IF(AND(Z$2&gt;=09_ガント元データ!$G152,Z$2&lt;=09_ガント元データ!$H152),"■",""))</f>
        <v/>
      </c>
      <c r="AA153" s="24" t="str">
        <f aca="false">IF($A153="","",IF(AND(AA$2&gt;=09_ガント元データ!$G152,AA$2&lt;=09_ガント元データ!$H152),"■",""))</f>
        <v/>
      </c>
      <c r="AB153" s="24" t="str">
        <f aca="false">IF($A153="","",IF(AND(AB$2&gt;=09_ガント元データ!$G152,AB$2&lt;=09_ガント元データ!$H152),"■",""))</f>
        <v/>
      </c>
      <c r="AC153" s="24" t="str">
        <f aca="false">IF($A153="","",IF(AND(AC$2&gt;=09_ガント元データ!$G152,AC$2&lt;=09_ガント元データ!$H152),"■",""))</f>
        <v/>
      </c>
      <c r="AD153" s="24" t="str">
        <f aca="false">IF($A153="","",IF(AND(AD$2&gt;=09_ガント元データ!$G152,AD$2&lt;=09_ガント元データ!$H152),"■",""))</f>
        <v/>
      </c>
      <c r="AE153" s="24" t="str">
        <f aca="false">IF($A153="","",IF(AND(AE$2&gt;=09_ガント元データ!$G152,AE$2&lt;=09_ガント元データ!$H152),"■",""))</f>
        <v/>
      </c>
      <c r="AF153" s="24" t="str">
        <f aca="false">IF($A153="","",IF(AND(AF$2&gt;=09_ガント元データ!$G152,AF$2&lt;=09_ガント元データ!$H152),"■",""))</f>
        <v/>
      </c>
      <c r="AG153" s="24" t="str">
        <f aca="false">IF($A153="","",IF(AND(AG$2&gt;=09_ガント元データ!$G152,AG$2&lt;=09_ガント元データ!$H152),"■",""))</f>
        <v/>
      </c>
      <c r="AH153" s="24" t="str">
        <f aca="false">IF($A153="","",IF(AND(AH$2&gt;=09_ガント元データ!$G152,AH$2&lt;=09_ガント元データ!$H152),"■",""))</f>
        <v/>
      </c>
      <c r="AI153" s="24" t="str">
        <f aca="false">IF($A153="","",IF(AND(AI$2&gt;=09_ガント元データ!$G152,AI$2&lt;=09_ガント元データ!$H152),"■",""))</f>
        <v/>
      </c>
      <c r="AJ153" s="24" t="str">
        <f aca="false">IF($A153="","",IF(AND(AJ$2&gt;=09_ガント元データ!$G152,AJ$2&lt;=09_ガント元データ!$H152),"■",""))</f>
        <v/>
      </c>
      <c r="AK153" s="24" t="str">
        <f aca="false">IF($A153="","",IF(AND(AK$2&gt;=09_ガント元データ!$G152,AK$2&lt;=09_ガント元データ!$H152),"■",""))</f>
        <v/>
      </c>
      <c r="AL153" s="24" t="str">
        <f aca="false">IF($A153="","",IF(AND(AL$2&gt;=09_ガント元データ!$G152,AL$2&lt;=09_ガント元データ!$H152),"■",""))</f>
        <v/>
      </c>
      <c r="AM153" s="24" t="str">
        <f aca="false">IF($A153="","",IF(AND(AM$2&gt;=09_ガント元データ!$G152,AM$2&lt;=09_ガント元データ!$H152),"■",""))</f>
        <v/>
      </c>
    </row>
    <row r="154" customFormat="false" ht="15" hidden="false" customHeight="false" outlineLevel="0" collapsed="false">
      <c r="A154" s="22" t="str">
        <f aca="false">09_ガント元データ!A153</f>
        <v/>
      </c>
      <c r="B154" s="22" t="str">
        <f aca="false">09_ガント元データ!B153</f>
        <v/>
      </c>
      <c r="C154" s="23" t="str">
        <f aca="false">09_ガント元データ!C153</f>
        <v/>
      </c>
      <c r="D154" s="24" t="str">
        <f aca="false">IF($A154="","",IF(AND(D$2&gt;=09_ガント元データ!$G153,D$2&lt;=09_ガント元データ!$H153),"■",""))</f>
        <v/>
      </c>
      <c r="E154" s="24" t="str">
        <f aca="false">IF($A154="","",IF(AND(E$2&gt;=09_ガント元データ!$G153,E$2&lt;=09_ガント元データ!$H153),"■",""))</f>
        <v/>
      </c>
      <c r="F154" s="24" t="str">
        <f aca="false">IF($A154="","",IF(AND(F$2&gt;=09_ガント元データ!$G153,F$2&lt;=09_ガント元データ!$H153),"■",""))</f>
        <v/>
      </c>
      <c r="G154" s="24" t="str">
        <f aca="false">IF($A154="","",IF(AND(G$2&gt;=09_ガント元データ!$G153,G$2&lt;=09_ガント元データ!$H153),"■",""))</f>
        <v/>
      </c>
      <c r="H154" s="24" t="str">
        <f aca="false">IF($A154="","",IF(AND(H$2&gt;=09_ガント元データ!$G153,H$2&lt;=09_ガント元データ!$H153),"■",""))</f>
        <v/>
      </c>
      <c r="I154" s="24" t="str">
        <f aca="false">IF($A154="","",IF(AND(I$2&gt;=09_ガント元データ!$G153,I$2&lt;=09_ガント元データ!$H153),"■",""))</f>
        <v/>
      </c>
      <c r="J154" s="24" t="str">
        <f aca="false">IF($A154="","",IF(AND(J$2&gt;=09_ガント元データ!$G153,J$2&lt;=09_ガント元データ!$H153),"■",""))</f>
        <v/>
      </c>
      <c r="K154" s="24" t="str">
        <f aca="false">IF($A154="","",IF(AND(K$2&gt;=09_ガント元データ!$G153,K$2&lt;=09_ガント元データ!$H153),"■",""))</f>
        <v/>
      </c>
      <c r="L154" s="24" t="str">
        <f aca="false">IF($A154="","",IF(AND(L$2&gt;=09_ガント元データ!$G153,L$2&lt;=09_ガント元データ!$H153),"■",""))</f>
        <v/>
      </c>
      <c r="M154" s="24" t="str">
        <f aca="false">IF($A154="","",IF(AND(M$2&gt;=09_ガント元データ!$G153,M$2&lt;=09_ガント元データ!$H153),"■",""))</f>
        <v/>
      </c>
      <c r="N154" s="24" t="str">
        <f aca="false">IF($A154="","",IF(AND(N$2&gt;=09_ガント元データ!$G153,N$2&lt;=09_ガント元データ!$H153),"■",""))</f>
        <v/>
      </c>
      <c r="O154" s="24" t="str">
        <f aca="false">IF($A154="","",IF(AND(O$2&gt;=09_ガント元データ!$G153,O$2&lt;=09_ガント元データ!$H153),"■",""))</f>
        <v/>
      </c>
      <c r="P154" s="24" t="str">
        <f aca="false">IF($A154="","",IF(AND(P$2&gt;=09_ガント元データ!$G153,P$2&lt;=09_ガント元データ!$H153),"■",""))</f>
        <v/>
      </c>
      <c r="Q154" s="24" t="str">
        <f aca="false">IF($A154="","",IF(AND(Q$2&gt;=09_ガント元データ!$G153,Q$2&lt;=09_ガント元データ!$H153),"■",""))</f>
        <v/>
      </c>
      <c r="R154" s="24" t="str">
        <f aca="false">IF($A154="","",IF(AND(R$2&gt;=09_ガント元データ!$G153,R$2&lt;=09_ガント元データ!$H153),"■",""))</f>
        <v/>
      </c>
      <c r="S154" s="24" t="str">
        <f aca="false">IF($A154="","",IF(AND(S$2&gt;=09_ガント元データ!$G153,S$2&lt;=09_ガント元データ!$H153),"■",""))</f>
        <v/>
      </c>
      <c r="T154" s="24" t="str">
        <f aca="false">IF($A154="","",IF(AND(T$2&gt;=09_ガント元データ!$G153,T$2&lt;=09_ガント元データ!$H153),"■",""))</f>
        <v/>
      </c>
      <c r="U154" s="24" t="str">
        <f aca="false">IF($A154="","",IF(AND(U$2&gt;=09_ガント元データ!$G153,U$2&lt;=09_ガント元データ!$H153),"■",""))</f>
        <v/>
      </c>
      <c r="V154" s="24" t="str">
        <f aca="false">IF($A154="","",IF(AND(V$2&gt;=09_ガント元データ!$G153,V$2&lt;=09_ガント元データ!$H153),"■",""))</f>
        <v/>
      </c>
      <c r="W154" s="24" t="str">
        <f aca="false">IF($A154="","",IF(AND(W$2&gt;=09_ガント元データ!$G153,W$2&lt;=09_ガント元データ!$H153),"■",""))</f>
        <v/>
      </c>
      <c r="X154" s="24" t="str">
        <f aca="false">IF($A154="","",IF(AND(X$2&gt;=09_ガント元データ!$G153,X$2&lt;=09_ガント元データ!$H153),"■",""))</f>
        <v/>
      </c>
      <c r="Y154" s="24" t="str">
        <f aca="false">IF($A154="","",IF(AND(Y$2&gt;=09_ガント元データ!$G153,Y$2&lt;=09_ガント元データ!$H153),"■",""))</f>
        <v/>
      </c>
      <c r="Z154" s="24" t="str">
        <f aca="false">IF($A154="","",IF(AND(Z$2&gt;=09_ガント元データ!$G153,Z$2&lt;=09_ガント元データ!$H153),"■",""))</f>
        <v/>
      </c>
      <c r="AA154" s="24" t="str">
        <f aca="false">IF($A154="","",IF(AND(AA$2&gt;=09_ガント元データ!$G153,AA$2&lt;=09_ガント元データ!$H153),"■",""))</f>
        <v/>
      </c>
      <c r="AB154" s="24" t="str">
        <f aca="false">IF($A154="","",IF(AND(AB$2&gt;=09_ガント元データ!$G153,AB$2&lt;=09_ガント元データ!$H153),"■",""))</f>
        <v/>
      </c>
      <c r="AC154" s="24" t="str">
        <f aca="false">IF($A154="","",IF(AND(AC$2&gt;=09_ガント元データ!$G153,AC$2&lt;=09_ガント元データ!$H153),"■",""))</f>
        <v/>
      </c>
      <c r="AD154" s="24" t="str">
        <f aca="false">IF($A154="","",IF(AND(AD$2&gt;=09_ガント元データ!$G153,AD$2&lt;=09_ガント元データ!$H153),"■",""))</f>
        <v/>
      </c>
      <c r="AE154" s="24" t="str">
        <f aca="false">IF($A154="","",IF(AND(AE$2&gt;=09_ガント元データ!$G153,AE$2&lt;=09_ガント元データ!$H153),"■",""))</f>
        <v/>
      </c>
      <c r="AF154" s="24" t="str">
        <f aca="false">IF($A154="","",IF(AND(AF$2&gt;=09_ガント元データ!$G153,AF$2&lt;=09_ガント元データ!$H153),"■",""))</f>
        <v/>
      </c>
      <c r="AG154" s="24" t="str">
        <f aca="false">IF($A154="","",IF(AND(AG$2&gt;=09_ガント元データ!$G153,AG$2&lt;=09_ガント元データ!$H153),"■",""))</f>
        <v/>
      </c>
      <c r="AH154" s="24" t="str">
        <f aca="false">IF($A154="","",IF(AND(AH$2&gt;=09_ガント元データ!$G153,AH$2&lt;=09_ガント元データ!$H153),"■",""))</f>
        <v/>
      </c>
      <c r="AI154" s="24" t="str">
        <f aca="false">IF($A154="","",IF(AND(AI$2&gt;=09_ガント元データ!$G153,AI$2&lt;=09_ガント元データ!$H153),"■",""))</f>
        <v/>
      </c>
      <c r="AJ154" s="24" t="str">
        <f aca="false">IF($A154="","",IF(AND(AJ$2&gt;=09_ガント元データ!$G153,AJ$2&lt;=09_ガント元データ!$H153),"■",""))</f>
        <v/>
      </c>
      <c r="AK154" s="24" t="str">
        <f aca="false">IF($A154="","",IF(AND(AK$2&gt;=09_ガント元データ!$G153,AK$2&lt;=09_ガント元データ!$H153),"■",""))</f>
        <v/>
      </c>
      <c r="AL154" s="24" t="str">
        <f aca="false">IF($A154="","",IF(AND(AL$2&gt;=09_ガント元データ!$G153,AL$2&lt;=09_ガント元データ!$H153),"■",""))</f>
        <v/>
      </c>
      <c r="AM154" s="24" t="str">
        <f aca="false">IF($A154="","",IF(AND(AM$2&gt;=09_ガント元データ!$G153,AM$2&lt;=09_ガント元データ!$H153),"■",""))</f>
        <v/>
      </c>
    </row>
    <row r="155" customFormat="false" ht="15" hidden="false" customHeight="false" outlineLevel="0" collapsed="false">
      <c r="A155" s="22" t="str">
        <f aca="false">09_ガント元データ!A154</f>
        <v/>
      </c>
      <c r="B155" s="22" t="str">
        <f aca="false">09_ガント元データ!B154</f>
        <v/>
      </c>
      <c r="C155" s="23" t="str">
        <f aca="false">09_ガント元データ!C154</f>
        <v/>
      </c>
      <c r="D155" s="24" t="str">
        <f aca="false">IF($A155="","",IF(AND(D$2&gt;=09_ガント元データ!$G154,D$2&lt;=09_ガント元データ!$H154),"■",""))</f>
        <v/>
      </c>
      <c r="E155" s="24" t="str">
        <f aca="false">IF($A155="","",IF(AND(E$2&gt;=09_ガント元データ!$G154,E$2&lt;=09_ガント元データ!$H154),"■",""))</f>
        <v/>
      </c>
      <c r="F155" s="24" t="str">
        <f aca="false">IF($A155="","",IF(AND(F$2&gt;=09_ガント元データ!$G154,F$2&lt;=09_ガント元データ!$H154),"■",""))</f>
        <v/>
      </c>
      <c r="G155" s="24" t="str">
        <f aca="false">IF($A155="","",IF(AND(G$2&gt;=09_ガント元データ!$G154,G$2&lt;=09_ガント元データ!$H154),"■",""))</f>
        <v/>
      </c>
      <c r="H155" s="24" t="str">
        <f aca="false">IF($A155="","",IF(AND(H$2&gt;=09_ガント元データ!$G154,H$2&lt;=09_ガント元データ!$H154),"■",""))</f>
        <v/>
      </c>
      <c r="I155" s="24" t="str">
        <f aca="false">IF($A155="","",IF(AND(I$2&gt;=09_ガント元データ!$G154,I$2&lt;=09_ガント元データ!$H154),"■",""))</f>
        <v/>
      </c>
      <c r="J155" s="24" t="str">
        <f aca="false">IF($A155="","",IF(AND(J$2&gt;=09_ガント元データ!$G154,J$2&lt;=09_ガント元データ!$H154),"■",""))</f>
        <v/>
      </c>
      <c r="K155" s="24" t="str">
        <f aca="false">IF($A155="","",IF(AND(K$2&gt;=09_ガント元データ!$G154,K$2&lt;=09_ガント元データ!$H154),"■",""))</f>
        <v/>
      </c>
      <c r="L155" s="24" t="str">
        <f aca="false">IF($A155="","",IF(AND(L$2&gt;=09_ガント元データ!$G154,L$2&lt;=09_ガント元データ!$H154),"■",""))</f>
        <v/>
      </c>
      <c r="M155" s="24" t="str">
        <f aca="false">IF($A155="","",IF(AND(M$2&gt;=09_ガント元データ!$G154,M$2&lt;=09_ガント元データ!$H154),"■",""))</f>
        <v/>
      </c>
      <c r="N155" s="24" t="str">
        <f aca="false">IF($A155="","",IF(AND(N$2&gt;=09_ガント元データ!$G154,N$2&lt;=09_ガント元データ!$H154),"■",""))</f>
        <v/>
      </c>
      <c r="O155" s="24" t="str">
        <f aca="false">IF($A155="","",IF(AND(O$2&gt;=09_ガント元データ!$G154,O$2&lt;=09_ガント元データ!$H154),"■",""))</f>
        <v/>
      </c>
      <c r="P155" s="24" t="str">
        <f aca="false">IF($A155="","",IF(AND(P$2&gt;=09_ガント元データ!$G154,P$2&lt;=09_ガント元データ!$H154),"■",""))</f>
        <v/>
      </c>
      <c r="Q155" s="24" t="str">
        <f aca="false">IF($A155="","",IF(AND(Q$2&gt;=09_ガント元データ!$G154,Q$2&lt;=09_ガント元データ!$H154),"■",""))</f>
        <v/>
      </c>
      <c r="R155" s="24" t="str">
        <f aca="false">IF($A155="","",IF(AND(R$2&gt;=09_ガント元データ!$G154,R$2&lt;=09_ガント元データ!$H154),"■",""))</f>
        <v/>
      </c>
      <c r="S155" s="24" t="str">
        <f aca="false">IF($A155="","",IF(AND(S$2&gt;=09_ガント元データ!$G154,S$2&lt;=09_ガント元データ!$H154),"■",""))</f>
        <v/>
      </c>
      <c r="T155" s="24" t="str">
        <f aca="false">IF($A155="","",IF(AND(T$2&gt;=09_ガント元データ!$G154,T$2&lt;=09_ガント元データ!$H154),"■",""))</f>
        <v/>
      </c>
      <c r="U155" s="24" t="str">
        <f aca="false">IF($A155="","",IF(AND(U$2&gt;=09_ガント元データ!$G154,U$2&lt;=09_ガント元データ!$H154),"■",""))</f>
        <v/>
      </c>
      <c r="V155" s="24" t="str">
        <f aca="false">IF($A155="","",IF(AND(V$2&gt;=09_ガント元データ!$G154,V$2&lt;=09_ガント元データ!$H154),"■",""))</f>
        <v/>
      </c>
      <c r="W155" s="24" t="str">
        <f aca="false">IF($A155="","",IF(AND(W$2&gt;=09_ガント元データ!$G154,W$2&lt;=09_ガント元データ!$H154),"■",""))</f>
        <v/>
      </c>
      <c r="X155" s="24" t="str">
        <f aca="false">IF($A155="","",IF(AND(X$2&gt;=09_ガント元データ!$G154,X$2&lt;=09_ガント元データ!$H154),"■",""))</f>
        <v/>
      </c>
      <c r="Y155" s="24" t="str">
        <f aca="false">IF($A155="","",IF(AND(Y$2&gt;=09_ガント元データ!$G154,Y$2&lt;=09_ガント元データ!$H154),"■",""))</f>
        <v/>
      </c>
      <c r="Z155" s="24" t="str">
        <f aca="false">IF($A155="","",IF(AND(Z$2&gt;=09_ガント元データ!$G154,Z$2&lt;=09_ガント元データ!$H154),"■",""))</f>
        <v/>
      </c>
      <c r="AA155" s="24" t="str">
        <f aca="false">IF($A155="","",IF(AND(AA$2&gt;=09_ガント元データ!$G154,AA$2&lt;=09_ガント元データ!$H154),"■",""))</f>
        <v/>
      </c>
      <c r="AB155" s="24" t="str">
        <f aca="false">IF($A155="","",IF(AND(AB$2&gt;=09_ガント元データ!$G154,AB$2&lt;=09_ガント元データ!$H154),"■",""))</f>
        <v/>
      </c>
      <c r="AC155" s="24" t="str">
        <f aca="false">IF($A155="","",IF(AND(AC$2&gt;=09_ガント元データ!$G154,AC$2&lt;=09_ガント元データ!$H154),"■",""))</f>
        <v/>
      </c>
      <c r="AD155" s="24" t="str">
        <f aca="false">IF($A155="","",IF(AND(AD$2&gt;=09_ガント元データ!$G154,AD$2&lt;=09_ガント元データ!$H154),"■",""))</f>
        <v/>
      </c>
      <c r="AE155" s="24" t="str">
        <f aca="false">IF($A155="","",IF(AND(AE$2&gt;=09_ガント元データ!$G154,AE$2&lt;=09_ガント元データ!$H154),"■",""))</f>
        <v/>
      </c>
      <c r="AF155" s="24" t="str">
        <f aca="false">IF($A155="","",IF(AND(AF$2&gt;=09_ガント元データ!$G154,AF$2&lt;=09_ガント元データ!$H154),"■",""))</f>
        <v/>
      </c>
      <c r="AG155" s="24" t="str">
        <f aca="false">IF($A155="","",IF(AND(AG$2&gt;=09_ガント元データ!$G154,AG$2&lt;=09_ガント元データ!$H154),"■",""))</f>
        <v/>
      </c>
      <c r="AH155" s="24" t="str">
        <f aca="false">IF($A155="","",IF(AND(AH$2&gt;=09_ガント元データ!$G154,AH$2&lt;=09_ガント元データ!$H154),"■",""))</f>
        <v/>
      </c>
      <c r="AI155" s="24" t="str">
        <f aca="false">IF($A155="","",IF(AND(AI$2&gt;=09_ガント元データ!$G154,AI$2&lt;=09_ガント元データ!$H154),"■",""))</f>
        <v/>
      </c>
      <c r="AJ155" s="24" t="str">
        <f aca="false">IF($A155="","",IF(AND(AJ$2&gt;=09_ガント元データ!$G154,AJ$2&lt;=09_ガント元データ!$H154),"■",""))</f>
        <v/>
      </c>
      <c r="AK155" s="24" t="str">
        <f aca="false">IF($A155="","",IF(AND(AK$2&gt;=09_ガント元データ!$G154,AK$2&lt;=09_ガント元データ!$H154),"■",""))</f>
        <v/>
      </c>
      <c r="AL155" s="24" t="str">
        <f aca="false">IF($A155="","",IF(AND(AL$2&gt;=09_ガント元データ!$G154,AL$2&lt;=09_ガント元データ!$H154),"■",""))</f>
        <v/>
      </c>
      <c r="AM155" s="24" t="str">
        <f aca="false">IF($A155="","",IF(AND(AM$2&gt;=09_ガント元データ!$G154,AM$2&lt;=09_ガント元データ!$H154),"■",""))</f>
        <v/>
      </c>
    </row>
    <row r="156" customFormat="false" ht="15" hidden="false" customHeight="false" outlineLevel="0" collapsed="false">
      <c r="A156" s="22" t="str">
        <f aca="false">09_ガント元データ!A155</f>
        <v/>
      </c>
      <c r="B156" s="22" t="str">
        <f aca="false">09_ガント元データ!B155</f>
        <v/>
      </c>
      <c r="C156" s="23" t="str">
        <f aca="false">09_ガント元データ!C155</f>
        <v/>
      </c>
      <c r="D156" s="24" t="str">
        <f aca="false">IF($A156="","",IF(AND(D$2&gt;=09_ガント元データ!$G155,D$2&lt;=09_ガント元データ!$H155),"■",""))</f>
        <v/>
      </c>
      <c r="E156" s="24" t="str">
        <f aca="false">IF($A156="","",IF(AND(E$2&gt;=09_ガント元データ!$G155,E$2&lt;=09_ガント元データ!$H155),"■",""))</f>
        <v/>
      </c>
      <c r="F156" s="24" t="str">
        <f aca="false">IF($A156="","",IF(AND(F$2&gt;=09_ガント元データ!$G155,F$2&lt;=09_ガント元データ!$H155),"■",""))</f>
        <v/>
      </c>
      <c r="G156" s="24" t="str">
        <f aca="false">IF($A156="","",IF(AND(G$2&gt;=09_ガント元データ!$G155,G$2&lt;=09_ガント元データ!$H155),"■",""))</f>
        <v/>
      </c>
      <c r="H156" s="24" t="str">
        <f aca="false">IF($A156="","",IF(AND(H$2&gt;=09_ガント元データ!$G155,H$2&lt;=09_ガント元データ!$H155),"■",""))</f>
        <v/>
      </c>
      <c r="I156" s="24" t="str">
        <f aca="false">IF($A156="","",IF(AND(I$2&gt;=09_ガント元データ!$G155,I$2&lt;=09_ガント元データ!$H155),"■",""))</f>
        <v/>
      </c>
      <c r="J156" s="24" t="str">
        <f aca="false">IF($A156="","",IF(AND(J$2&gt;=09_ガント元データ!$G155,J$2&lt;=09_ガント元データ!$H155),"■",""))</f>
        <v/>
      </c>
      <c r="K156" s="24" t="str">
        <f aca="false">IF($A156="","",IF(AND(K$2&gt;=09_ガント元データ!$G155,K$2&lt;=09_ガント元データ!$H155),"■",""))</f>
        <v/>
      </c>
      <c r="L156" s="24" t="str">
        <f aca="false">IF($A156="","",IF(AND(L$2&gt;=09_ガント元データ!$G155,L$2&lt;=09_ガント元データ!$H155),"■",""))</f>
        <v/>
      </c>
      <c r="M156" s="24" t="str">
        <f aca="false">IF($A156="","",IF(AND(M$2&gt;=09_ガント元データ!$G155,M$2&lt;=09_ガント元データ!$H155),"■",""))</f>
        <v/>
      </c>
      <c r="N156" s="24" t="str">
        <f aca="false">IF($A156="","",IF(AND(N$2&gt;=09_ガント元データ!$G155,N$2&lt;=09_ガント元データ!$H155),"■",""))</f>
        <v/>
      </c>
      <c r="O156" s="24" t="str">
        <f aca="false">IF($A156="","",IF(AND(O$2&gt;=09_ガント元データ!$G155,O$2&lt;=09_ガント元データ!$H155),"■",""))</f>
        <v/>
      </c>
      <c r="P156" s="24" t="str">
        <f aca="false">IF($A156="","",IF(AND(P$2&gt;=09_ガント元データ!$G155,P$2&lt;=09_ガント元データ!$H155),"■",""))</f>
        <v/>
      </c>
      <c r="Q156" s="24" t="str">
        <f aca="false">IF($A156="","",IF(AND(Q$2&gt;=09_ガント元データ!$G155,Q$2&lt;=09_ガント元データ!$H155),"■",""))</f>
        <v/>
      </c>
      <c r="R156" s="24" t="str">
        <f aca="false">IF($A156="","",IF(AND(R$2&gt;=09_ガント元データ!$G155,R$2&lt;=09_ガント元データ!$H155),"■",""))</f>
        <v/>
      </c>
      <c r="S156" s="24" t="str">
        <f aca="false">IF($A156="","",IF(AND(S$2&gt;=09_ガント元データ!$G155,S$2&lt;=09_ガント元データ!$H155),"■",""))</f>
        <v/>
      </c>
      <c r="T156" s="24" t="str">
        <f aca="false">IF($A156="","",IF(AND(T$2&gt;=09_ガント元データ!$G155,T$2&lt;=09_ガント元データ!$H155),"■",""))</f>
        <v/>
      </c>
      <c r="U156" s="24" t="str">
        <f aca="false">IF($A156="","",IF(AND(U$2&gt;=09_ガント元データ!$G155,U$2&lt;=09_ガント元データ!$H155),"■",""))</f>
        <v/>
      </c>
      <c r="V156" s="24" t="str">
        <f aca="false">IF($A156="","",IF(AND(V$2&gt;=09_ガント元データ!$G155,V$2&lt;=09_ガント元データ!$H155),"■",""))</f>
        <v/>
      </c>
      <c r="W156" s="24" t="str">
        <f aca="false">IF($A156="","",IF(AND(W$2&gt;=09_ガント元データ!$G155,W$2&lt;=09_ガント元データ!$H155),"■",""))</f>
        <v/>
      </c>
      <c r="X156" s="24" t="str">
        <f aca="false">IF($A156="","",IF(AND(X$2&gt;=09_ガント元データ!$G155,X$2&lt;=09_ガント元データ!$H155),"■",""))</f>
        <v/>
      </c>
      <c r="Y156" s="24" t="str">
        <f aca="false">IF($A156="","",IF(AND(Y$2&gt;=09_ガント元データ!$G155,Y$2&lt;=09_ガント元データ!$H155),"■",""))</f>
        <v/>
      </c>
      <c r="Z156" s="24" t="str">
        <f aca="false">IF($A156="","",IF(AND(Z$2&gt;=09_ガント元データ!$G155,Z$2&lt;=09_ガント元データ!$H155),"■",""))</f>
        <v/>
      </c>
      <c r="AA156" s="24" t="str">
        <f aca="false">IF($A156="","",IF(AND(AA$2&gt;=09_ガント元データ!$G155,AA$2&lt;=09_ガント元データ!$H155),"■",""))</f>
        <v/>
      </c>
      <c r="AB156" s="24" t="str">
        <f aca="false">IF($A156="","",IF(AND(AB$2&gt;=09_ガント元データ!$G155,AB$2&lt;=09_ガント元データ!$H155),"■",""))</f>
        <v/>
      </c>
      <c r="AC156" s="24" t="str">
        <f aca="false">IF($A156="","",IF(AND(AC$2&gt;=09_ガント元データ!$G155,AC$2&lt;=09_ガント元データ!$H155),"■",""))</f>
        <v/>
      </c>
      <c r="AD156" s="24" t="str">
        <f aca="false">IF($A156="","",IF(AND(AD$2&gt;=09_ガント元データ!$G155,AD$2&lt;=09_ガント元データ!$H155),"■",""))</f>
        <v/>
      </c>
      <c r="AE156" s="24" t="str">
        <f aca="false">IF($A156="","",IF(AND(AE$2&gt;=09_ガント元データ!$G155,AE$2&lt;=09_ガント元データ!$H155),"■",""))</f>
        <v/>
      </c>
      <c r="AF156" s="24" t="str">
        <f aca="false">IF($A156="","",IF(AND(AF$2&gt;=09_ガント元データ!$G155,AF$2&lt;=09_ガント元データ!$H155),"■",""))</f>
        <v/>
      </c>
      <c r="AG156" s="24" t="str">
        <f aca="false">IF($A156="","",IF(AND(AG$2&gt;=09_ガント元データ!$G155,AG$2&lt;=09_ガント元データ!$H155),"■",""))</f>
        <v/>
      </c>
      <c r="AH156" s="24" t="str">
        <f aca="false">IF($A156="","",IF(AND(AH$2&gt;=09_ガント元データ!$G155,AH$2&lt;=09_ガント元データ!$H155),"■",""))</f>
        <v/>
      </c>
      <c r="AI156" s="24" t="str">
        <f aca="false">IF($A156="","",IF(AND(AI$2&gt;=09_ガント元データ!$G155,AI$2&lt;=09_ガント元データ!$H155),"■",""))</f>
        <v/>
      </c>
      <c r="AJ156" s="24" t="str">
        <f aca="false">IF($A156="","",IF(AND(AJ$2&gt;=09_ガント元データ!$G155,AJ$2&lt;=09_ガント元データ!$H155),"■",""))</f>
        <v/>
      </c>
      <c r="AK156" s="24" t="str">
        <f aca="false">IF($A156="","",IF(AND(AK$2&gt;=09_ガント元データ!$G155,AK$2&lt;=09_ガント元データ!$H155),"■",""))</f>
        <v/>
      </c>
      <c r="AL156" s="24" t="str">
        <f aca="false">IF($A156="","",IF(AND(AL$2&gt;=09_ガント元データ!$G155,AL$2&lt;=09_ガント元データ!$H155),"■",""))</f>
        <v/>
      </c>
      <c r="AM156" s="24" t="str">
        <f aca="false">IF($A156="","",IF(AND(AM$2&gt;=09_ガント元データ!$G155,AM$2&lt;=09_ガント元データ!$H155),"■",""))</f>
        <v/>
      </c>
    </row>
    <row r="157" customFormat="false" ht="15" hidden="false" customHeight="false" outlineLevel="0" collapsed="false">
      <c r="A157" s="22" t="str">
        <f aca="false">09_ガント元データ!A156</f>
        <v/>
      </c>
      <c r="B157" s="22" t="str">
        <f aca="false">09_ガント元データ!B156</f>
        <v/>
      </c>
      <c r="C157" s="23" t="str">
        <f aca="false">09_ガント元データ!C156</f>
        <v/>
      </c>
      <c r="D157" s="24" t="str">
        <f aca="false">IF($A157="","",IF(AND(D$2&gt;=09_ガント元データ!$G156,D$2&lt;=09_ガント元データ!$H156),"■",""))</f>
        <v/>
      </c>
      <c r="E157" s="24" t="str">
        <f aca="false">IF($A157="","",IF(AND(E$2&gt;=09_ガント元データ!$G156,E$2&lt;=09_ガント元データ!$H156),"■",""))</f>
        <v/>
      </c>
      <c r="F157" s="24" t="str">
        <f aca="false">IF($A157="","",IF(AND(F$2&gt;=09_ガント元データ!$G156,F$2&lt;=09_ガント元データ!$H156),"■",""))</f>
        <v/>
      </c>
      <c r="G157" s="24" t="str">
        <f aca="false">IF($A157="","",IF(AND(G$2&gt;=09_ガント元データ!$G156,G$2&lt;=09_ガント元データ!$H156),"■",""))</f>
        <v/>
      </c>
      <c r="H157" s="24" t="str">
        <f aca="false">IF($A157="","",IF(AND(H$2&gt;=09_ガント元データ!$G156,H$2&lt;=09_ガント元データ!$H156),"■",""))</f>
        <v/>
      </c>
      <c r="I157" s="24" t="str">
        <f aca="false">IF($A157="","",IF(AND(I$2&gt;=09_ガント元データ!$G156,I$2&lt;=09_ガント元データ!$H156),"■",""))</f>
        <v/>
      </c>
      <c r="J157" s="24" t="str">
        <f aca="false">IF($A157="","",IF(AND(J$2&gt;=09_ガント元データ!$G156,J$2&lt;=09_ガント元データ!$H156),"■",""))</f>
        <v/>
      </c>
      <c r="K157" s="24" t="str">
        <f aca="false">IF($A157="","",IF(AND(K$2&gt;=09_ガント元データ!$G156,K$2&lt;=09_ガント元データ!$H156),"■",""))</f>
        <v/>
      </c>
      <c r="L157" s="24" t="str">
        <f aca="false">IF($A157="","",IF(AND(L$2&gt;=09_ガント元データ!$G156,L$2&lt;=09_ガント元データ!$H156),"■",""))</f>
        <v/>
      </c>
      <c r="M157" s="24" t="str">
        <f aca="false">IF($A157="","",IF(AND(M$2&gt;=09_ガント元データ!$G156,M$2&lt;=09_ガント元データ!$H156),"■",""))</f>
        <v/>
      </c>
      <c r="N157" s="24" t="str">
        <f aca="false">IF($A157="","",IF(AND(N$2&gt;=09_ガント元データ!$G156,N$2&lt;=09_ガント元データ!$H156),"■",""))</f>
        <v/>
      </c>
      <c r="O157" s="24" t="str">
        <f aca="false">IF($A157="","",IF(AND(O$2&gt;=09_ガント元データ!$G156,O$2&lt;=09_ガント元データ!$H156),"■",""))</f>
        <v/>
      </c>
      <c r="P157" s="24" t="str">
        <f aca="false">IF($A157="","",IF(AND(P$2&gt;=09_ガント元データ!$G156,P$2&lt;=09_ガント元データ!$H156),"■",""))</f>
        <v/>
      </c>
      <c r="Q157" s="24" t="str">
        <f aca="false">IF($A157="","",IF(AND(Q$2&gt;=09_ガント元データ!$G156,Q$2&lt;=09_ガント元データ!$H156),"■",""))</f>
        <v/>
      </c>
      <c r="R157" s="24" t="str">
        <f aca="false">IF($A157="","",IF(AND(R$2&gt;=09_ガント元データ!$G156,R$2&lt;=09_ガント元データ!$H156),"■",""))</f>
        <v/>
      </c>
      <c r="S157" s="24" t="str">
        <f aca="false">IF($A157="","",IF(AND(S$2&gt;=09_ガント元データ!$G156,S$2&lt;=09_ガント元データ!$H156),"■",""))</f>
        <v/>
      </c>
      <c r="T157" s="24" t="str">
        <f aca="false">IF($A157="","",IF(AND(T$2&gt;=09_ガント元データ!$G156,T$2&lt;=09_ガント元データ!$H156),"■",""))</f>
        <v/>
      </c>
      <c r="U157" s="24" t="str">
        <f aca="false">IF($A157="","",IF(AND(U$2&gt;=09_ガント元データ!$G156,U$2&lt;=09_ガント元データ!$H156),"■",""))</f>
        <v/>
      </c>
      <c r="V157" s="24" t="str">
        <f aca="false">IF($A157="","",IF(AND(V$2&gt;=09_ガント元データ!$G156,V$2&lt;=09_ガント元データ!$H156),"■",""))</f>
        <v/>
      </c>
      <c r="W157" s="24" t="str">
        <f aca="false">IF($A157="","",IF(AND(W$2&gt;=09_ガント元データ!$G156,W$2&lt;=09_ガント元データ!$H156),"■",""))</f>
        <v/>
      </c>
      <c r="X157" s="24" t="str">
        <f aca="false">IF($A157="","",IF(AND(X$2&gt;=09_ガント元データ!$G156,X$2&lt;=09_ガント元データ!$H156),"■",""))</f>
        <v/>
      </c>
      <c r="Y157" s="24" t="str">
        <f aca="false">IF($A157="","",IF(AND(Y$2&gt;=09_ガント元データ!$G156,Y$2&lt;=09_ガント元データ!$H156),"■",""))</f>
        <v/>
      </c>
      <c r="Z157" s="24" t="str">
        <f aca="false">IF($A157="","",IF(AND(Z$2&gt;=09_ガント元データ!$G156,Z$2&lt;=09_ガント元データ!$H156),"■",""))</f>
        <v/>
      </c>
      <c r="AA157" s="24" t="str">
        <f aca="false">IF($A157="","",IF(AND(AA$2&gt;=09_ガント元データ!$G156,AA$2&lt;=09_ガント元データ!$H156),"■",""))</f>
        <v/>
      </c>
      <c r="AB157" s="24" t="str">
        <f aca="false">IF($A157="","",IF(AND(AB$2&gt;=09_ガント元データ!$G156,AB$2&lt;=09_ガント元データ!$H156),"■",""))</f>
        <v/>
      </c>
      <c r="AC157" s="24" t="str">
        <f aca="false">IF($A157="","",IF(AND(AC$2&gt;=09_ガント元データ!$G156,AC$2&lt;=09_ガント元データ!$H156),"■",""))</f>
        <v/>
      </c>
      <c r="AD157" s="24" t="str">
        <f aca="false">IF($A157="","",IF(AND(AD$2&gt;=09_ガント元データ!$G156,AD$2&lt;=09_ガント元データ!$H156),"■",""))</f>
        <v/>
      </c>
      <c r="AE157" s="24" t="str">
        <f aca="false">IF($A157="","",IF(AND(AE$2&gt;=09_ガント元データ!$G156,AE$2&lt;=09_ガント元データ!$H156),"■",""))</f>
        <v/>
      </c>
      <c r="AF157" s="24" t="str">
        <f aca="false">IF($A157="","",IF(AND(AF$2&gt;=09_ガント元データ!$G156,AF$2&lt;=09_ガント元データ!$H156),"■",""))</f>
        <v/>
      </c>
      <c r="AG157" s="24" t="str">
        <f aca="false">IF($A157="","",IF(AND(AG$2&gt;=09_ガント元データ!$G156,AG$2&lt;=09_ガント元データ!$H156),"■",""))</f>
        <v/>
      </c>
      <c r="AH157" s="24" t="str">
        <f aca="false">IF($A157="","",IF(AND(AH$2&gt;=09_ガント元データ!$G156,AH$2&lt;=09_ガント元データ!$H156),"■",""))</f>
        <v/>
      </c>
      <c r="AI157" s="24" t="str">
        <f aca="false">IF($A157="","",IF(AND(AI$2&gt;=09_ガント元データ!$G156,AI$2&lt;=09_ガント元データ!$H156),"■",""))</f>
        <v/>
      </c>
      <c r="AJ157" s="24" t="str">
        <f aca="false">IF($A157="","",IF(AND(AJ$2&gt;=09_ガント元データ!$G156,AJ$2&lt;=09_ガント元データ!$H156),"■",""))</f>
        <v/>
      </c>
      <c r="AK157" s="24" t="str">
        <f aca="false">IF($A157="","",IF(AND(AK$2&gt;=09_ガント元データ!$G156,AK$2&lt;=09_ガント元データ!$H156),"■",""))</f>
        <v/>
      </c>
      <c r="AL157" s="24" t="str">
        <f aca="false">IF($A157="","",IF(AND(AL$2&gt;=09_ガント元データ!$G156,AL$2&lt;=09_ガント元データ!$H156),"■",""))</f>
        <v/>
      </c>
      <c r="AM157" s="24" t="str">
        <f aca="false">IF($A157="","",IF(AND(AM$2&gt;=09_ガント元データ!$G156,AM$2&lt;=09_ガント元データ!$H156),"■",""))</f>
        <v/>
      </c>
    </row>
    <row r="158" customFormat="false" ht="15" hidden="false" customHeight="false" outlineLevel="0" collapsed="false">
      <c r="A158" s="22" t="str">
        <f aca="false">09_ガント元データ!A157</f>
        <v/>
      </c>
      <c r="B158" s="22" t="str">
        <f aca="false">09_ガント元データ!B157</f>
        <v/>
      </c>
      <c r="C158" s="23" t="str">
        <f aca="false">09_ガント元データ!C157</f>
        <v/>
      </c>
      <c r="D158" s="24" t="str">
        <f aca="false">IF($A158="","",IF(AND(D$2&gt;=09_ガント元データ!$G157,D$2&lt;=09_ガント元データ!$H157),"■",""))</f>
        <v/>
      </c>
      <c r="E158" s="24" t="str">
        <f aca="false">IF($A158="","",IF(AND(E$2&gt;=09_ガント元データ!$G157,E$2&lt;=09_ガント元データ!$H157),"■",""))</f>
        <v/>
      </c>
      <c r="F158" s="24" t="str">
        <f aca="false">IF($A158="","",IF(AND(F$2&gt;=09_ガント元データ!$G157,F$2&lt;=09_ガント元データ!$H157),"■",""))</f>
        <v/>
      </c>
      <c r="G158" s="24" t="str">
        <f aca="false">IF($A158="","",IF(AND(G$2&gt;=09_ガント元データ!$G157,G$2&lt;=09_ガント元データ!$H157),"■",""))</f>
        <v/>
      </c>
      <c r="H158" s="24" t="str">
        <f aca="false">IF($A158="","",IF(AND(H$2&gt;=09_ガント元データ!$G157,H$2&lt;=09_ガント元データ!$H157),"■",""))</f>
        <v/>
      </c>
      <c r="I158" s="24" t="str">
        <f aca="false">IF($A158="","",IF(AND(I$2&gt;=09_ガント元データ!$G157,I$2&lt;=09_ガント元データ!$H157),"■",""))</f>
        <v/>
      </c>
      <c r="J158" s="24" t="str">
        <f aca="false">IF($A158="","",IF(AND(J$2&gt;=09_ガント元データ!$G157,J$2&lt;=09_ガント元データ!$H157),"■",""))</f>
        <v/>
      </c>
      <c r="K158" s="24" t="str">
        <f aca="false">IF($A158="","",IF(AND(K$2&gt;=09_ガント元データ!$G157,K$2&lt;=09_ガント元データ!$H157),"■",""))</f>
        <v/>
      </c>
      <c r="L158" s="24" t="str">
        <f aca="false">IF($A158="","",IF(AND(L$2&gt;=09_ガント元データ!$G157,L$2&lt;=09_ガント元データ!$H157),"■",""))</f>
        <v/>
      </c>
      <c r="M158" s="24" t="str">
        <f aca="false">IF($A158="","",IF(AND(M$2&gt;=09_ガント元データ!$G157,M$2&lt;=09_ガント元データ!$H157),"■",""))</f>
        <v/>
      </c>
      <c r="N158" s="24" t="str">
        <f aca="false">IF($A158="","",IF(AND(N$2&gt;=09_ガント元データ!$G157,N$2&lt;=09_ガント元データ!$H157),"■",""))</f>
        <v/>
      </c>
      <c r="O158" s="24" t="str">
        <f aca="false">IF($A158="","",IF(AND(O$2&gt;=09_ガント元データ!$G157,O$2&lt;=09_ガント元データ!$H157),"■",""))</f>
        <v/>
      </c>
      <c r="P158" s="24" t="str">
        <f aca="false">IF($A158="","",IF(AND(P$2&gt;=09_ガント元データ!$G157,P$2&lt;=09_ガント元データ!$H157),"■",""))</f>
        <v/>
      </c>
      <c r="Q158" s="24" t="str">
        <f aca="false">IF($A158="","",IF(AND(Q$2&gt;=09_ガント元データ!$G157,Q$2&lt;=09_ガント元データ!$H157),"■",""))</f>
        <v/>
      </c>
      <c r="R158" s="24" t="str">
        <f aca="false">IF($A158="","",IF(AND(R$2&gt;=09_ガント元データ!$G157,R$2&lt;=09_ガント元データ!$H157),"■",""))</f>
        <v/>
      </c>
      <c r="S158" s="24" t="str">
        <f aca="false">IF($A158="","",IF(AND(S$2&gt;=09_ガント元データ!$G157,S$2&lt;=09_ガント元データ!$H157),"■",""))</f>
        <v/>
      </c>
      <c r="T158" s="24" t="str">
        <f aca="false">IF($A158="","",IF(AND(T$2&gt;=09_ガント元データ!$G157,T$2&lt;=09_ガント元データ!$H157),"■",""))</f>
        <v/>
      </c>
      <c r="U158" s="24" t="str">
        <f aca="false">IF($A158="","",IF(AND(U$2&gt;=09_ガント元データ!$G157,U$2&lt;=09_ガント元データ!$H157),"■",""))</f>
        <v/>
      </c>
      <c r="V158" s="24" t="str">
        <f aca="false">IF($A158="","",IF(AND(V$2&gt;=09_ガント元データ!$G157,V$2&lt;=09_ガント元データ!$H157),"■",""))</f>
        <v/>
      </c>
      <c r="W158" s="24" t="str">
        <f aca="false">IF($A158="","",IF(AND(W$2&gt;=09_ガント元データ!$G157,W$2&lt;=09_ガント元データ!$H157),"■",""))</f>
        <v/>
      </c>
      <c r="X158" s="24" t="str">
        <f aca="false">IF($A158="","",IF(AND(X$2&gt;=09_ガント元データ!$G157,X$2&lt;=09_ガント元データ!$H157),"■",""))</f>
        <v/>
      </c>
      <c r="Y158" s="24" t="str">
        <f aca="false">IF($A158="","",IF(AND(Y$2&gt;=09_ガント元データ!$G157,Y$2&lt;=09_ガント元データ!$H157),"■",""))</f>
        <v/>
      </c>
      <c r="Z158" s="24" t="str">
        <f aca="false">IF($A158="","",IF(AND(Z$2&gt;=09_ガント元データ!$G157,Z$2&lt;=09_ガント元データ!$H157),"■",""))</f>
        <v/>
      </c>
      <c r="AA158" s="24" t="str">
        <f aca="false">IF($A158="","",IF(AND(AA$2&gt;=09_ガント元データ!$G157,AA$2&lt;=09_ガント元データ!$H157),"■",""))</f>
        <v/>
      </c>
      <c r="AB158" s="24" t="str">
        <f aca="false">IF($A158="","",IF(AND(AB$2&gt;=09_ガント元データ!$G157,AB$2&lt;=09_ガント元データ!$H157),"■",""))</f>
        <v/>
      </c>
      <c r="AC158" s="24" t="str">
        <f aca="false">IF($A158="","",IF(AND(AC$2&gt;=09_ガント元データ!$G157,AC$2&lt;=09_ガント元データ!$H157),"■",""))</f>
        <v/>
      </c>
      <c r="AD158" s="24" t="str">
        <f aca="false">IF($A158="","",IF(AND(AD$2&gt;=09_ガント元データ!$G157,AD$2&lt;=09_ガント元データ!$H157),"■",""))</f>
        <v/>
      </c>
      <c r="AE158" s="24" t="str">
        <f aca="false">IF($A158="","",IF(AND(AE$2&gt;=09_ガント元データ!$G157,AE$2&lt;=09_ガント元データ!$H157),"■",""))</f>
        <v/>
      </c>
      <c r="AF158" s="24" t="str">
        <f aca="false">IF($A158="","",IF(AND(AF$2&gt;=09_ガント元データ!$G157,AF$2&lt;=09_ガント元データ!$H157),"■",""))</f>
        <v/>
      </c>
      <c r="AG158" s="24" t="str">
        <f aca="false">IF($A158="","",IF(AND(AG$2&gt;=09_ガント元データ!$G157,AG$2&lt;=09_ガント元データ!$H157),"■",""))</f>
        <v/>
      </c>
      <c r="AH158" s="24" t="str">
        <f aca="false">IF($A158="","",IF(AND(AH$2&gt;=09_ガント元データ!$G157,AH$2&lt;=09_ガント元データ!$H157),"■",""))</f>
        <v/>
      </c>
      <c r="AI158" s="24" t="str">
        <f aca="false">IF($A158="","",IF(AND(AI$2&gt;=09_ガント元データ!$G157,AI$2&lt;=09_ガント元データ!$H157),"■",""))</f>
        <v/>
      </c>
      <c r="AJ158" s="24" t="str">
        <f aca="false">IF($A158="","",IF(AND(AJ$2&gt;=09_ガント元データ!$G157,AJ$2&lt;=09_ガント元データ!$H157),"■",""))</f>
        <v/>
      </c>
      <c r="AK158" s="24" t="str">
        <f aca="false">IF($A158="","",IF(AND(AK$2&gt;=09_ガント元データ!$G157,AK$2&lt;=09_ガント元データ!$H157),"■",""))</f>
        <v/>
      </c>
      <c r="AL158" s="24" t="str">
        <f aca="false">IF($A158="","",IF(AND(AL$2&gt;=09_ガント元データ!$G157,AL$2&lt;=09_ガント元データ!$H157),"■",""))</f>
        <v/>
      </c>
      <c r="AM158" s="24" t="str">
        <f aca="false">IF($A158="","",IF(AND(AM$2&gt;=09_ガント元データ!$G157,AM$2&lt;=09_ガント元データ!$H157),"■",""))</f>
        <v/>
      </c>
    </row>
    <row r="159" customFormat="false" ht="15" hidden="false" customHeight="false" outlineLevel="0" collapsed="false">
      <c r="A159" s="22" t="str">
        <f aca="false">09_ガント元データ!A158</f>
        <v/>
      </c>
      <c r="B159" s="22" t="str">
        <f aca="false">09_ガント元データ!B158</f>
        <v/>
      </c>
      <c r="C159" s="23" t="str">
        <f aca="false">09_ガント元データ!C158</f>
        <v/>
      </c>
      <c r="D159" s="24" t="str">
        <f aca="false">IF($A159="","",IF(AND(D$2&gt;=09_ガント元データ!$G158,D$2&lt;=09_ガント元データ!$H158),"■",""))</f>
        <v/>
      </c>
      <c r="E159" s="24" t="str">
        <f aca="false">IF($A159="","",IF(AND(E$2&gt;=09_ガント元データ!$G158,E$2&lt;=09_ガント元データ!$H158),"■",""))</f>
        <v/>
      </c>
      <c r="F159" s="24" t="str">
        <f aca="false">IF($A159="","",IF(AND(F$2&gt;=09_ガント元データ!$G158,F$2&lt;=09_ガント元データ!$H158),"■",""))</f>
        <v/>
      </c>
      <c r="G159" s="24" t="str">
        <f aca="false">IF($A159="","",IF(AND(G$2&gt;=09_ガント元データ!$G158,G$2&lt;=09_ガント元データ!$H158),"■",""))</f>
        <v/>
      </c>
      <c r="H159" s="24" t="str">
        <f aca="false">IF($A159="","",IF(AND(H$2&gt;=09_ガント元データ!$G158,H$2&lt;=09_ガント元データ!$H158),"■",""))</f>
        <v/>
      </c>
      <c r="I159" s="24" t="str">
        <f aca="false">IF($A159="","",IF(AND(I$2&gt;=09_ガント元データ!$G158,I$2&lt;=09_ガント元データ!$H158),"■",""))</f>
        <v/>
      </c>
      <c r="J159" s="24" t="str">
        <f aca="false">IF($A159="","",IF(AND(J$2&gt;=09_ガント元データ!$G158,J$2&lt;=09_ガント元データ!$H158),"■",""))</f>
        <v/>
      </c>
      <c r="K159" s="24" t="str">
        <f aca="false">IF($A159="","",IF(AND(K$2&gt;=09_ガント元データ!$G158,K$2&lt;=09_ガント元データ!$H158),"■",""))</f>
        <v/>
      </c>
      <c r="L159" s="24" t="str">
        <f aca="false">IF($A159="","",IF(AND(L$2&gt;=09_ガント元データ!$G158,L$2&lt;=09_ガント元データ!$H158),"■",""))</f>
        <v/>
      </c>
      <c r="M159" s="24" t="str">
        <f aca="false">IF($A159="","",IF(AND(M$2&gt;=09_ガント元データ!$G158,M$2&lt;=09_ガント元データ!$H158),"■",""))</f>
        <v/>
      </c>
      <c r="N159" s="24" t="str">
        <f aca="false">IF($A159="","",IF(AND(N$2&gt;=09_ガント元データ!$G158,N$2&lt;=09_ガント元データ!$H158),"■",""))</f>
        <v/>
      </c>
      <c r="O159" s="24" t="str">
        <f aca="false">IF($A159="","",IF(AND(O$2&gt;=09_ガント元データ!$G158,O$2&lt;=09_ガント元データ!$H158),"■",""))</f>
        <v/>
      </c>
      <c r="P159" s="24" t="str">
        <f aca="false">IF($A159="","",IF(AND(P$2&gt;=09_ガント元データ!$G158,P$2&lt;=09_ガント元データ!$H158),"■",""))</f>
        <v/>
      </c>
      <c r="Q159" s="24" t="str">
        <f aca="false">IF($A159="","",IF(AND(Q$2&gt;=09_ガント元データ!$G158,Q$2&lt;=09_ガント元データ!$H158),"■",""))</f>
        <v/>
      </c>
      <c r="R159" s="24" t="str">
        <f aca="false">IF($A159="","",IF(AND(R$2&gt;=09_ガント元データ!$G158,R$2&lt;=09_ガント元データ!$H158),"■",""))</f>
        <v/>
      </c>
      <c r="S159" s="24" t="str">
        <f aca="false">IF($A159="","",IF(AND(S$2&gt;=09_ガント元データ!$G158,S$2&lt;=09_ガント元データ!$H158),"■",""))</f>
        <v/>
      </c>
      <c r="T159" s="24" t="str">
        <f aca="false">IF($A159="","",IF(AND(T$2&gt;=09_ガント元データ!$G158,T$2&lt;=09_ガント元データ!$H158),"■",""))</f>
        <v/>
      </c>
      <c r="U159" s="24" t="str">
        <f aca="false">IF($A159="","",IF(AND(U$2&gt;=09_ガント元データ!$G158,U$2&lt;=09_ガント元データ!$H158),"■",""))</f>
        <v/>
      </c>
      <c r="V159" s="24" t="str">
        <f aca="false">IF($A159="","",IF(AND(V$2&gt;=09_ガント元データ!$G158,V$2&lt;=09_ガント元データ!$H158),"■",""))</f>
        <v/>
      </c>
      <c r="W159" s="24" t="str">
        <f aca="false">IF($A159="","",IF(AND(W$2&gt;=09_ガント元データ!$G158,W$2&lt;=09_ガント元データ!$H158),"■",""))</f>
        <v/>
      </c>
      <c r="X159" s="24" t="str">
        <f aca="false">IF($A159="","",IF(AND(X$2&gt;=09_ガント元データ!$G158,X$2&lt;=09_ガント元データ!$H158),"■",""))</f>
        <v/>
      </c>
      <c r="Y159" s="24" t="str">
        <f aca="false">IF($A159="","",IF(AND(Y$2&gt;=09_ガント元データ!$G158,Y$2&lt;=09_ガント元データ!$H158),"■",""))</f>
        <v/>
      </c>
      <c r="Z159" s="24" t="str">
        <f aca="false">IF($A159="","",IF(AND(Z$2&gt;=09_ガント元データ!$G158,Z$2&lt;=09_ガント元データ!$H158),"■",""))</f>
        <v/>
      </c>
      <c r="AA159" s="24" t="str">
        <f aca="false">IF($A159="","",IF(AND(AA$2&gt;=09_ガント元データ!$G158,AA$2&lt;=09_ガント元データ!$H158),"■",""))</f>
        <v/>
      </c>
      <c r="AB159" s="24" t="str">
        <f aca="false">IF($A159="","",IF(AND(AB$2&gt;=09_ガント元データ!$G158,AB$2&lt;=09_ガント元データ!$H158),"■",""))</f>
        <v/>
      </c>
      <c r="AC159" s="24" t="str">
        <f aca="false">IF($A159="","",IF(AND(AC$2&gt;=09_ガント元データ!$G158,AC$2&lt;=09_ガント元データ!$H158),"■",""))</f>
        <v/>
      </c>
      <c r="AD159" s="24" t="str">
        <f aca="false">IF($A159="","",IF(AND(AD$2&gt;=09_ガント元データ!$G158,AD$2&lt;=09_ガント元データ!$H158),"■",""))</f>
        <v/>
      </c>
      <c r="AE159" s="24" t="str">
        <f aca="false">IF($A159="","",IF(AND(AE$2&gt;=09_ガント元データ!$G158,AE$2&lt;=09_ガント元データ!$H158),"■",""))</f>
        <v/>
      </c>
      <c r="AF159" s="24" t="str">
        <f aca="false">IF($A159="","",IF(AND(AF$2&gt;=09_ガント元データ!$G158,AF$2&lt;=09_ガント元データ!$H158),"■",""))</f>
        <v/>
      </c>
      <c r="AG159" s="24" t="str">
        <f aca="false">IF($A159="","",IF(AND(AG$2&gt;=09_ガント元データ!$G158,AG$2&lt;=09_ガント元データ!$H158),"■",""))</f>
        <v/>
      </c>
      <c r="AH159" s="24" t="str">
        <f aca="false">IF($A159="","",IF(AND(AH$2&gt;=09_ガント元データ!$G158,AH$2&lt;=09_ガント元データ!$H158),"■",""))</f>
        <v/>
      </c>
      <c r="AI159" s="24" t="str">
        <f aca="false">IF($A159="","",IF(AND(AI$2&gt;=09_ガント元データ!$G158,AI$2&lt;=09_ガント元データ!$H158),"■",""))</f>
        <v/>
      </c>
      <c r="AJ159" s="24" t="str">
        <f aca="false">IF($A159="","",IF(AND(AJ$2&gt;=09_ガント元データ!$G158,AJ$2&lt;=09_ガント元データ!$H158),"■",""))</f>
        <v/>
      </c>
      <c r="AK159" s="24" t="str">
        <f aca="false">IF($A159="","",IF(AND(AK$2&gt;=09_ガント元データ!$G158,AK$2&lt;=09_ガント元データ!$H158),"■",""))</f>
        <v/>
      </c>
      <c r="AL159" s="24" t="str">
        <f aca="false">IF($A159="","",IF(AND(AL$2&gt;=09_ガント元データ!$G158,AL$2&lt;=09_ガント元データ!$H158),"■",""))</f>
        <v/>
      </c>
      <c r="AM159" s="24" t="str">
        <f aca="false">IF($A159="","",IF(AND(AM$2&gt;=09_ガント元データ!$G158,AM$2&lt;=09_ガント元データ!$H158),"■",""))</f>
        <v/>
      </c>
    </row>
    <row r="160" customFormat="false" ht="15" hidden="false" customHeight="false" outlineLevel="0" collapsed="false">
      <c r="A160" s="22" t="str">
        <f aca="false">09_ガント元データ!A159</f>
        <v/>
      </c>
      <c r="B160" s="22" t="str">
        <f aca="false">09_ガント元データ!B159</f>
        <v/>
      </c>
      <c r="C160" s="23" t="str">
        <f aca="false">09_ガント元データ!C159</f>
        <v/>
      </c>
      <c r="D160" s="24" t="str">
        <f aca="false">IF($A160="","",IF(AND(D$2&gt;=09_ガント元データ!$G159,D$2&lt;=09_ガント元データ!$H159),"■",""))</f>
        <v/>
      </c>
      <c r="E160" s="24" t="str">
        <f aca="false">IF($A160="","",IF(AND(E$2&gt;=09_ガント元データ!$G159,E$2&lt;=09_ガント元データ!$H159),"■",""))</f>
        <v/>
      </c>
      <c r="F160" s="24" t="str">
        <f aca="false">IF($A160="","",IF(AND(F$2&gt;=09_ガント元データ!$G159,F$2&lt;=09_ガント元データ!$H159),"■",""))</f>
        <v/>
      </c>
      <c r="G160" s="24" t="str">
        <f aca="false">IF($A160="","",IF(AND(G$2&gt;=09_ガント元データ!$G159,G$2&lt;=09_ガント元データ!$H159),"■",""))</f>
        <v/>
      </c>
      <c r="H160" s="24" t="str">
        <f aca="false">IF($A160="","",IF(AND(H$2&gt;=09_ガント元データ!$G159,H$2&lt;=09_ガント元データ!$H159),"■",""))</f>
        <v/>
      </c>
      <c r="I160" s="24" t="str">
        <f aca="false">IF($A160="","",IF(AND(I$2&gt;=09_ガント元データ!$G159,I$2&lt;=09_ガント元データ!$H159),"■",""))</f>
        <v/>
      </c>
      <c r="J160" s="24" t="str">
        <f aca="false">IF($A160="","",IF(AND(J$2&gt;=09_ガント元データ!$G159,J$2&lt;=09_ガント元データ!$H159),"■",""))</f>
        <v/>
      </c>
      <c r="K160" s="24" t="str">
        <f aca="false">IF($A160="","",IF(AND(K$2&gt;=09_ガント元データ!$G159,K$2&lt;=09_ガント元データ!$H159),"■",""))</f>
        <v/>
      </c>
      <c r="L160" s="24" t="str">
        <f aca="false">IF($A160="","",IF(AND(L$2&gt;=09_ガント元データ!$G159,L$2&lt;=09_ガント元データ!$H159),"■",""))</f>
        <v/>
      </c>
      <c r="M160" s="24" t="str">
        <f aca="false">IF($A160="","",IF(AND(M$2&gt;=09_ガント元データ!$G159,M$2&lt;=09_ガント元データ!$H159),"■",""))</f>
        <v/>
      </c>
      <c r="N160" s="24" t="str">
        <f aca="false">IF($A160="","",IF(AND(N$2&gt;=09_ガント元データ!$G159,N$2&lt;=09_ガント元データ!$H159),"■",""))</f>
        <v/>
      </c>
      <c r="O160" s="24" t="str">
        <f aca="false">IF($A160="","",IF(AND(O$2&gt;=09_ガント元データ!$G159,O$2&lt;=09_ガント元データ!$H159),"■",""))</f>
        <v/>
      </c>
      <c r="P160" s="24" t="str">
        <f aca="false">IF($A160="","",IF(AND(P$2&gt;=09_ガント元データ!$G159,P$2&lt;=09_ガント元データ!$H159),"■",""))</f>
        <v/>
      </c>
      <c r="Q160" s="24" t="str">
        <f aca="false">IF($A160="","",IF(AND(Q$2&gt;=09_ガント元データ!$G159,Q$2&lt;=09_ガント元データ!$H159),"■",""))</f>
        <v/>
      </c>
      <c r="R160" s="24" t="str">
        <f aca="false">IF($A160="","",IF(AND(R$2&gt;=09_ガント元データ!$G159,R$2&lt;=09_ガント元データ!$H159),"■",""))</f>
        <v/>
      </c>
      <c r="S160" s="24" t="str">
        <f aca="false">IF($A160="","",IF(AND(S$2&gt;=09_ガント元データ!$G159,S$2&lt;=09_ガント元データ!$H159),"■",""))</f>
        <v/>
      </c>
      <c r="T160" s="24" t="str">
        <f aca="false">IF($A160="","",IF(AND(T$2&gt;=09_ガント元データ!$G159,T$2&lt;=09_ガント元データ!$H159),"■",""))</f>
        <v/>
      </c>
      <c r="U160" s="24" t="str">
        <f aca="false">IF($A160="","",IF(AND(U$2&gt;=09_ガント元データ!$G159,U$2&lt;=09_ガント元データ!$H159),"■",""))</f>
        <v/>
      </c>
      <c r="V160" s="24" t="str">
        <f aca="false">IF($A160="","",IF(AND(V$2&gt;=09_ガント元データ!$G159,V$2&lt;=09_ガント元データ!$H159),"■",""))</f>
        <v/>
      </c>
      <c r="W160" s="24" t="str">
        <f aca="false">IF($A160="","",IF(AND(W$2&gt;=09_ガント元データ!$G159,W$2&lt;=09_ガント元データ!$H159),"■",""))</f>
        <v/>
      </c>
      <c r="X160" s="24" t="str">
        <f aca="false">IF($A160="","",IF(AND(X$2&gt;=09_ガント元データ!$G159,X$2&lt;=09_ガント元データ!$H159),"■",""))</f>
        <v/>
      </c>
      <c r="Y160" s="24" t="str">
        <f aca="false">IF($A160="","",IF(AND(Y$2&gt;=09_ガント元データ!$G159,Y$2&lt;=09_ガント元データ!$H159),"■",""))</f>
        <v/>
      </c>
      <c r="Z160" s="24" t="str">
        <f aca="false">IF($A160="","",IF(AND(Z$2&gt;=09_ガント元データ!$G159,Z$2&lt;=09_ガント元データ!$H159),"■",""))</f>
        <v/>
      </c>
      <c r="AA160" s="24" t="str">
        <f aca="false">IF($A160="","",IF(AND(AA$2&gt;=09_ガント元データ!$G159,AA$2&lt;=09_ガント元データ!$H159),"■",""))</f>
        <v/>
      </c>
      <c r="AB160" s="24" t="str">
        <f aca="false">IF($A160="","",IF(AND(AB$2&gt;=09_ガント元データ!$G159,AB$2&lt;=09_ガント元データ!$H159),"■",""))</f>
        <v/>
      </c>
      <c r="AC160" s="24" t="str">
        <f aca="false">IF($A160="","",IF(AND(AC$2&gt;=09_ガント元データ!$G159,AC$2&lt;=09_ガント元データ!$H159),"■",""))</f>
        <v/>
      </c>
      <c r="AD160" s="24" t="str">
        <f aca="false">IF($A160="","",IF(AND(AD$2&gt;=09_ガント元データ!$G159,AD$2&lt;=09_ガント元データ!$H159),"■",""))</f>
        <v/>
      </c>
      <c r="AE160" s="24" t="str">
        <f aca="false">IF($A160="","",IF(AND(AE$2&gt;=09_ガント元データ!$G159,AE$2&lt;=09_ガント元データ!$H159),"■",""))</f>
        <v/>
      </c>
      <c r="AF160" s="24" t="str">
        <f aca="false">IF($A160="","",IF(AND(AF$2&gt;=09_ガント元データ!$G159,AF$2&lt;=09_ガント元データ!$H159),"■",""))</f>
        <v/>
      </c>
      <c r="AG160" s="24" t="str">
        <f aca="false">IF($A160="","",IF(AND(AG$2&gt;=09_ガント元データ!$G159,AG$2&lt;=09_ガント元データ!$H159),"■",""))</f>
        <v/>
      </c>
      <c r="AH160" s="24" t="str">
        <f aca="false">IF($A160="","",IF(AND(AH$2&gt;=09_ガント元データ!$G159,AH$2&lt;=09_ガント元データ!$H159),"■",""))</f>
        <v/>
      </c>
      <c r="AI160" s="24" t="str">
        <f aca="false">IF($A160="","",IF(AND(AI$2&gt;=09_ガント元データ!$G159,AI$2&lt;=09_ガント元データ!$H159),"■",""))</f>
        <v/>
      </c>
      <c r="AJ160" s="24" t="str">
        <f aca="false">IF($A160="","",IF(AND(AJ$2&gt;=09_ガント元データ!$G159,AJ$2&lt;=09_ガント元データ!$H159),"■",""))</f>
        <v/>
      </c>
      <c r="AK160" s="24" t="str">
        <f aca="false">IF($A160="","",IF(AND(AK$2&gt;=09_ガント元データ!$G159,AK$2&lt;=09_ガント元データ!$H159),"■",""))</f>
        <v/>
      </c>
      <c r="AL160" s="24" t="str">
        <f aca="false">IF($A160="","",IF(AND(AL$2&gt;=09_ガント元データ!$G159,AL$2&lt;=09_ガント元データ!$H159),"■",""))</f>
        <v/>
      </c>
      <c r="AM160" s="24" t="str">
        <f aca="false">IF($A160="","",IF(AND(AM$2&gt;=09_ガント元データ!$G159,AM$2&lt;=09_ガント元データ!$H159),"■",""))</f>
        <v/>
      </c>
    </row>
    <row r="161" customFormat="false" ht="15" hidden="false" customHeight="false" outlineLevel="0" collapsed="false">
      <c r="A161" s="22" t="str">
        <f aca="false">09_ガント元データ!A160</f>
        <v/>
      </c>
      <c r="B161" s="22" t="str">
        <f aca="false">09_ガント元データ!B160</f>
        <v/>
      </c>
      <c r="C161" s="23" t="str">
        <f aca="false">09_ガント元データ!C160</f>
        <v/>
      </c>
      <c r="D161" s="24" t="str">
        <f aca="false">IF($A161="","",IF(AND(D$2&gt;=09_ガント元データ!$G160,D$2&lt;=09_ガント元データ!$H160),"■",""))</f>
        <v/>
      </c>
      <c r="E161" s="24" t="str">
        <f aca="false">IF($A161="","",IF(AND(E$2&gt;=09_ガント元データ!$G160,E$2&lt;=09_ガント元データ!$H160),"■",""))</f>
        <v/>
      </c>
      <c r="F161" s="24" t="str">
        <f aca="false">IF($A161="","",IF(AND(F$2&gt;=09_ガント元データ!$G160,F$2&lt;=09_ガント元データ!$H160),"■",""))</f>
        <v/>
      </c>
      <c r="G161" s="24" t="str">
        <f aca="false">IF($A161="","",IF(AND(G$2&gt;=09_ガント元データ!$G160,G$2&lt;=09_ガント元データ!$H160),"■",""))</f>
        <v/>
      </c>
      <c r="H161" s="24" t="str">
        <f aca="false">IF($A161="","",IF(AND(H$2&gt;=09_ガント元データ!$G160,H$2&lt;=09_ガント元データ!$H160),"■",""))</f>
        <v/>
      </c>
      <c r="I161" s="24" t="str">
        <f aca="false">IF($A161="","",IF(AND(I$2&gt;=09_ガント元データ!$G160,I$2&lt;=09_ガント元データ!$H160),"■",""))</f>
        <v/>
      </c>
      <c r="J161" s="24" t="str">
        <f aca="false">IF($A161="","",IF(AND(J$2&gt;=09_ガント元データ!$G160,J$2&lt;=09_ガント元データ!$H160),"■",""))</f>
        <v/>
      </c>
      <c r="K161" s="24" t="str">
        <f aca="false">IF($A161="","",IF(AND(K$2&gt;=09_ガント元データ!$G160,K$2&lt;=09_ガント元データ!$H160),"■",""))</f>
        <v/>
      </c>
      <c r="L161" s="24" t="str">
        <f aca="false">IF($A161="","",IF(AND(L$2&gt;=09_ガント元データ!$G160,L$2&lt;=09_ガント元データ!$H160),"■",""))</f>
        <v/>
      </c>
      <c r="M161" s="24" t="str">
        <f aca="false">IF($A161="","",IF(AND(M$2&gt;=09_ガント元データ!$G160,M$2&lt;=09_ガント元データ!$H160),"■",""))</f>
        <v/>
      </c>
      <c r="N161" s="24" t="str">
        <f aca="false">IF($A161="","",IF(AND(N$2&gt;=09_ガント元データ!$G160,N$2&lt;=09_ガント元データ!$H160),"■",""))</f>
        <v/>
      </c>
      <c r="O161" s="24" t="str">
        <f aca="false">IF($A161="","",IF(AND(O$2&gt;=09_ガント元データ!$G160,O$2&lt;=09_ガント元データ!$H160),"■",""))</f>
        <v/>
      </c>
      <c r="P161" s="24" t="str">
        <f aca="false">IF($A161="","",IF(AND(P$2&gt;=09_ガント元データ!$G160,P$2&lt;=09_ガント元データ!$H160),"■",""))</f>
        <v/>
      </c>
      <c r="Q161" s="24" t="str">
        <f aca="false">IF($A161="","",IF(AND(Q$2&gt;=09_ガント元データ!$G160,Q$2&lt;=09_ガント元データ!$H160),"■",""))</f>
        <v/>
      </c>
      <c r="R161" s="24" t="str">
        <f aca="false">IF($A161="","",IF(AND(R$2&gt;=09_ガント元データ!$G160,R$2&lt;=09_ガント元データ!$H160),"■",""))</f>
        <v/>
      </c>
      <c r="S161" s="24" t="str">
        <f aca="false">IF($A161="","",IF(AND(S$2&gt;=09_ガント元データ!$G160,S$2&lt;=09_ガント元データ!$H160),"■",""))</f>
        <v/>
      </c>
      <c r="T161" s="24" t="str">
        <f aca="false">IF($A161="","",IF(AND(T$2&gt;=09_ガント元データ!$G160,T$2&lt;=09_ガント元データ!$H160),"■",""))</f>
        <v/>
      </c>
      <c r="U161" s="24" t="str">
        <f aca="false">IF($A161="","",IF(AND(U$2&gt;=09_ガント元データ!$G160,U$2&lt;=09_ガント元データ!$H160),"■",""))</f>
        <v/>
      </c>
      <c r="V161" s="24" t="str">
        <f aca="false">IF($A161="","",IF(AND(V$2&gt;=09_ガント元データ!$G160,V$2&lt;=09_ガント元データ!$H160),"■",""))</f>
        <v/>
      </c>
      <c r="W161" s="24" t="str">
        <f aca="false">IF($A161="","",IF(AND(W$2&gt;=09_ガント元データ!$G160,W$2&lt;=09_ガント元データ!$H160),"■",""))</f>
        <v/>
      </c>
      <c r="X161" s="24" t="str">
        <f aca="false">IF($A161="","",IF(AND(X$2&gt;=09_ガント元データ!$G160,X$2&lt;=09_ガント元データ!$H160),"■",""))</f>
        <v/>
      </c>
      <c r="Y161" s="24" t="str">
        <f aca="false">IF($A161="","",IF(AND(Y$2&gt;=09_ガント元データ!$G160,Y$2&lt;=09_ガント元データ!$H160),"■",""))</f>
        <v/>
      </c>
      <c r="Z161" s="24" t="str">
        <f aca="false">IF($A161="","",IF(AND(Z$2&gt;=09_ガント元データ!$G160,Z$2&lt;=09_ガント元データ!$H160),"■",""))</f>
        <v/>
      </c>
      <c r="AA161" s="24" t="str">
        <f aca="false">IF($A161="","",IF(AND(AA$2&gt;=09_ガント元データ!$G160,AA$2&lt;=09_ガント元データ!$H160),"■",""))</f>
        <v/>
      </c>
      <c r="AB161" s="24" t="str">
        <f aca="false">IF($A161="","",IF(AND(AB$2&gt;=09_ガント元データ!$G160,AB$2&lt;=09_ガント元データ!$H160),"■",""))</f>
        <v/>
      </c>
      <c r="AC161" s="24" t="str">
        <f aca="false">IF($A161="","",IF(AND(AC$2&gt;=09_ガント元データ!$G160,AC$2&lt;=09_ガント元データ!$H160),"■",""))</f>
        <v/>
      </c>
      <c r="AD161" s="24" t="str">
        <f aca="false">IF($A161="","",IF(AND(AD$2&gt;=09_ガント元データ!$G160,AD$2&lt;=09_ガント元データ!$H160),"■",""))</f>
        <v/>
      </c>
      <c r="AE161" s="24" t="str">
        <f aca="false">IF($A161="","",IF(AND(AE$2&gt;=09_ガント元データ!$G160,AE$2&lt;=09_ガント元データ!$H160),"■",""))</f>
        <v/>
      </c>
      <c r="AF161" s="24" t="str">
        <f aca="false">IF($A161="","",IF(AND(AF$2&gt;=09_ガント元データ!$G160,AF$2&lt;=09_ガント元データ!$H160),"■",""))</f>
        <v/>
      </c>
      <c r="AG161" s="24" t="str">
        <f aca="false">IF($A161="","",IF(AND(AG$2&gt;=09_ガント元データ!$G160,AG$2&lt;=09_ガント元データ!$H160),"■",""))</f>
        <v/>
      </c>
      <c r="AH161" s="24" t="str">
        <f aca="false">IF($A161="","",IF(AND(AH$2&gt;=09_ガント元データ!$G160,AH$2&lt;=09_ガント元データ!$H160),"■",""))</f>
        <v/>
      </c>
      <c r="AI161" s="24" t="str">
        <f aca="false">IF($A161="","",IF(AND(AI$2&gt;=09_ガント元データ!$G160,AI$2&lt;=09_ガント元データ!$H160),"■",""))</f>
        <v/>
      </c>
      <c r="AJ161" s="24" t="str">
        <f aca="false">IF($A161="","",IF(AND(AJ$2&gt;=09_ガント元データ!$G160,AJ$2&lt;=09_ガント元データ!$H160),"■",""))</f>
        <v/>
      </c>
      <c r="AK161" s="24" t="str">
        <f aca="false">IF($A161="","",IF(AND(AK$2&gt;=09_ガント元データ!$G160,AK$2&lt;=09_ガント元データ!$H160),"■",""))</f>
        <v/>
      </c>
      <c r="AL161" s="24" t="str">
        <f aca="false">IF($A161="","",IF(AND(AL$2&gt;=09_ガント元データ!$G160,AL$2&lt;=09_ガント元データ!$H160),"■",""))</f>
        <v/>
      </c>
      <c r="AM161" s="24" t="str">
        <f aca="false">IF($A161="","",IF(AND(AM$2&gt;=09_ガント元データ!$G160,AM$2&lt;=09_ガント元データ!$H160),"■",""))</f>
        <v/>
      </c>
    </row>
    <row r="162" customFormat="false" ht="15" hidden="false" customHeight="false" outlineLevel="0" collapsed="false">
      <c r="A162" s="22" t="str">
        <f aca="false">09_ガント元データ!A161</f>
        <v/>
      </c>
      <c r="B162" s="22" t="str">
        <f aca="false">09_ガント元データ!B161</f>
        <v/>
      </c>
      <c r="C162" s="23" t="str">
        <f aca="false">09_ガント元データ!C161</f>
        <v/>
      </c>
      <c r="D162" s="24" t="str">
        <f aca="false">IF($A162="","",IF(AND(D$2&gt;=09_ガント元データ!$G161,D$2&lt;=09_ガント元データ!$H161),"■",""))</f>
        <v/>
      </c>
      <c r="E162" s="24" t="str">
        <f aca="false">IF($A162="","",IF(AND(E$2&gt;=09_ガント元データ!$G161,E$2&lt;=09_ガント元データ!$H161),"■",""))</f>
        <v/>
      </c>
      <c r="F162" s="24" t="str">
        <f aca="false">IF($A162="","",IF(AND(F$2&gt;=09_ガント元データ!$G161,F$2&lt;=09_ガント元データ!$H161),"■",""))</f>
        <v/>
      </c>
      <c r="G162" s="24" t="str">
        <f aca="false">IF($A162="","",IF(AND(G$2&gt;=09_ガント元データ!$G161,G$2&lt;=09_ガント元データ!$H161),"■",""))</f>
        <v/>
      </c>
      <c r="H162" s="24" t="str">
        <f aca="false">IF($A162="","",IF(AND(H$2&gt;=09_ガント元データ!$G161,H$2&lt;=09_ガント元データ!$H161),"■",""))</f>
        <v/>
      </c>
      <c r="I162" s="24" t="str">
        <f aca="false">IF($A162="","",IF(AND(I$2&gt;=09_ガント元データ!$G161,I$2&lt;=09_ガント元データ!$H161),"■",""))</f>
        <v/>
      </c>
      <c r="J162" s="24" t="str">
        <f aca="false">IF($A162="","",IF(AND(J$2&gt;=09_ガント元データ!$G161,J$2&lt;=09_ガント元データ!$H161),"■",""))</f>
        <v/>
      </c>
      <c r="K162" s="24" t="str">
        <f aca="false">IF($A162="","",IF(AND(K$2&gt;=09_ガント元データ!$G161,K$2&lt;=09_ガント元データ!$H161),"■",""))</f>
        <v/>
      </c>
      <c r="L162" s="24" t="str">
        <f aca="false">IF($A162="","",IF(AND(L$2&gt;=09_ガント元データ!$G161,L$2&lt;=09_ガント元データ!$H161),"■",""))</f>
        <v/>
      </c>
      <c r="M162" s="24" t="str">
        <f aca="false">IF($A162="","",IF(AND(M$2&gt;=09_ガント元データ!$G161,M$2&lt;=09_ガント元データ!$H161),"■",""))</f>
        <v/>
      </c>
      <c r="N162" s="24" t="str">
        <f aca="false">IF($A162="","",IF(AND(N$2&gt;=09_ガント元データ!$G161,N$2&lt;=09_ガント元データ!$H161),"■",""))</f>
        <v/>
      </c>
      <c r="O162" s="24" t="str">
        <f aca="false">IF($A162="","",IF(AND(O$2&gt;=09_ガント元データ!$G161,O$2&lt;=09_ガント元データ!$H161),"■",""))</f>
        <v/>
      </c>
      <c r="P162" s="24" t="str">
        <f aca="false">IF($A162="","",IF(AND(P$2&gt;=09_ガント元データ!$G161,P$2&lt;=09_ガント元データ!$H161),"■",""))</f>
        <v/>
      </c>
      <c r="Q162" s="24" t="str">
        <f aca="false">IF($A162="","",IF(AND(Q$2&gt;=09_ガント元データ!$G161,Q$2&lt;=09_ガント元データ!$H161),"■",""))</f>
        <v/>
      </c>
      <c r="R162" s="24" t="str">
        <f aca="false">IF($A162="","",IF(AND(R$2&gt;=09_ガント元データ!$G161,R$2&lt;=09_ガント元データ!$H161),"■",""))</f>
        <v/>
      </c>
      <c r="S162" s="24" t="str">
        <f aca="false">IF($A162="","",IF(AND(S$2&gt;=09_ガント元データ!$G161,S$2&lt;=09_ガント元データ!$H161),"■",""))</f>
        <v/>
      </c>
      <c r="T162" s="24" t="str">
        <f aca="false">IF($A162="","",IF(AND(T$2&gt;=09_ガント元データ!$G161,T$2&lt;=09_ガント元データ!$H161),"■",""))</f>
        <v/>
      </c>
      <c r="U162" s="24" t="str">
        <f aca="false">IF($A162="","",IF(AND(U$2&gt;=09_ガント元データ!$G161,U$2&lt;=09_ガント元データ!$H161),"■",""))</f>
        <v/>
      </c>
      <c r="V162" s="24" t="str">
        <f aca="false">IF($A162="","",IF(AND(V$2&gt;=09_ガント元データ!$G161,V$2&lt;=09_ガント元データ!$H161),"■",""))</f>
        <v/>
      </c>
      <c r="W162" s="24" t="str">
        <f aca="false">IF($A162="","",IF(AND(W$2&gt;=09_ガント元データ!$G161,W$2&lt;=09_ガント元データ!$H161),"■",""))</f>
        <v/>
      </c>
      <c r="X162" s="24" t="str">
        <f aca="false">IF($A162="","",IF(AND(X$2&gt;=09_ガント元データ!$G161,X$2&lt;=09_ガント元データ!$H161),"■",""))</f>
        <v/>
      </c>
      <c r="Y162" s="24" t="str">
        <f aca="false">IF($A162="","",IF(AND(Y$2&gt;=09_ガント元データ!$G161,Y$2&lt;=09_ガント元データ!$H161),"■",""))</f>
        <v/>
      </c>
      <c r="Z162" s="24" t="str">
        <f aca="false">IF($A162="","",IF(AND(Z$2&gt;=09_ガント元データ!$G161,Z$2&lt;=09_ガント元データ!$H161),"■",""))</f>
        <v/>
      </c>
      <c r="AA162" s="24" t="str">
        <f aca="false">IF($A162="","",IF(AND(AA$2&gt;=09_ガント元データ!$G161,AA$2&lt;=09_ガント元データ!$H161),"■",""))</f>
        <v/>
      </c>
      <c r="AB162" s="24" t="str">
        <f aca="false">IF($A162="","",IF(AND(AB$2&gt;=09_ガント元データ!$G161,AB$2&lt;=09_ガント元データ!$H161),"■",""))</f>
        <v/>
      </c>
      <c r="AC162" s="24" t="str">
        <f aca="false">IF($A162="","",IF(AND(AC$2&gt;=09_ガント元データ!$G161,AC$2&lt;=09_ガント元データ!$H161),"■",""))</f>
        <v/>
      </c>
      <c r="AD162" s="24" t="str">
        <f aca="false">IF($A162="","",IF(AND(AD$2&gt;=09_ガント元データ!$G161,AD$2&lt;=09_ガント元データ!$H161),"■",""))</f>
        <v/>
      </c>
      <c r="AE162" s="24" t="str">
        <f aca="false">IF($A162="","",IF(AND(AE$2&gt;=09_ガント元データ!$G161,AE$2&lt;=09_ガント元データ!$H161),"■",""))</f>
        <v/>
      </c>
      <c r="AF162" s="24" t="str">
        <f aca="false">IF($A162="","",IF(AND(AF$2&gt;=09_ガント元データ!$G161,AF$2&lt;=09_ガント元データ!$H161),"■",""))</f>
        <v/>
      </c>
      <c r="AG162" s="24" t="str">
        <f aca="false">IF($A162="","",IF(AND(AG$2&gt;=09_ガント元データ!$G161,AG$2&lt;=09_ガント元データ!$H161),"■",""))</f>
        <v/>
      </c>
      <c r="AH162" s="24" t="str">
        <f aca="false">IF($A162="","",IF(AND(AH$2&gt;=09_ガント元データ!$G161,AH$2&lt;=09_ガント元データ!$H161),"■",""))</f>
        <v/>
      </c>
      <c r="AI162" s="24" t="str">
        <f aca="false">IF($A162="","",IF(AND(AI$2&gt;=09_ガント元データ!$G161,AI$2&lt;=09_ガント元データ!$H161),"■",""))</f>
        <v/>
      </c>
      <c r="AJ162" s="24" t="str">
        <f aca="false">IF($A162="","",IF(AND(AJ$2&gt;=09_ガント元データ!$G161,AJ$2&lt;=09_ガント元データ!$H161),"■",""))</f>
        <v/>
      </c>
      <c r="AK162" s="24" t="str">
        <f aca="false">IF($A162="","",IF(AND(AK$2&gt;=09_ガント元データ!$G161,AK$2&lt;=09_ガント元データ!$H161),"■",""))</f>
        <v/>
      </c>
      <c r="AL162" s="24" t="str">
        <f aca="false">IF($A162="","",IF(AND(AL$2&gt;=09_ガント元データ!$G161,AL$2&lt;=09_ガント元データ!$H161),"■",""))</f>
        <v/>
      </c>
      <c r="AM162" s="24" t="str">
        <f aca="false">IF($A162="","",IF(AND(AM$2&gt;=09_ガント元データ!$G161,AM$2&lt;=09_ガント元データ!$H161),"■",""))</f>
        <v/>
      </c>
    </row>
    <row r="163" customFormat="false" ht="15" hidden="false" customHeight="false" outlineLevel="0" collapsed="false">
      <c r="A163" s="22" t="str">
        <f aca="false">09_ガント元データ!A162</f>
        <v/>
      </c>
      <c r="B163" s="22" t="str">
        <f aca="false">09_ガント元データ!B162</f>
        <v/>
      </c>
      <c r="C163" s="23" t="str">
        <f aca="false">09_ガント元データ!C162</f>
        <v/>
      </c>
      <c r="D163" s="24" t="str">
        <f aca="false">IF($A163="","",IF(AND(D$2&gt;=09_ガント元データ!$G162,D$2&lt;=09_ガント元データ!$H162),"■",""))</f>
        <v/>
      </c>
      <c r="E163" s="24" t="str">
        <f aca="false">IF($A163="","",IF(AND(E$2&gt;=09_ガント元データ!$G162,E$2&lt;=09_ガント元データ!$H162),"■",""))</f>
        <v/>
      </c>
      <c r="F163" s="24" t="str">
        <f aca="false">IF($A163="","",IF(AND(F$2&gt;=09_ガント元データ!$G162,F$2&lt;=09_ガント元データ!$H162),"■",""))</f>
        <v/>
      </c>
      <c r="G163" s="24" t="str">
        <f aca="false">IF($A163="","",IF(AND(G$2&gt;=09_ガント元データ!$G162,G$2&lt;=09_ガント元データ!$H162),"■",""))</f>
        <v/>
      </c>
      <c r="H163" s="24" t="str">
        <f aca="false">IF($A163="","",IF(AND(H$2&gt;=09_ガント元データ!$G162,H$2&lt;=09_ガント元データ!$H162),"■",""))</f>
        <v/>
      </c>
      <c r="I163" s="24" t="str">
        <f aca="false">IF($A163="","",IF(AND(I$2&gt;=09_ガント元データ!$G162,I$2&lt;=09_ガント元データ!$H162),"■",""))</f>
        <v/>
      </c>
      <c r="J163" s="24" t="str">
        <f aca="false">IF($A163="","",IF(AND(J$2&gt;=09_ガント元データ!$G162,J$2&lt;=09_ガント元データ!$H162),"■",""))</f>
        <v/>
      </c>
      <c r="K163" s="24" t="str">
        <f aca="false">IF($A163="","",IF(AND(K$2&gt;=09_ガント元データ!$G162,K$2&lt;=09_ガント元データ!$H162),"■",""))</f>
        <v/>
      </c>
      <c r="L163" s="24" t="str">
        <f aca="false">IF($A163="","",IF(AND(L$2&gt;=09_ガント元データ!$G162,L$2&lt;=09_ガント元データ!$H162),"■",""))</f>
        <v/>
      </c>
      <c r="M163" s="24" t="str">
        <f aca="false">IF($A163="","",IF(AND(M$2&gt;=09_ガント元データ!$G162,M$2&lt;=09_ガント元データ!$H162),"■",""))</f>
        <v/>
      </c>
      <c r="N163" s="24" t="str">
        <f aca="false">IF($A163="","",IF(AND(N$2&gt;=09_ガント元データ!$G162,N$2&lt;=09_ガント元データ!$H162),"■",""))</f>
        <v/>
      </c>
      <c r="O163" s="24" t="str">
        <f aca="false">IF($A163="","",IF(AND(O$2&gt;=09_ガント元データ!$G162,O$2&lt;=09_ガント元データ!$H162),"■",""))</f>
        <v/>
      </c>
      <c r="P163" s="24" t="str">
        <f aca="false">IF($A163="","",IF(AND(P$2&gt;=09_ガント元データ!$G162,P$2&lt;=09_ガント元データ!$H162),"■",""))</f>
        <v/>
      </c>
      <c r="Q163" s="24" t="str">
        <f aca="false">IF($A163="","",IF(AND(Q$2&gt;=09_ガント元データ!$G162,Q$2&lt;=09_ガント元データ!$H162),"■",""))</f>
        <v/>
      </c>
      <c r="R163" s="24" t="str">
        <f aca="false">IF($A163="","",IF(AND(R$2&gt;=09_ガント元データ!$G162,R$2&lt;=09_ガント元データ!$H162),"■",""))</f>
        <v/>
      </c>
      <c r="S163" s="24" t="str">
        <f aca="false">IF($A163="","",IF(AND(S$2&gt;=09_ガント元データ!$G162,S$2&lt;=09_ガント元データ!$H162),"■",""))</f>
        <v/>
      </c>
      <c r="T163" s="24" t="str">
        <f aca="false">IF($A163="","",IF(AND(T$2&gt;=09_ガント元データ!$G162,T$2&lt;=09_ガント元データ!$H162),"■",""))</f>
        <v/>
      </c>
      <c r="U163" s="24" t="str">
        <f aca="false">IF($A163="","",IF(AND(U$2&gt;=09_ガント元データ!$G162,U$2&lt;=09_ガント元データ!$H162),"■",""))</f>
        <v/>
      </c>
      <c r="V163" s="24" t="str">
        <f aca="false">IF($A163="","",IF(AND(V$2&gt;=09_ガント元データ!$G162,V$2&lt;=09_ガント元データ!$H162),"■",""))</f>
        <v/>
      </c>
      <c r="W163" s="24" t="str">
        <f aca="false">IF($A163="","",IF(AND(W$2&gt;=09_ガント元データ!$G162,W$2&lt;=09_ガント元データ!$H162),"■",""))</f>
        <v/>
      </c>
      <c r="X163" s="24" t="str">
        <f aca="false">IF($A163="","",IF(AND(X$2&gt;=09_ガント元データ!$G162,X$2&lt;=09_ガント元データ!$H162),"■",""))</f>
        <v/>
      </c>
      <c r="Y163" s="24" t="str">
        <f aca="false">IF($A163="","",IF(AND(Y$2&gt;=09_ガント元データ!$G162,Y$2&lt;=09_ガント元データ!$H162),"■",""))</f>
        <v/>
      </c>
      <c r="Z163" s="24" t="str">
        <f aca="false">IF($A163="","",IF(AND(Z$2&gt;=09_ガント元データ!$G162,Z$2&lt;=09_ガント元データ!$H162),"■",""))</f>
        <v/>
      </c>
      <c r="AA163" s="24" t="str">
        <f aca="false">IF($A163="","",IF(AND(AA$2&gt;=09_ガント元データ!$G162,AA$2&lt;=09_ガント元データ!$H162),"■",""))</f>
        <v/>
      </c>
      <c r="AB163" s="24" t="str">
        <f aca="false">IF($A163="","",IF(AND(AB$2&gt;=09_ガント元データ!$G162,AB$2&lt;=09_ガント元データ!$H162),"■",""))</f>
        <v/>
      </c>
      <c r="AC163" s="24" t="str">
        <f aca="false">IF($A163="","",IF(AND(AC$2&gt;=09_ガント元データ!$G162,AC$2&lt;=09_ガント元データ!$H162),"■",""))</f>
        <v/>
      </c>
      <c r="AD163" s="24" t="str">
        <f aca="false">IF($A163="","",IF(AND(AD$2&gt;=09_ガント元データ!$G162,AD$2&lt;=09_ガント元データ!$H162),"■",""))</f>
        <v/>
      </c>
      <c r="AE163" s="24" t="str">
        <f aca="false">IF($A163="","",IF(AND(AE$2&gt;=09_ガント元データ!$G162,AE$2&lt;=09_ガント元データ!$H162),"■",""))</f>
        <v/>
      </c>
      <c r="AF163" s="24" t="str">
        <f aca="false">IF($A163="","",IF(AND(AF$2&gt;=09_ガント元データ!$G162,AF$2&lt;=09_ガント元データ!$H162),"■",""))</f>
        <v/>
      </c>
      <c r="AG163" s="24" t="str">
        <f aca="false">IF($A163="","",IF(AND(AG$2&gt;=09_ガント元データ!$G162,AG$2&lt;=09_ガント元データ!$H162),"■",""))</f>
        <v/>
      </c>
      <c r="AH163" s="24" t="str">
        <f aca="false">IF($A163="","",IF(AND(AH$2&gt;=09_ガント元データ!$G162,AH$2&lt;=09_ガント元データ!$H162),"■",""))</f>
        <v/>
      </c>
      <c r="AI163" s="24" t="str">
        <f aca="false">IF($A163="","",IF(AND(AI$2&gt;=09_ガント元データ!$G162,AI$2&lt;=09_ガント元データ!$H162),"■",""))</f>
        <v/>
      </c>
      <c r="AJ163" s="24" t="str">
        <f aca="false">IF($A163="","",IF(AND(AJ$2&gt;=09_ガント元データ!$G162,AJ$2&lt;=09_ガント元データ!$H162),"■",""))</f>
        <v/>
      </c>
      <c r="AK163" s="24" t="str">
        <f aca="false">IF($A163="","",IF(AND(AK$2&gt;=09_ガント元データ!$G162,AK$2&lt;=09_ガント元データ!$H162),"■",""))</f>
        <v/>
      </c>
      <c r="AL163" s="24" t="str">
        <f aca="false">IF($A163="","",IF(AND(AL$2&gt;=09_ガント元データ!$G162,AL$2&lt;=09_ガント元データ!$H162),"■",""))</f>
        <v/>
      </c>
      <c r="AM163" s="24" t="str">
        <f aca="false">IF($A163="","",IF(AND(AM$2&gt;=09_ガント元データ!$G162,AM$2&lt;=09_ガント元データ!$H162),"■",""))</f>
        <v/>
      </c>
    </row>
    <row r="164" customFormat="false" ht="15" hidden="false" customHeight="false" outlineLevel="0" collapsed="false">
      <c r="A164" s="22" t="str">
        <f aca="false">09_ガント元データ!A163</f>
        <v/>
      </c>
      <c r="B164" s="22" t="str">
        <f aca="false">09_ガント元データ!B163</f>
        <v/>
      </c>
      <c r="C164" s="23" t="str">
        <f aca="false">09_ガント元データ!C163</f>
        <v/>
      </c>
      <c r="D164" s="24" t="str">
        <f aca="false">IF($A164="","",IF(AND(D$2&gt;=09_ガント元データ!$G163,D$2&lt;=09_ガント元データ!$H163),"■",""))</f>
        <v/>
      </c>
      <c r="E164" s="24" t="str">
        <f aca="false">IF($A164="","",IF(AND(E$2&gt;=09_ガント元データ!$G163,E$2&lt;=09_ガント元データ!$H163),"■",""))</f>
        <v/>
      </c>
      <c r="F164" s="24" t="str">
        <f aca="false">IF($A164="","",IF(AND(F$2&gt;=09_ガント元データ!$G163,F$2&lt;=09_ガント元データ!$H163),"■",""))</f>
        <v/>
      </c>
      <c r="G164" s="24" t="str">
        <f aca="false">IF($A164="","",IF(AND(G$2&gt;=09_ガント元データ!$G163,G$2&lt;=09_ガント元データ!$H163),"■",""))</f>
        <v/>
      </c>
      <c r="H164" s="24" t="str">
        <f aca="false">IF($A164="","",IF(AND(H$2&gt;=09_ガント元データ!$G163,H$2&lt;=09_ガント元データ!$H163),"■",""))</f>
        <v/>
      </c>
      <c r="I164" s="24" t="str">
        <f aca="false">IF($A164="","",IF(AND(I$2&gt;=09_ガント元データ!$G163,I$2&lt;=09_ガント元データ!$H163),"■",""))</f>
        <v/>
      </c>
      <c r="J164" s="24" t="str">
        <f aca="false">IF($A164="","",IF(AND(J$2&gt;=09_ガント元データ!$G163,J$2&lt;=09_ガント元データ!$H163),"■",""))</f>
        <v/>
      </c>
      <c r="K164" s="24" t="str">
        <f aca="false">IF($A164="","",IF(AND(K$2&gt;=09_ガント元データ!$G163,K$2&lt;=09_ガント元データ!$H163),"■",""))</f>
        <v/>
      </c>
      <c r="L164" s="24" t="str">
        <f aca="false">IF($A164="","",IF(AND(L$2&gt;=09_ガント元データ!$G163,L$2&lt;=09_ガント元データ!$H163),"■",""))</f>
        <v/>
      </c>
      <c r="M164" s="24" t="str">
        <f aca="false">IF($A164="","",IF(AND(M$2&gt;=09_ガント元データ!$G163,M$2&lt;=09_ガント元データ!$H163),"■",""))</f>
        <v/>
      </c>
      <c r="N164" s="24" t="str">
        <f aca="false">IF($A164="","",IF(AND(N$2&gt;=09_ガント元データ!$G163,N$2&lt;=09_ガント元データ!$H163),"■",""))</f>
        <v/>
      </c>
      <c r="O164" s="24" t="str">
        <f aca="false">IF($A164="","",IF(AND(O$2&gt;=09_ガント元データ!$G163,O$2&lt;=09_ガント元データ!$H163),"■",""))</f>
        <v/>
      </c>
      <c r="P164" s="24" t="str">
        <f aca="false">IF($A164="","",IF(AND(P$2&gt;=09_ガント元データ!$G163,P$2&lt;=09_ガント元データ!$H163),"■",""))</f>
        <v/>
      </c>
      <c r="Q164" s="24" t="str">
        <f aca="false">IF($A164="","",IF(AND(Q$2&gt;=09_ガント元データ!$G163,Q$2&lt;=09_ガント元データ!$H163),"■",""))</f>
        <v/>
      </c>
      <c r="R164" s="24" t="str">
        <f aca="false">IF($A164="","",IF(AND(R$2&gt;=09_ガント元データ!$G163,R$2&lt;=09_ガント元データ!$H163),"■",""))</f>
        <v/>
      </c>
      <c r="S164" s="24" t="str">
        <f aca="false">IF($A164="","",IF(AND(S$2&gt;=09_ガント元データ!$G163,S$2&lt;=09_ガント元データ!$H163),"■",""))</f>
        <v/>
      </c>
      <c r="T164" s="24" t="str">
        <f aca="false">IF($A164="","",IF(AND(T$2&gt;=09_ガント元データ!$G163,T$2&lt;=09_ガント元データ!$H163),"■",""))</f>
        <v/>
      </c>
      <c r="U164" s="24" t="str">
        <f aca="false">IF($A164="","",IF(AND(U$2&gt;=09_ガント元データ!$G163,U$2&lt;=09_ガント元データ!$H163),"■",""))</f>
        <v/>
      </c>
      <c r="V164" s="24" t="str">
        <f aca="false">IF($A164="","",IF(AND(V$2&gt;=09_ガント元データ!$G163,V$2&lt;=09_ガント元データ!$H163),"■",""))</f>
        <v/>
      </c>
      <c r="W164" s="24" t="str">
        <f aca="false">IF($A164="","",IF(AND(W$2&gt;=09_ガント元データ!$G163,W$2&lt;=09_ガント元データ!$H163),"■",""))</f>
        <v/>
      </c>
      <c r="X164" s="24" t="str">
        <f aca="false">IF($A164="","",IF(AND(X$2&gt;=09_ガント元データ!$G163,X$2&lt;=09_ガント元データ!$H163),"■",""))</f>
        <v/>
      </c>
      <c r="Y164" s="24" t="str">
        <f aca="false">IF($A164="","",IF(AND(Y$2&gt;=09_ガント元データ!$G163,Y$2&lt;=09_ガント元データ!$H163),"■",""))</f>
        <v/>
      </c>
      <c r="Z164" s="24" t="str">
        <f aca="false">IF($A164="","",IF(AND(Z$2&gt;=09_ガント元データ!$G163,Z$2&lt;=09_ガント元データ!$H163),"■",""))</f>
        <v/>
      </c>
      <c r="AA164" s="24" t="str">
        <f aca="false">IF($A164="","",IF(AND(AA$2&gt;=09_ガント元データ!$G163,AA$2&lt;=09_ガント元データ!$H163),"■",""))</f>
        <v/>
      </c>
      <c r="AB164" s="24" t="str">
        <f aca="false">IF($A164="","",IF(AND(AB$2&gt;=09_ガント元データ!$G163,AB$2&lt;=09_ガント元データ!$H163),"■",""))</f>
        <v/>
      </c>
      <c r="AC164" s="24" t="str">
        <f aca="false">IF($A164="","",IF(AND(AC$2&gt;=09_ガント元データ!$G163,AC$2&lt;=09_ガント元データ!$H163),"■",""))</f>
        <v/>
      </c>
      <c r="AD164" s="24" t="str">
        <f aca="false">IF($A164="","",IF(AND(AD$2&gt;=09_ガント元データ!$G163,AD$2&lt;=09_ガント元データ!$H163),"■",""))</f>
        <v/>
      </c>
      <c r="AE164" s="24" t="str">
        <f aca="false">IF($A164="","",IF(AND(AE$2&gt;=09_ガント元データ!$G163,AE$2&lt;=09_ガント元データ!$H163),"■",""))</f>
        <v/>
      </c>
      <c r="AF164" s="24" t="str">
        <f aca="false">IF($A164="","",IF(AND(AF$2&gt;=09_ガント元データ!$G163,AF$2&lt;=09_ガント元データ!$H163),"■",""))</f>
        <v/>
      </c>
      <c r="AG164" s="24" t="str">
        <f aca="false">IF($A164="","",IF(AND(AG$2&gt;=09_ガント元データ!$G163,AG$2&lt;=09_ガント元データ!$H163),"■",""))</f>
        <v/>
      </c>
      <c r="AH164" s="24" t="str">
        <f aca="false">IF($A164="","",IF(AND(AH$2&gt;=09_ガント元データ!$G163,AH$2&lt;=09_ガント元データ!$H163),"■",""))</f>
        <v/>
      </c>
      <c r="AI164" s="24" t="str">
        <f aca="false">IF($A164="","",IF(AND(AI$2&gt;=09_ガント元データ!$G163,AI$2&lt;=09_ガント元データ!$H163),"■",""))</f>
        <v/>
      </c>
      <c r="AJ164" s="24" t="str">
        <f aca="false">IF($A164="","",IF(AND(AJ$2&gt;=09_ガント元データ!$G163,AJ$2&lt;=09_ガント元データ!$H163),"■",""))</f>
        <v/>
      </c>
      <c r="AK164" s="24" t="str">
        <f aca="false">IF($A164="","",IF(AND(AK$2&gt;=09_ガント元データ!$G163,AK$2&lt;=09_ガント元データ!$H163),"■",""))</f>
        <v/>
      </c>
      <c r="AL164" s="24" t="str">
        <f aca="false">IF($A164="","",IF(AND(AL$2&gt;=09_ガント元データ!$G163,AL$2&lt;=09_ガント元データ!$H163),"■",""))</f>
        <v/>
      </c>
      <c r="AM164" s="24" t="str">
        <f aca="false">IF($A164="","",IF(AND(AM$2&gt;=09_ガント元データ!$G163,AM$2&lt;=09_ガント元データ!$H163),"■",""))</f>
        <v/>
      </c>
    </row>
    <row r="165" customFormat="false" ht="15" hidden="false" customHeight="false" outlineLevel="0" collapsed="false">
      <c r="A165" s="22" t="str">
        <f aca="false">09_ガント元データ!A164</f>
        <v/>
      </c>
      <c r="B165" s="22" t="str">
        <f aca="false">09_ガント元データ!B164</f>
        <v/>
      </c>
      <c r="C165" s="23" t="str">
        <f aca="false">09_ガント元データ!C164</f>
        <v/>
      </c>
      <c r="D165" s="24" t="str">
        <f aca="false">IF($A165="","",IF(AND(D$2&gt;=09_ガント元データ!$G164,D$2&lt;=09_ガント元データ!$H164),"■",""))</f>
        <v/>
      </c>
      <c r="E165" s="24" t="str">
        <f aca="false">IF($A165="","",IF(AND(E$2&gt;=09_ガント元データ!$G164,E$2&lt;=09_ガント元データ!$H164),"■",""))</f>
        <v/>
      </c>
      <c r="F165" s="24" t="str">
        <f aca="false">IF($A165="","",IF(AND(F$2&gt;=09_ガント元データ!$G164,F$2&lt;=09_ガント元データ!$H164),"■",""))</f>
        <v/>
      </c>
      <c r="G165" s="24" t="str">
        <f aca="false">IF($A165="","",IF(AND(G$2&gt;=09_ガント元データ!$G164,G$2&lt;=09_ガント元データ!$H164),"■",""))</f>
        <v/>
      </c>
      <c r="H165" s="24" t="str">
        <f aca="false">IF($A165="","",IF(AND(H$2&gt;=09_ガント元データ!$G164,H$2&lt;=09_ガント元データ!$H164),"■",""))</f>
        <v/>
      </c>
      <c r="I165" s="24" t="str">
        <f aca="false">IF($A165="","",IF(AND(I$2&gt;=09_ガント元データ!$G164,I$2&lt;=09_ガント元データ!$H164),"■",""))</f>
        <v/>
      </c>
      <c r="J165" s="24" t="str">
        <f aca="false">IF($A165="","",IF(AND(J$2&gt;=09_ガント元データ!$G164,J$2&lt;=09_ガント元データ!$H164),"■",""))</f>
        <v/>
      </c>
      <c r="K165" s="24" t="str">
        <f aca="false">IF($A165="","",IF(AND(K$2&gt;=09_ガント元データ!$G164,K$2&lt;=09_ガント元データ!$H164),"■",""))</f>
        <v/>
      </c>
      <c r="L165" s="24" t="str">
        <f aca="false">IF($A165="","",IF(AND(L$2&gt;=09_ガント元データ!$G164,L$2&lt;=09_ガント元データ!$H164),"■",""))</f>
        <v/>
      </c>
      <c r="M165" s="24" t="str">
        <f aca="false">IF($A165="","",IF(AND(M$2&gt;=09_ガント元データ!$G164,M$2&lt;=09_ガント元データ!$H164),"■",""))</f>
        <v/>
      </c>
      <c r="N165" s="24" t="str">
        <f aca="false">IF($A165="","",IF(AND(N$2&gt;=09_ガント元データ!$G164,N$2&lt;=09_ガント元データ!$H164),"■",""))</f>
        <v/>
      </c>
      <c r="O165" s="24" t="str">
        <f aca="false">IF($A165="","",IF(AND(O$2&gt;=09_ガント元データ!$G164,O$2&lt;=09_ガント元データ!$H164),"■",""))</f>
        <v/>
      </c>
      <c r="P165" s="24" t="str">
        <f aca="false">IF($A165="","",IF(AND(P$2&gt;=09_ガント元データ!$G164,P$2&lt;=09_ガント元データ!$H164),"■",""))</f>
        <v/>
      </c>
      <c r="Q165" s="24" t="str">
        <f aca="false">IF($A165="","",IF(AND(Q$2&gt;=09_ガント元データ!$G164,Q$2&lt;=09_ガント元データ!$H164),"■",""))</f>
        <v/>
      </c>
      <c r="R165" s="24" t="str">
        <f aca="false">IF($A165="","",IF(AND(R$2&gt;=09_ガント元データ!$G164,R$2&lt;=09_ガント元データ!$H164),"■",""))</f>
        <v/>
      </c>
      <c r="S165" s="24" t="str">
        <f aca="false">IF($A165="","",IF(AND(S$2&gt;=09_ガント元データ!$G164,S$2&lt;=09_ガント元データ!$H164),"■",""))</f>
        <v/>
      </c>
      <c r="T165" s="24" t="str">
        <f aca="false">IF($A165="","",IF(AND(T$2&gt;=09_ガント元データ!$G164,T$2&lt;=09_ガント元データ!$H164),"■",""))</f>
        <v/>
      </c>
      <c r="U165" s="24" t="str">
        <f aca="false">IF($A165="","",IF(AND(U$2&gt;=09_ガント元データ!$G164,U$2&lt;=09_ガント元データ!$H164),"■",""))</f>
        <v/>
      </c>
      <c r="V165" s="24" t="str">
        <f aca="false">IF($A165="","",IF(AND(V$2&gt;=09_ガント元データ!$G164,V$2&lt;=09_ガント元データ!$H164),"■",""))</f>
        <v/>
      </c>
      <c r="W165" s="24" t="str">
        <f aca="false">IF($A165="","",IF(AND(W$2&gt;=09_ガント元データ!$G164,W$2&lt;=09_ガント元データ!$H164),"■",""))</f>
        <v/>
      </c>
      <c r="X165" s="24" t="str">
        <f aca="false">IF($A165="","",IF(AND(X$2&gt;=09_ガント元データ!$G164,X$2&lt;=09_ガント元データ!$H164),"■",""))</f>
        <v/>
      </c>
      <c r="Y165" s="24" t="str">
        <f aca="false">IF($A165="","",IF(AND(Y$2&gt;=09_ガント元データ!$G164,Y$2&lt;=09_ガント元データ!$H164),"■",""))</f>
        <v/>
      </c>
      <c r="Z165" s="24" t="str">
        <f aca="false">IF($A165="","",IF(AND(Z$2&gt;=09_ガント元データ!$G164,Z$2&lt;=09_ガント元データ!$H164),"■",""))</f>
        <v/>
      </c>
      <c r="AA165" s="24" t="str">
        <f aca="false">IF($A165="","",IF(AND(AA$2&gt;=09_ガント元データ!$G164,AA$2&lt;=09_ガント元データ!$H164),"■",""))</f>
        <v/>
      </c>
      <c r="AB165" s="24" t="str">
        <f aca="false">IF($A165="","",IF(AND(AB$2&gt;=09_ガント元データ!$G164,AB$2&lt;=09_ガント元データ!$H164),"■",""))</f>
        <v/>
      </c>
      <c r="AC165" s="24" t="str">
        <f aca="false">IF($A165="","",IF(AND(AC$2&gt;=09_ガント元データ!$G164,AC$2&lt;=09_ガント元データ!$H164),"■",""))</f>
        <v/>
      </c>
      <c r="AD165" s="24" t="str">
        <f aca="false">IF($A165="","",IF(AND(AD$2&gt;=09_ガント元データ!$G164,AD$2&lt;=09_ガント元データ!$H164),"■",""))</f>
        <v/>
      </c>
      <c r="AE165" s="24" t="str">
        <f aca="false">IF($A165="","",IF(AND(AE$2&gt;=09_ガント元データ!$G164,AE$2&lt;=09_ガント元データ!$H164),"■",""))</f>
        <v/>
      </c>
      <c r="AF165" s="24" t="str">
        <f aca="false">IF($A165="","",IF(AND(AF$2&gt;=09_ガント元データ!$G164,AF$2&lt;=09_ガント元データ!$H164),"■",""))</f>
        <v/>
      </c>
      <c r="AG165" s="24" t="str">
        <f aca="false">IF($A165="","",IF(AND(AG$2&gt;=09_ガント元データ!$G164,AG$2&lt;=09_ガント元データ!$H164),"■",""))</f>
        <v/>
      </c>
      <c r="AH165" s="24" t="str">
        <f aca="false">IF($A165="","",IF(AND(AH$2&gt;=09_ガント元データ!$G164,AH$2&lt;=09_ガント元データ!$H164),"■",""))</f>
        <v/>
      </c>
      <c r="AI165" s="24" t="str">
        <f aca="false">IF($A165="","",IF(AND(AI$2&gt;=09_ガント元データ!$G164,AI$2&lt;=09_ガント元データ!$H164),"■",""))</f>
        <v/>
      </c>
      <c r="AJ165" s="24" t="str">
        <f aca="false">IF($A165="","",IF(AND(AJ$2&gt;=09_ガント元データ!$G164,AJ$2&lt;=09_ガント元データ!$H164),"■",""))</f>
        <v/>
      </c>
      <c r="AK165" s="24" t="str">
        <f aca="false">IF($A165="","",IF(AND(AK$2&gt;=09_ガント元データ!$G164,AK$2&lt;=09_ガント元データ!$H164),"■",""))</f>
        <v/>
      </c>
      <c r="AL165" s="24" t="str">
        <f aca="false">IF($A165="","",IF(AND(AL$2&gt;=09_ガント元データ!$G164,AL$2&lt;=09_ガント元データ!$H164),"■",""))</f>
        <v/>
      </c>
      <c r="AM165" s="24" t="str">
        <f aca="false">IF($A165="","",IF(AND(AM$2&gt;=09_ガント元データ!$G164,AM$2&lt;=09_ガント元データ!$H164),"■",""))</f>
        <v/>
      </c>
    </row>
    <row r="166" customFormat="false" ht="15" hidden="false" customHeight="false" outlineLevel="0" collapsed="false">
      <c r="A166" s="22" t="str">
        <f aca="false">09_ガント元データ!A165</f>
        <v/>
      </c>
      <c r="B166" s="22" t="str">
        <f aca="false">09_ガント元データ!B165</f>
        <v/>
      </c>
      <c r="C166" s="23" t="str">
        <f aca="false">09_ガント元データ!C165</f>
        <v/>
      </c>
      <c r="D166" s="24" t="str">
        <f aca="false">IF($A166="","",IF(AND(D$2&gt;=09_ガント元データ!$G165,D$2&lt;=09_ガント元データ!$H165),"■",""))</f>
        <v/>
      </c>
      <c r="E166" s="24" t="str">
        <f aca="false">IF($A166="","",IF(AND(E$2&gt;=09_ガント元データ!$G165,E$2&lt;=09_ガント元データ!$H165),"■",""))</f>
        <v/>
      </c>
      <c r="F166" s="24" t="str">
        <f aca="false">IF($A166="","",IF(AND(F$2&gt;=09_ガント元データ!$G165,F$2&lt;=09_ガント元データ!$H165),"■",""))</f>
        <v/>
      </c>
      <c r="G166" s="24" t="str">
        <f aca="false">IF($A166="","",IF(AND(G$2&gt;=09_ガント元データ!$G165,G$2&lt;=09_ガント元データ!$H165),"■",""))</f>
        <v/>
      </c>
      <c r="H166" s="24" t="str">
        <f aca="false">IF($A166="","",IF(AND(H$2&gt;=09_ガント元データ!$G165,H$2&lt;=09_ガント元データ!$H165),"■",""))</f>
        <v/>
      </c>
      <c r="I166" s="24" t="str">
        <f aca="false">IF($A166="","",IF(AND(I$2&gt;=09_ガント元データ!$G165,I$2&lt;=09_ガント元データ!$H165),"■",""))</f>
        <v/>
      </c>
      <c r="J166" s="24" t="str">
        <f aca="false">IF($A166="","",IF(AND(J$2&gt;=09_ガント元データ!$G165,J$2&lt;=09_ガント元データ!$H165),"■",""))</f>
        <v/>
      </c>
      <c r="K166" s="24" t="str">
        <f aca="false">IF($A166="","",IF(AND(K$2&gt;=09_ガント元データ!$G165,K$2&lt;=09_ガント元データ!$H165),"■",""))</f>
        <v/>
      </c>
      <c r="L166" s="24" t="str">
        <f aca="false">IF($A166="","",IF(AND(L$2&gt;=09_ガント元データ!$G165,L$2&lt;=09_ガント元データ!$H165),"■",""))</f>
        <v/>
      </c>
      <c r="M166" s="24" t="str">
        <f aca="false">IF($A166="","",IF(AND(M$2&gt;=09_ガント元データ!$G165,M$2&lt;=09_ガント元データ!$H165),"■",""))</f>
        <v/>
      </c>
      <c r="N166" s="24" t="str">
        <f aca="false">IF($A166="","",IF(AND(N$2&gt;=09_ガント元データ!$G165,N$2&lt;=09_ガント元データ!$H165),"■",""))</f>
        <v/>
      </c>
      <c r="O166" s="24" t="str">
        <f aca="false">IF($A166="","",IF(AND(O$2&gt;=09_ガント元データ!$G165,O$2&lt;=09_ガント元データ!$H165),"■",""))</f>
        <v/>
      </c>
      <c r="P166" s="24" t="str">
        <f aca="false">IF($A166="","",IF(AND(P$2&gt;=09_ガント元データ!$G165,P$2&lt;=09_ガント元データ!$H165),"■",""))</f>
        <v/>
      </c>
      <c r="Q166" s="24" t="str">
        <f aca="false">IF($A166="","",IF(AND(Q$2&gt;=09_ガント元データ!$G165,Q$2&lt;=09_ガント元データ!$H165),"■",""))</f>
        <v/>
      </c>
      <c r="R166" s="24" t="str">
        <f aca="false">IF($A166="","",IF(AND(R$2&gt;=09_ガント元データ!$G165,R$2&lt;=09_ガント元データ!$H165),"■",""))</f>
        <v/>
      </c>
      <c r="S166" s="24" t="str">
        <f aca="false">IF($A166="","",IF(AND(S$2&gt;=09_ガント元データ!$G165,S$2&lt;=09_ガント元データ!$H165),"■",""))</f>
        <v/>
      </c>
      <c r="T166" s="24" t="str">
        <f aca="false">IF($A166="","",IF(AND(T$2&gt;=09_ガント元データ!$G165,T$2&lt;=09_ガント元データ!$H165),"■",""))</f>
        <v/>
      </c>
      <c r="U166" s="24" t="str">
        <f aca="false">IF($A166="","",IF(AND(U$2&gt;=09_ガント元データ!$G165,U$2&lt;=09_ガント元データ!$H165),"■",""))</f>
        <v/>
      </c>
      <c r="V166" s="24" t="str">
        <f aca="false">IF($A166="","",IF(AND(V$2&gt;=09_ガント元データ!$G165,V$2&lt;=09_ガント元データ!$H165),"■",""))</f>
        <v/>
      </c>
      <c r="W166" s="24" t="str">
        <f aca="false">IF($A166="","",IF(AND(W$2&gt;=09_ガント元データ!$G165,W$2&lt;=09_ガント元データ!$H165),"■",""))</f>
        <v/>
      </c>
      <c r="X166" s="24" t="str">
        <f aca="false">IF($A166="","",IF(AND(X$2&gt;=09_ガント元データ!$G165,X$2&lt;=09_ガント元データ!$H165),"■",""))</f>
        <v/>
      </c>
      <c r="Y166" s="24" t="str">
        <f aca="false">IF($A166="","",IF(AND(Y$2&gt;=09_ガント元データ!$G165,Y$2&lt;=09_ガント元データ!$H165),"■",""))</f>
        <v/>
      </c>
      <c r="Z166" s="24" t="str">
        <f aca="false">IF($A166="","",IF(AND(Z$2&gt;=09_ガント元データ!$G165,Z$2&lt;=09_ガント元データ!$H165),"■",""))</f>
        <v/>
      </c>
      <c r="AA166" s="24" t="str">
        <f aca="false">IF($A166="","",IF(AND(AA$2&gt;=09_ガント元データ!$G165,AA$2&lt;=09_ガント元データ!$H165),"■",""))</f>
        <v/>
      </c>
      <c r="AB166" s="24" t="str">
        <f aca="false">IF($A166="","",IF(AND(AB$2&gt;=09_ガント元データ!$G165,AB$2&lt;=09_ガント元データ!$H165),"■",""))</f>
        <v/>
      </c>
      <c r="AC166" s="24" t="str">
        <f aca="false">IF($A166="","",IF(AND(AC$2&gt;=09_ガント元データ!$G165,AC$2&lt;=09_ガント元データ!$H165),"■",""))</f>
        <v/>
      </c>
      <c r="AD166" s="24" t="str">
        <f aca="false">IF($A166="","",IF(AND(AD$2&gt;=09_ガント元データ!$G165,AD$2&lt;=09_ガント元データ!$H165),"■",""))</f>
        <v/>
      </c>
      <c r="AE166" s="24" t="str">
        <f aca="false">IF($A166="","",IF(AND(AE$2&gt;=09_ガント元データ!$G165,AE$2&lt;=09_ガント元データ!$H165),"■",""))</f>
        <v/>
      </c>
      <c r="AF166" s="24" t="str">
        <f aca="false">IF($A166="","",IF(AND(AF$2&gt;=09_ガント元データ!$G165,AF$2&lt;=09_ガント元データ!$H165),"■",""))</f>
        <v/>
      </c>
      <c r="AG166" s="24" t="str">
        <f aca="false">IF($A166="","",IF(AND(AG$2&gt;=09_ガント元データ!$G165,AG$2&lt;=09_ガント元データ!$H165),"■",""))</f>
        <v/>
      </c>
      <c r="AH166" s="24" t="str">
        <f aca="false">IF($A166="","",IF(AND(AH$2&gt;=09_ガント元データ!$G165,AH$2&lt;=09_ガント元データ!$H165),"■",""))</f>
        <v/>
      </c>
      <c r="AI166" s="24" t="str">
        <f aca="false">IF($A166="","",IF(AND(AI$2&gt;=09_ガント元データ!$G165,AI$2&lt;=09_ガント元データ!$H165),"■",""))</f>
        <v/>
      </c>
      <c r="AJ166" s="24" t="str">
        <f aca="false">IF($A166="","",IF(AND(AJ$2&gt;=09_ガント元データ!$G165,AJ$2&lt;=09_ガント元データ!$H165),"■",""))</f>
        <v/>
      </c>
      <c r="AK166" s="24" t="str">
        <f aca="false">IF($A166="","",IF(AND(AK$2&gt;=09_ガント元データ!$G165,AK$2&lt;=09_ガント元データ!$H165),"■",""))</f>
        <v/>
      </c>
      <c r="AL166" s="24" t="str">
        <f aca="false">IF($A166="","",IF(AND(AL$2&gt;=09_ガント元データ!$G165,AL$2&lt;=09_ガント元データ!$H165),"■",""))</f>
        <v/>
      </c>
      <c r="AM166" s="24" t="str">
        <f aca="false">IF($A166="","",IF(AND(AM$2&gt;=09_ガント元データ!$G165,AM$2&lt;=09_ガント元データ!$H165),"■",""))</f>
        <v/>
      </c>
    </row>
    <row r="167" customFormat="false" ht="15" hidden="false" customHeight="false" outlineLevel="0" collapsed="false">
      <c r="A167" s="22" t="str">
        <f aca="false">09_ガント元データ!A166</f>
        <v/>
      </c>
      <c r="B167" s="22" t="str">
        <f aca="false">09_ガント元データ!B166</f>
        <v/>
      </c>
      <c r="C167" s="23" t="str">
        <f aca="false">09_ガント元データ!C166</f>
        <v/>
      </c>
      <c r="D167" s="24" t="str">
        <f aca="false">IF($A167="","",IF(AND(D$2&gt;=09_ガント元データ!$G166,D$2&lt;=09_ガント元データ!$H166),"■",""))</f>
        <v/>
      </c>
      <c r="E167" s="24" t="str">
        <f aca="false">IF($A167="","",IF(AND(E$2&gt;=09_ガント元データ!$G166,E$2&lt;=09_ガント元データ!$H166),"■",""))</f>
        <v/>
      </c>
      <c r="F167" s="24" t="str">
        <f aca="false">IF($A167="","",IF(AND(F$2&gt;=09_ガント元データ!$G166,F$2&lt;=09_ガント元データ!$H166),"■",""))</f>
        <v/>
      </c>
      <c r="G167" s="24" t="str">
        <f aca="false">IF($A167="","",IF(AND(G$2&gt;=09_ガント元データ!$G166,G$2&lt;=09_ガント元データ!$H166),"■",""))</f>
        <v/>
      </c>
      <c r="H167" s="24" t="str">
        <f aca="false">IF($A167="","",IF(AND(H$2&gt;=09_ガント元データ!$G166,H$2&lt;=09_ガント元データ!$H166),"■",""))</f>
        <v/>
      </c>
      <c r="I167" s="24" t="str">
        <f aca="false">IF($A167="","",IF(AND(I$2&gt;=09_ガント元データ!$G166,I$2&lt;=09_ガント元データ!$H166),"■",""))</f>
        <v/>
      </c>
      <c r="J167" s="24" t="str">
        <f aca="false">IF($A167="","",IF(AND(J$2&gt;=09_ガント元データ!$G166,J$2&lt;=09_ガント元データ!$H166),"■",""))</f>
        <v/>
      </c>
      <c r="K167" s="24" t="str">
        <f aca="false">IF($A167="","",IF(AND(K$2&gt;=09_ガント元データ!$G166,K$2&lt;=09_ガント元データ!$H166),"■",""))</f>
        <v/>
      </c>
      <c r="L167" s="24" t="str">
        <f aca="false">IF($A167="","",IF(AND(L$2&gt;=09_ガント元データ!$G166,L$2&lt;=09_ガント元データ!$H166),"■",""))</f>
        <v/>
      </c>
      <c r="M167" s="24" t="str">
        <f aca="false">IF($A167="","",IF(AND(M$2&gt;=09_ガント元データ!$G166,M$2&lt;=09_ガント元データ!$H166),"■",""))</f>
        <v/>
      </c>
      <c r="N167" s="24" t="str">
        <f aca="false">IF($A167="","",IF(AND(N$2&gt;=09_ガント元データ!$G166,N$2&lt;=09_ガント元データ!$H166),"■",""))</f>
        <v/>
      </c>
      <c r="O167" s="24" t="str">
        <f aca="false">IF($A167="","",IF(AND(O$2&gt;=09_ガント元データ!$G166,O$2&lt;=09_ガント元データ!$H166),"■",""))</f>
        <v/>
      </c>
      <c r="P167" s="24" t="str">
        <f aca="false">IF($A167="","",IF(AND(P$2&gt;=09_ガント元データ!$G166,P$2&lt;=09_ガント元データ!$H166),"■",""))</f>
        <v/>
      </c>
      <c r="Q167" s="24" t="str">
        <f aca="false">IF($A167="","",IF(AND(Q$2&gt;=09_ガント元データ!$G166,Q$2&lt;=09_ガント元データ!$H166),"■",""))</f>
        <v/>
      </c>
      <c r="R167" s="24" t="str">
        <f aca="false">IF($A167="","",IF(AND(R$2&gt;=09_ガント元データ!$G166,R$2&lt;=09_ガント元データ!$H166),"■",""))</f>
        <v/>
      </c>
      <c r="S167" s="24" t="str">
        <f aca="false">IF($A167="","",IF(AND(S$2&gt;=09_ガント元データ!$G166,S$2&lt;=09_ガント元データ!$H166),"■",""))</f>
        <v/>
      </c>
      <c r="T167" s="24" t="str">
        <f aca="false">IF($A167="","",IF(AND(T$2&gt;=09_ガント元データ!$G166,T$2&lt;=09_ガント元データ!$H166),"■",""))</f>
        <v/>
      </c>
      <c r="U167" s="24" t="str">
        <f aca="false">IF($A167="","",IF(AND(U$2&gt;=09_ガント元データ!$G166,U$2&lt;=09_ガント元データ!$H166),"■",""))</f>
        <v/>
      </c>
      <c r="V167" s="24" t="str">
        <f aca="false">IF($A167="","",IF(AND(V$2&gt;=09_ガント元データ!$G166,V$2&lt;=09_ガント元データ!$H166),"■",""))</f>
        <v/>
      </c>
      <c r="W167" s="24" t="str">
        <f aca="false">IF($A167="","",IF(AND(W$2&gt;=09_ガント元データ!$G166,W$2&lt;=09_ガント元データ!$H166),"■",""))</f>
        <v/>
      </c>
      <c r="X167" s="24" t="str">
        <f aca="false">IF($A167="","",IF(AND(X$2&gt;=09_ガント元データ!$G166,X$2&lt;=09_ガント元データ!$H166),"■",""))</f>
        <v/>
      </c>
      <c r="Y167" s="24" t="str">
        <f aca="false">IF($A167="","",IF(AND(Y$2&gt;=09_ガント元データ!$G166,Y$2&lt;=09_ガント元データ!$H166),"■",""))</f>
        <v/>
      </c>
      <c r="Z167" s="24" t="str">
        <f aca="false">IF($A167="","",IF(AND(Z$2&gt;=09_ガント元データ!$G166,Z$2&lt;=09_ガント元データ!$H166),"■",""))</f>
        <v/>
      </c>
      <c r="AA167" s="24" t="str">
        <f aca="false">IF($A167="","",IF(AND(AA$2&gt;=09_ガント元データ!$G166,AA$2&lt;=09_ガント元データ!$H166),"■",""))</f>
        <v/>
      </c>
      <c r="AB167" s="24" t="str">
        <f aca="false">IF($A167="","",IF(AND(AB$2&gt;=09_ガント元データ!$G166,AB$2&lt;=09_ガント元データ!$H166),"■",""))</f>
        <v/>
      </c>
      <c r="AC167" s="24" t="str">
        <f aca="false">IF($A167="","",IF(AND(AC$2&gt;=09_ガント元データ!$G166,AC$2&lt;=09_ガント元データ!$H166),"■",""))</f>
        <v/>
      </c>
      <c r="AD167" s="24" t="str">
        <f aca="false">IF($A167="","",IF(AND(AD$2&gt;=09_ガント元データ!$G166,AD$2&lt;=09_ガント元データ!$H166),"■",""))</f>
        <v/>
      </c>
      <c r="AE167" s="24" t="str">
        <f aca="false">IF($A167="","",IF(AND(AE$2&gt;=09_ガント元データ!$G166,AE$2&lt;=09_ガント元データ!$H166),"■",""))</f>
        <v/>
      </c>
      <c r="AF167" s="24" t="str">
        <f aca="false">IF($A167="","",IF(AND(AF$2&gt;=09_ガント元データ!$G166,AF$2&lt;=09_ガント元データ!$H166),"■",""))</f>
        <v/>
      </c>
      <c r="AG167" s="24" t="str">
        <f aca="false">IF($A167="","",IF(AND(AG$2&gt;=09_ガント元データ!$G166,AG$2&lt;=09_ガント元データ!$H166),"■",""))</f>
        <v/>
      </c>
      <c r="AH167" s="24" t="str">
        <f aca="false">IF($A167="","",IF(AND(AH$2&gt;=09_ガント元データ!$G166,AH$2&lt;=09_ガント元データ!$H166),"■",""))</f>
        <v/>
      </c>
      <c r="AI167" s="24" t="str">
        <f aca="false">IF($A167="","",IF(AND(AI$2&gt;=09_ガント元データ!$G166,AI$2&lt;=09_ガント元データ!$H166),"■",""))</f>
        <v/>
      </c>
      <c r="AJ167" s="24" t="str">
        <f aca="false">IF($A167="","",IF(AND(AJ$2&gt;=09_ガント元データ!$G166,AJ$2&lt;=09_ガント元データ!$H166),"■",""))</f>
        <v/>
      </c>
      <c r="AK167" s="24" t="str">
        <f aca="false">IF($A167="","",IF(AND(AK$2&gt;=09_ガント元データ!$G166,AK$2&lt;=09_ガント元データ!$H166),"■",""))</f>
        <v/>
      </c>
      <c r="AL167" s="24" t="str">
        <f aca="false">IF($A167="","",IF(AND(AL$2&gt;=09_ガント元データ!$G166,AL$2&lt;=09_ガント元データ!$H166),"■",""))</f>
        <v/>
      </c>
      <c r="AM167" s="24" t="str">
        <f aca="false">IF($A167="","",IF(AND(AM$2&gt;=09_ガント元データ!$G166,AM$2&lt;=09_ガント元データ!$H166),"■",""))</f>
        <v/>
      </c>
    </row>
    <row r="168" customFormat="false" ht="15" hidden="false" customHeight="false" outlineLevel="0" collapsed="false">
      <c r="A168" s="22" t="str">
        <f aca="false">09_ガント元データ!A167</f>
        <v/>
      </c>
      <c r="B168" s="22" t="str">
        <f aca="false">09_ガント元データ!B167</f>
        <v/>
      </c>
      <c r="C168" s="23" t="str">
        <f aca="false">09_ガント元データ!C167</f>
        <v/>
      </c>
      <c r="D168" s="24" t="str">
        <f aca="false">IF($A168="","",IF(AND(D$2&gt;=09_ガント元データ!$G167,D$2&lt;=09_ガント元データ!$H167),"■",""))</f>
        <v/>
      </c>
      <c r="E168" s="24" t="str">
        <f aca="false">IF($A168="","",IF(AND(E$2&gt;=09_ガント元データ!$G167,E$2&lt;=09_ガント元データ!$H167),"■",""))</f>
        <v/>
      </c>
      <c r="F168" s="24" t="str">
        <f aca="false">IF($A168="","",IF(AND(F$2&gt;=09_ガント元データ!$G167,F$2&lt;=09_ガント元データ!$H167),"■",""))</f>
        <v/>
      </c>
      <c r="G168" s="24" t="str">
        <f aca="false">IF($A168="","",IF(AND(G$2&gt;=09_ガント元データ!$G167,G$2&lt;=09_ガント元データ!$H167),"■",""))</f>
        <v/>
      </c>
      <c r="H168" s="24" t="str">
        <f aca="false">IF($A168="","",IF(AND(H$2&gt;=09_ガント元データ!$G167,H$2&lt;=09_ガント元データ!$H167),"■",""))</f>
        <v/>
      </c>
      <c r="I168" s="24" t="str">
        <f aca="false">IF($A168="","",IF(AND(I$2&gt;=09_ガント元データ!$G167,I$2&lt;=09_ガント元データ!$H167),"■",""))</f>
        <v/>
      </c>
      <c r="J168" s="24" t="str">
        <f aca="false">IF($A168="","",IF(AND(J$2&gt;=09_ガント元データ!$G167,J$2&lt;=09_ガント元データ!$H167),"■",""))</f>
        <v/>
      </c>
      <c r="K168" s="24" t="str">
        <f aca="false">IF($A168="","",IF(AND(K$2&gt;=09_ガント元データ!$G167,K$2&lt;=09_ガント元データ!$H167),"■",""))</f>
        <v/>
      </c>
      <c r="L168" s="24" t="str">
        <f aca="false">IF($A168="","",IF(AND(L$2&gt;=09_ガント元データ!$G167,L$2&lt;=09_ガント元データ!$H167),"■",""))</f>
        <v/>
      </c>
      <c r="M168" s="24" t="str">
        <f aca="false">IF($A168="","",IF(AND(M$2&gt;=09_ガント元データ!$G167,M$2&lt;=09_ガント元データ!$H167),"■",""))</f>
        <v/>
      </c>
      <c r="N168" s="24" t="str">
        <f aca="false">IF($A168="","",IF(AND(N$2&gt;=09_ガント元データ!$G167,N$2&lt;=09_ガント元データ!$H167),"■",""))</f>
        <v/>
      </c>
      <c r="O168" s="24" t="str">
        <f aca="false">IF($A168="","",IF(AND(O$2&gt;=09_ガント元データ!$G167,O$2&lt;=09_ガント元データ!$H167),"■",""))</f>
        <v/>
      </c>
      <c r="P168" s="24" t="str">
        <f aca="false">IF($A168="","",IF(AND(P$2&gt;=09_ガント元データ!$G167,P$2&lt;=09_ガント元データ!$H167),"■",""))</f>
        <v/>
      </c>
      <c r="Q168" s="24" t="str">
        <f aca="false">IF($A168="","",IF(AND(Q$2&gt;=09_ガント元データ!$G167,Q$2&lt;=09_ガント元データ!$H167),"■",""))</f>
        <v/>
      </c>
      <c r="R168" s="24" t="str">
        <f aca="false">IF($A168="","",IF(AND(R$2&gt;=09_ガント元データ!$G167,R$2&lt;=09_ガント元データ!$H167),"■",""))</f>
        <v/>
      </c>
      <c r="S168" s="24" t="str">
        <f aca="false">IF($A168="","",IF(AND(S$2&gt;=09_ガント元データ!$G167,S$2&lt;=09_ガント元データ!$H167),"■",""))</f>
        <v/>
      </c>
      <c r="T168" s="24" t="str">
        <f aca="false">IF($A168="","",IF(AND(T$2&gt;=09_ガント元データ!$G167,T$2&lt;=09_ガント元データ!$H167),"■",""))</f>
        <v/>
      </c>
      <c r="U168" s="24" t="str">
        <f aca="false">IF($A168="","",IF(AND(U$2&gt;=09_ガント元データ!$G167,U$2&lt;=09_ガント元データ!$H167),"■",""))</f>
        <v/>
      </c>
      <c r="V168" s="24" t="str">
        <f aca="false">IF($A168="","",IF(AND(V$2&gt;=09_ガント元データ!$G167,V$2&lt;=09_ガント元データ!$H167),"■",""))</f>
        <v/>
      </c>
      <c r="W168" s="24" t="str">
        <f aca="false">IF($A168="","",IF(AND(W$2&gt;=09_ガント元データ!$G167,W$2&lt;=09_ガント元データ!$H167),"■",""))</f>
        <v/>
      </c>
      <c r="X168" s="24" t="str">
        <f aca="false">IF($A168="","",IF(AND(X$2&gt;=09_ガント元データ!$G167,X$2&lt;=09_ガント元データ!$H167),"■",""))</f>
        <v/>
      </c>
      <c r="Y168" s="24" t="str">
        <f aca="false">IF($A168="","",IF(AND(Y$2&gt;=09_ガント元データ!$G167,Y$2&lt;=09_ガント元データ!$H167),"■",""))</f>
        <v/>
      </c>
      <c r="Z168" s="24" t="str">
        <f aca="false">IF($A168="","",IF(AND(Z$2&gt;=09_ガント元データ!$G167,Z$2&lt;=09_ガント元データ!$H167),"■",""))</f>
        <v/>
      </c>
      <c r="AA168" s="24" t="str">
        <f aca="false">IF($A168="","",IF(AND(AA$2&gt;=09_ガント元データ!$G167,AA$2&lt;=09_ガント元データ!$H167),"■",""))</f>
        <v/>
      </c>
      <c r="AB168" s="24" t="str">
        <f aca="false">IF($A168="","",IF(AND(AB$2&gt;=09_ガント元データ!$G167,AB$2&lt;=09_ガント元データ!$H167),"■",""))</f>
        <v/>
      </c>
      <c r="AC168" s="24" t="str">
        <f aca="false">IF($A168="","",IF(AND(AC$2&gt;=09_ガント元データ!$G167,AC$2&lt;=09_ガント元データ!$H167),"■",""))</f>
        <v/>
      </c>
      <c r="AD168" s="24" t="str">
        <f aca="false">IF($A168="","",IF(AND(AD$2&gt;=09_ガント元データ!$G167,AD$2&lt;=09_ガント元データ!$H167),"■",""))</f>
        <v/>
      </c>
      <c r="AE168" s="24" t="str">
        <f aca="false">IF($A168="","",IF(AND(AE$2&gt;=09_ガント元データ!$G167,AE$2&lt;=09_ガント元データ!$H167),"■",""))</f>
        <v/>
      </c>
      <c r="AF168" s="24" t="str">
        <f aca="false">IF($A168="","",IF(AND(AF$2&gt;=09_ガント元データ!$G167,AF$2&lt;=09_ガント元データ!$H167),"■",""))</f>
        <v/>
      </c>
      <c r="AG168" s="24" t="str">
        <f aca="false">IF($A168="","",IF(AND(AG$2&gt;=09_ガント元データ!$G167,AG$2&lt;=09_ガント元データ!$H167),"■",""))</f>
        <v/>
      </c>
      <c r="AH168" s="24" t="str">
        <f aca="false">IF($A168="","",IF(AND(AH$2&gt;=09_ガント元データ!$G167,AH$2&lt;=09_ガント元データ!$H167),"■",""))</f>
        <v/>
      </c>
      <c r="AI168" s="24" t="str">
        <f aca="false">IF($A168="","",IF(AND(AI$2&gt;=09_ガント元データ!$G167,AI$2&lt;=09_ガント元データ!$H167),"■",""))</f>
        <v/>
      </c>
      <c r="AJ168" s="24" t="str">
        <f aca="false">IF($A168="","",IF(AND(AJ$2&gt;=09_ガント元データ!$G167,AJ$2&lt;=09_ガント元データ!$H167),"■",""))</f>
        <v/>
      </c>
      <c r="AK168" s="24" t="str">
        <f aca="false">IF($A168="","",IF(AND(AK$2&gt;=09_ガント元データ!$G167,AK$2&lt;=09_ガント元データ!$H167),"■",""))</f>
        <v/>
      </c>
      <c r="AL168" s="24" t="str">
        <f aca="false">IF($A168="","",IF(AND(AL$2&gt;=09_ガント元データ!$G167,AL$2&lt;=09_ガント元データ!$H167),"■",""))</f>
        <v/>
      </c>
      <c r="AM168" s="24" t="str">
        <f aca="false">IF($A168="","",IF(AND(AM$2&gt;=09_ガント元データ!$G167,AM$2&lt;=09_ガント元データ!$H167),"■",""))</f>
        <v/>
      </c>
    </row>
    <row r="169" customFormat="false" ht="15" hidden="false" customHeight="false" outlineLevel="0" collapsed="false">
      <c r="A169" s="22" t="str">
        <f aca="false">09_ガント元データ!A168</f>
        <v/>
      </c>
      <c r="B169" s="22" t="str">
        <f aca="false">09_ガント元データ!B168</f>
        <v/>
      </c>
      <c r="C169" s="23" t="str">
        <f aca="false">09_ガント元データ!C168</f>
        <v/>
      </c>
      <c r="D169" s="24" t="str">
        <f aca="false">IF($A169="","",IF(AND(D$2&gt;=09_ガント元データ!$G168,D$2&lt;=09_ガント元データ!$H168),"■",""))</f>
        <v/>
      </c>
      <c r="E169" s="24" t="str">
        <f aca="false">IF($A169="","",IF(AND(E$2&gt;=09_ガント元データ!$G168,E$2&lt;=09_ガント元データ!$H168),"■",""))</f>
        <v/>
      </c>
      <c r="F169" s="24" t="str">
        <f aca="false">IF($A169="","",IF(AND(F$2&gt;=09_ガント元データ!$G168,F$2&lt;=09_ガント元データ!$H168),"■",""))</f>
        <v/>
      </c>
      <c r="G169" s="24" t="str">
        <f aca="false">IF($A169="","",IF(AND(G$2&gt;=09_ガント元データ!$G168,G$2&lt;=09_ガント元データ!$H168),"■",""))</f>
        <v/>
      </c>
      <c r="H169" s="24" t="str">
        <f aca="false">IF($A169="","",IF(AND(H$2&gt;=09_ガント元データ!$G168,H$2&lt;=09_ガント元データ!$H168),"■",""))</f>
        <v/>
      </c>
      <c r="I169" s="24" t="str">
        <f aca="false">IF($A169="","",IF(AND(I$2&gt;=09_ガント元データ!$G168,I$2&lt;=09_ガント元データ!$H168),"■",""))</f>
        <v/>
      </c>
      <c r="J169" s="24" t="str">
        <f aca="false">IF($A169="","",IF(AND(J$2&gt;=09_ガント元データ!$G168,J$2&lt;=09_ガント元データ!$H168),"■",""))</f>
        <v/>
      </c>
      <c r="K169" s="24" t="str">
        <f aca="false">IF($A169="","",IF(AND(K$2&gt;=09_ガント元データ!$G168,K$2&lt;=09_ガント元データ!$H168),"■",""))</f>
        <v/>
      </c>
      <c r="L169" s="24" t="str">
        <f aca="false">IF($A169="","",IF(AND(L$2&gt;=09_ガント元データ!$G168,L$2&lt;=09_ガント元データ!$H168),"■",""))</f>
        <v/>
      </c>
      <c r="M169" s="24" t="str">
        <f aca="false">IF($A169="","",IF(AND(M$2&gt;=09_ガント元データ!$G168,M$2&lt;=09_ガント元データ!$H168),"■",""))</f>
        <v/>
      </c>
      <c r="N169" s="24" t="str">
        <f aca="false">IF($A169="","",IF(AND(N$2&gt;=09_ガント元データ!$G168,N$2&lt;=09_ガント元データ!$H168),"■",""))</f>
        <v/>
      </c>
      <c r="O169" s="24" t="str">
        <f aca="false">IF($A169="","",IF(AND(O$2&gt;=09_ガント元データ!$G168,O$2&lt;=09_ガント元データ!$H168),"■",""))</f>
        <v/>
      </c>
      <c r="P169" s="24" t="str">
        <f aca="false">IF($A169="","",IF(AND(P$2&gt;=09_ガント元データ!$G168,P$2&lt;=09_ガント元データ!$H168),"■",""))</f>
        <v/>
      </c>
      <c r="Q169" s="24" t="str">
        <f aca="false">IF($A169="","",IF(AND(Q$2&gt;=09_ガント元データ!$G168,Q$2&lt;=09_ガント元データ!$H168),"■",""))</f>
        <v/>
      </c>
      <c r="R169" s="24" t="str">
        <f aca="false">IF($A169="","",IF(AND(R$2&gt;=09_ガント元データ!$G168,R$2&lt;=09_ガント元データ!$H168),"■",""))</f>
        <v/>
      </c>
      <c r="S169" s="24" t="str">
        <f aca="false">IF($A169="","",IF(AND(S$2&gt;=09_ガント元データ!$G168,S$2&lt;=09_ガント元データ!$H168),"■",""))</f>
        <v/>
      </c>
      <c r="T169" s="24" t="str">
        <f aca="false">IF($A169="","",IF(AND(T$2&gt;=09_ガント元データ!$G168,T$2&lt;=09_ガント元データ!$H168),"■",""))</f>
        <v/>
      </c>
      <c r="U169" s="24" t="str">
        <f aca="false">IF($A169="","",IF(AND(U$2&gt;=09_ガント元データ!$G168,U$2&lt;=09_ガント元データ!$H168),"■",""))</f>
        <v/>
      </c>
      <c r="V169" s="24" t="str">
        <f aca="false">IF($A169="","",IF(AND(V$2&gt;=09_ガント元データ!$G168,V$2&lt;=09_ガント元データ!$H168),"■",""))</f>
        <v/>
      </c>
      <c r="W169" s="24" t="str">
        <f aca="false">IF($A169="","",IF(AND(W$2&gt;=09_ガント元データ!$G168,W$2&lt;=09_ガント元データ!$H168),"■",""))</f>
        <v/>
      </c>
      <c r="X169" s="24" t="str">
        <f aca="false">IF($A169="","",IF(AND(X$2&gt;=09_ガント元データ!$G168,X$2&lt;=09_ガント元データ!$H168),"■",""))</f>
        <v/>
      </c>
      <c r="Y169" s="24" t="str">
        <f aca="false">IF($A169="","",IF(AND(Y$2&gt;=09_ガント元データ!$G168,Y$2&lt;=09_ガント元データ!$H168),"■",""))</f>
        <v/>
      </c>
      <c r="Z169" s="24" t="str">
        <f aca="false">IF($A169="","",IF(AND(Z$2&gt;=09_ガント元データ!$G168,Z$2&lt;=09_ガント元データ!$H168),"■",""))</f>
        <v/>
      </c>
      <c r="AA169" s="24" t="str">
        <f aca="false">IF($A169="","",IF(AND(AA$2&gt;=09_ガント元データ!$G168,AA$2&lt;=09_ガント元データ!$H168),"■",""))</f>
        <v/>
      </c>
      <c r="AB169" s="24" t="str">
        <f aca="false">IF($A169="","",IF(AND(AB$2&gt;=09_ガント元データ!$G168,AB$2&lt;=09_ガント元データ!$H168),"■",""))</f>
        <v/>
      </c>
      <c r="AC169" s="24" t="str">
        <f aca="false">IF($A169="","",IF(AND(AC$2&gt;=09_ガント元データ!$G168,AC$2&lt;=09_ガント元データ!$H168),"■",""))</f>
        <v/>
      </c>
      <c r="AD169" s="24" t="str">
        <f aca="false">IF($A169="","",IF(AND(AD$2&gt;=09_ガント元データ!$G168,AD$2&lt;=09_ガント元データ!$H168),"■",""))</f>
        <v/>
      </c>
      <c r="AE169" s="24" t="str">
        <f aca="false">IF($A169="","",IF(AND(AE$2&gt;=09_ガント元データ!$G168,AE$2&lt;=09_ガント元データ!$H168),"■",""))</f>
        <v/>
      </c>
      <c r="AF169" s="24" t="str">
        <f aca="false">IF($A169="","",IF(AND(AF$2&gt;=09_ガント元データ!$G168,AF$2&lt;=09_ガント元データ!$H168),"■",""))</f>
        <v/>
      </c>
      <c r="AG169" s="24" t="str">
        <f aca="false">IF($A169="","",IF(AND(AG$2&gt;=09_ガント元データ!$G168,AG$2&lt;=09_ガント元データ!$H168),"■",""))</f>
        <v/>
      </c>
      <c r="AH169" s="24" t="str">
        <f aca="false">IF($A169="","",IF(AND(AH$2&gt;=09_ガント元データ!$G168,AH$2&lt;=09_ガント元データ!$H168),"■",""))</f>
        <v/>
      </c>
      <c r="AI169" s="24" t="str">
        <f aca="false">IF($A169="","",IF(AND(AI$2&gt;=09_ガント元データ!$G168,AI$2&lt;=09_ガント元データ!$H168),"■",""))</f>
        <v/>
      </c>
      <c r="AJ169" s="24" t="str">
        <f aca="false">IF($A169="","",IF(AND(AJ$2&gt;=09_ガント元データ!$G168,AJ$2&lt;=09_ガント元データ!$H168),"■",""))</f>
        <v/>
      </c>
      <c r="AK169" s="24" t="str">
        <f aca="false">IF($A169="","",IF(AND(AK$2&gt;=09_ガント元データ!$G168,AK$2&lt;=09_ガント元データ!$H168),"■",""))</f>
        <v/>
      </c>
      <c r="AL169" s="24" t="str">
        <f aca="false">IF($A169="","",IF(AND(AL$2&gt;=09_ガント元データ!$G168,AL$2&lt;=09_ガント元データ!$H168),"■",""))</f>
        <v/>
      </c>
      <c r="AM169" s="24" t="str">
        <f aca="false">IF($A169="","",IF(AND(AM$2&gt;=09_ガント元データ!$G168,AM$2&lt;=09_ガント元データ!$H168),"■",""))</f>
        <v/>
      </c>
    </row>
    <row r="170" customFormat="false" ht="15" hidden="false" customHeight="false" outlineLevel="0" collapsed="false">
      <c r="A170" s="22" t="str">
        <f aca="false">09_ガント元データ!A169</f>
        <v/>
      </c>
      <c r="B170" s="22" t="str">
        <f aca="false">09_ガント元データ!B169</f>
        <v/>
      </c>
      <c r="C170" s="23" t="str">
        <f aca="false">09_ガント元データ!C169</f>
        <v/>
      </c>
      <c r="D170" s="24" t="str">
        <f aca="false">IF($A170="","",IF(AND(D$2&gt;=09_ガント元データ!$G169,D$2&lt;=09_ガント元データ!$H169),"■",""))</f>
        <v/>
      </c>
      <c r="E170" s="24" t="str">
        <f aca="false">IF($A170="","",IF(AND(E$2&gt;=09_ガント元データ!$G169,E$2&lt;=09_ガント元データ!$H169),"■",""))</f>
        <v/>
      </c>
      <c r="F170" s="24" t="str">
        <f aca="false">IF($A170="","",IF(AND(F$2&gt;=09_ガント元データ!$G169,F$2&lt;=09_ガント元データ!$H169),"■",""))</f>
        <v/>
      </c>
      <c r="G170" s="24" t="str">
        <f aca="false">IF($A170="","",IF(AND(G$2&gt;=09_ガント元データ!$G169,G$2&lt;=09_ガント元データ!$H169),"■",""))</f>
        <v/>
      </c>
      <c r="H170" s="24" t="str">
        <f aca="false">IF($A170="","",IF(AND(H$2&gt;=09_ガント元データ!$G169,H$2&lt;=09_ガント元データ!$H169),"■",""))</f>
        <v/>
      </c>
      <c r="I170" s="24" t="str">
        <f aca="false">IF($A170="","",IF(AND(I$2&gt;=09_ガント元データ!$G169,I$2&lt;=09_ガント元データ!$H169),"■",""))</f>
        <v/>
      </c>
      <c r="J170" s="24" t="str">
        <f aca="false">IF($A170="","",IF(AND(J$2&gt;=09_ガント元データ!$G169,J$2&lt;=09_ガント元データ!$H169),"■",""))</f>
        <v/>
      </c>
      <c r="K170" s="24" t="str">
        <f aca="false">IF($A170="","",IF(AND(K$2&gt;=09_ガント元データ!$G169,K$2&lt;=09_ガント元データ!$H169),"■",""))</f>
        <v/>
      </c>
      <c r="L170" s="24" t="str">
        <f aca="false">IF($A170="","",IF(AND(L$2&gt;=09_ガント元データ!$G169,L$2&lt;=09_ガント元データ!$H169),"■",""))</f>
        <v/>
      </c>
      <c r="M170" s="24" t="str">
        <f aca="false">IF($A170="","",IF(AND(M$2&gt;=09_ガント元データ!$G169,M$2&lt;=09_ガント元データ!$H169),"■",""))</f>
        <v/>
      </c>
      <c r="N170" s="24" t="str">
        <f aca="false">IF($A170="","",IF(AND(N$2&gt;=09_ガント元データ!$G169,N$2&lt;=09_ガント元データ!$H169),"■",""))</f>
        <v/>
      </c>
      <c r="O170" s="24" t="str">
        <f aca="false">IF($A170="","",IF(AND(O$2&gt;=09_ガント元データ!$G169,O$2&lt;=09_ガント元データ!$H169),"■",""))</f>
        <v/>
      </c>
      <c r="P170" s="24" t="str">
        <f aca="false">IF($A170="","",IF(AND(P$2&gt;=09_ガント元データ!$G169,P$2&lt;=09_ガント元データ!$H169),"■",""))</f>
        <v/>
      </c>
      <c r="Q170" s="24" t="str">
        <f aca="false">IF($A170="","",IF(AND(Q$2&gt;=09_ガント元データ!$G169,Q$2&lt;=09_ガント元データ!$H169),"■",""))</f>
        <v/>
      </c>
      <c r="R170" s="24" t="str">
        <f aca="false">IF($A170="","",IF(AND(R$2&gt;=09_ガント元データ!$G169,R$2&lt;=09_ガント元データ!$H169),"■",""))</f>
        <v/>
      </c>
      <c r="S170" s="24" t="str">
        <f aca="false">IF($A170="","",IF(AND(S$2&gt;=09_ガント元データ!$G169,S$2&lt;=09_ガント元データ!$H169),"■",""))</f>
        <v/>
      </c>
      <c r="T170" s="24" t="str">
        <f aca="false">IF($A170="","",IF(AND(T$2&gt;=09_ガント元データ!$G169,T$2&lt;=09_ガント元データ!$H169),"■",""))</f>
        <v/>
      </c>
      <c r="U170" s="24" t="str">
        <f aca="false">IF($A170="","",IF(AND(U$2&gt;=09_ガント元データ!$G169,U$2&lt;=09_ガント元データ!$H169),"■",""))</f>
        <v/>
      </c>
      <c r="V170" s="24" t="str">
        <f aca="false">IF($A170="","",IF(AND(V$2&gt;=09_ガント元データ!$G169,V$2&lt;=09_ガント元データ!$H169),"■",""))</f>
        <v/>
      </c>
      <c r="W170" s="24" t="str">
        <f aca="false">IF($A170="","",IF(AND(W$2&gt;=09_ガント元データ!$G169,W$2&lt;=09_ガント元データ!$H169),"■",""))</f>
        <v/>
      </c>
      <c r="X170" s="24" t="str">
        <f aca="false">IF($A170="","",IF(AND(X$2&gt;=09_ガント元データ!$G169,X$2&lt;=09_ガント元データ!$H169),"■",""))</f>
        <v/>
      </c>
      <c r="Y170" s="24" t="str">
        <f aca="false">IF($A170="","",IF(AND(Y$2&gt;=09_ガント元データ!$G169,Y$2&lt;=09_ガント元データ!$H169),"■",""))</f>
        <v/>
      </c>
      <c r="Z170" s="24" t="str">
        <f aca="false">IF($A170="","",IF(AND(Z$2&gt;=09_ガント元データ!$G169,Z$2&lt;=09_ガント元データ!$H169),"■",""))</f>
        <v/>
      </c>
      <c r="AA170" s="24" t="str">
        <f aca="false">IF($A170="","",IF(AND(AA$2&gt;=09_ガント元データ!$G169,AA$2&lt;=09_ガント元データ!$H169),"■",""))</f>
        <v/>
      </c>
      <c r="AB170" s="24" t="str">
        <f aca="false">IF($A170="","",IF(AND(AB$2&gt;=09_ガント元データ!$G169,AB$2&lt;=09_ガント元データ!$H169),"■",""))</f>
        <v/>
      </c>
      <c r="AC170" s="24" t="str">
        <f aca="false">IF($A170="","",IF(AND(AC$2&gt;=09_ガント元データ!$G169,AC$2&lt;=09_ガント元データ!$H169),"■",""))</f>
        <v/>
      </c>
      <c r="AD170" s="24" t="str">
        <f aca="false">IF($A170="","",IF(AND(AD$2&gt;=09_ガント元データ!$G169,AD$2&lt;=09_ガント元データ!$H169),"■",""))</f>
        <v/>
      </c>
      <c r="AE170" s="24" t="str">
        <f aca="false">IF($A170="","",IF(AND(AE$2&gt;=09_ガント元データ!$G169,AE$2&lt;=09_ガント元データ!$H169),"■",""))</f>
        <v/>
      </c>
      <c r="AF170" s="24" t="str">
        <f aca="false">IF($A170="","",IF(AND(AF$2&gt;=09_ガント元データ!$G169,AF$2&lt;=09_ガント元データ!$H169),"■",""))</f>
        <v/>
      </c>
      <c r="AG170" s="24" t="str">
        <f aca="false">IF($A170="","",IF(AND(AG$2&gt;=09_ガント元データ!$G169,AG$2&lt;=09_ガント元データ!$H169),"■",""))</f>
        <v/>
      </c>
      <c r="AH170" s="24" t="str">
        <f aca="false">IF($A170="","",IF(AND(AH$2&gt;=09_ガント元データ!$G169,AH$2&lt;=09_ガント元データ!$H169),"■",""))</f>
        <v/>
      </c>
      <c r="AI170" s="24" t="str">
        <f aca="false">IF($A170="","",IF(AND(AI$2&gt;=09_ガント元データ!$G169,AI$2&lt;=09_ガント元データ!$H169),"■",""))</f>
        <v/>
      </c>
      <c r="AJ170" s="24" t="str">
        <f aca="false">IF($A170="","",IF(AND(AJ$2&gt;=09_ガント元データ!$G169,AJ$2&lt;=09_ガント元データ!$H169),"■",""))</f>
        <v/>
      </c>
      <c r="AK170" s="24" t="str">
        <f aca="false">IF($A170="","",IF(AND(AK$2&gt;=09_ガント元データ!$G169,AK$2&lt;=09_ガント元データ!$H169),"■",""))</f>
        <v/>
      </c>
      <c r="AL170" s="24" t="str">
        <f aca="false">IF($A170="","",IF(AND(AL$2&gt;=09_ガント元データ!$G169,AL$2&lt;=09_ガント元データ!$H169),"■",""))</f>
        <v/>
      </c>
      <c r="AM170" s="24" t="str">
        <f aca="false">IF($A170="","",IF(AND(AM$2&gt;=09_ガント元データ!$G169,AM$2&lt;=09_ガント元データ!$H169),"■",""))</f>
        <v/>
      </c>
    </row>
    <row r="171" customFormat="false" ht="15" hidden="false" customHeight="false" outlineLevel="0" collapsed="false">
      <c r="A171" s="22" t="str">
        <f aca="false">09_ガント元データ!A170</f>
        <v/>
      </c>
      <c r="B171" s="22" t="str">
        <f aca="false">09_ガント元データ!B170</f>
        <v/>
      </c>
      <c r="C171" s="23" t="str">
        <f aca="false">09_ガント元データ!C170</f>
        <v/>
      </c>
      <c r="D171" s="24" t="str">
        <f aca="false">IF($A171="","",IF(AND(D$2&gt;=09_ガント元データ!$G170,D$2&lt;=09_ガント元データ!$H170),"■",""))</f>
        <v/>
      </c>
      <c r="E171" s="24" t="str">
        <f aca="false">IF($A171="","",IF(AND(E$2&gt;=09_ガント元データ!$G170,E$2&lt;=09_ガント元データ!$H170),"■",""))</f>
        <v/>
      </c>
      <c r="F171" s="24" t="str">
        <f aca="false">IF($A171="","",IF(AND(F$2&gt;=09_ガント元データ!$G170,F$2&lt;=09_ガント元データ!$H170),"■",""))</f>
        <v/>
      </c>
      <c r="G171" s="24" t="str">
        <f aca="false">IF($A171="","",IF(AND(G$2&gt;=09_ガント元データ!$G170,G$2&lt;=09_ガント元データ!$H170),"■",""))</f>
        <v/>
      </c>
      <c r="H171" s="24" t="str">
        <f aca="false">IF($A171="","",IF(AND(H$2&gt;=09_ガント元データ!$G170,H$2&lt;=09_ガント元データ!$H170),"■",""))</f>
        <v/>
      </c>
      <c r="I171" s="24" t="str">
        <f aca="false">IF($A171="","",IF(AND(I$2&gt;=09_ガント元データ!$G170,I$2&lt;=09_ガント元データ!$H170),"■",""))</f>
        <v/>
      </c>
      <c r="J171" s="24" t="str">
        <f aca="false">IF($A171="","",IF(AND(J$2&gt;=09_ガント元データ!$G170,J$2&lt;=09_ガント元データ!$H170),"■",""))</f>
        <v/>
      </c>
      <c r="K171" s="24" t="str">
        <f aca="false">IF($A171="","",IF(AND(K$2&gt;=09_ガント元データ!$G170,K$2&lt;=09_ガント元データ!$H170),"■",""))</f>
        <v/>
      </c>
      <c r="L171" s="24" t="str">
        <f aca="false">IF($A171="","",IF(AND(L$2&gt;=09_ガント元データ!$G170,L$2&lt;=09_ガント元データ!$H170),"■",""))</f>
        <v/>
      </c>
      <c r="M171" s="24" t="str">
        <f aca="false">IF($A171="","",IF(AND(M$2&gt;=09_ガント元データ!$G170,M$2&lt;=09_ガント元データ!$H170),"■",""))</f>
        <v/>
      </c>
      <c r="N171" s="24" t="str">
        <f aca="false">IF($A171="","",IF(AND(N$2&gt;=09_ガント元データ!$G170,N$2&lt;=09_ガント元データ!$H170),"■",""))</f>
        <v/>
      </c>
      <c r="O171" s="24" t="str">
        <f aca="false">IF($A171="","",IF(AND(O$2&gt;=09_ガント元データ!$G170,O$2&lt;=09_ガント元データ!$H170),"■",""))</f>
        <v/>
      </c>
      <c r="P171" s="24" t="str">
        <f aca="false">IF($A171="","",IF(AND(P$2&gt;=09_ガント元データ!$G170,P$2&lt;=09_ガント元データ!$H170),"■",""))</f>
        <v/>
      </c>
      <c r="Q171" s="24" t="str">
        <f aca="false">IF($A171="","",IF(AND(Q$2&gt;=09_ガント元データ!$G170,Q$2&lt;=09_ガント元データ!$H170),"■",""))</f>
        <v/>
      </c>
      <c r="R171" s="24" t="str">
        <f aca="false">IF($A171="","",IF(AND(R$2&gt;=09_ガント元データ!$G170,R$2&lt;=09_ガント元データ!$H170),"■",""))</f>
        <v/>
      </c>
      <c r="S171" s="24" t="str">
        <f aca="false">IF($A171="","",IF(AND(S$2&gt;=09_ガント元データ!$G170,S$2&lt;=09_ガント元データ!$H170),"■",""))</f>
        <v/>
      </c>
      <c r="T171" s="24" t="str">
        <f aca="false">IF($A171="","",IF(AND(T$2&gt;=09_ガント元データ!$G170,T$2&lt;=09_ガント元データ!$H170),"■",""))</f>
        <v/>
      </c>
      <c r="U171" s="24" t="str">
        <f aca="false">IF($A171="","",IF(AND(U$2&gt;=09_ガント元データ!$G170,U$2&lt;=09_ガント元データ!$H170),"■",""))</f>
        <v/>
      </c>
      <c r="V171" s="24" t="str">
        <f aca="false">IF($A171="","",IF(AND(V$2&gt;=09_ガント元データ!$G170,V$2&lt;=09_ガント元データ!$H170),"■",""))</f>
        <v/>
      </c>
      <c r="W171" s="24" t="str">
        <f aca="false">IF($A171="","",IF(AND(W$2&gt;=09_ガント元データ!$G170,W$2&lt;=09_ガント元データ!$H170),"■",""))</f>
        <v/>
      </c>
      <c r="X171" s="24" t="str">
        <f aca="false">IF($A171="","",IF(AND(X$2&gt;=09_ガント元データ!$G170,X$2&lt;=09_ガント元データ!$H170),"■",""))</f>
        <v/>
      </c>
      <c r="Y171" s="24" t="str">
        <f aca="false">IF($A171="","",IF(AND(Y$2&gt;=09_ガント元データ!$G170,Y$2&lt;=09_ガント元データ!$H170),"■",""))</f>
        <v/>
      </c>
      <c r="Z171" s="24" t="str">
        <f aca="false">IF($A171="","",IF(AND(Z$2&gt;=09_ガント元データ!$G170,Z$2&lt;=09_ガント元データ!$H170),"■",""))</f>
        <v/>
      </c>
      <c r="AA171" s="24" t="str">
        <f aca="false">IF($A171="","",IF(AND(AA$2&gt;=09_ガント元データ!$G170,AA$2&lt;=09_ガント元データ!$H170),"■",""))</f>
        <v/>
      </c>
      <c r="AB171" s="24" t="str">
        <f aca="false">IF($A171="","",IF(AND(AB$2&gt;=09_ガント元データ!$G170,AB$2&lt;=09_ガント元データ!$H170),"■",""))</f>
        <v/>
      </c>
      <c r="AC171" s="24" t="str">
        <f aca="false">IF($A171="","",IF(AND(AC$2&gt;=09_ガント元データ!$G170,AC$2&lt;=09_ガント元データ!$H170),"■",""))</f>
        <v/>
      </c>
      <c r="AD171" s="24" t="str">
        <f aca="false">IF($A171="","",IF(AND(AD$2&gt;=09_ガント元データ!$G170,AD$2&lt;=09_ガント元データ!$H170),"■",""))</f>
        <v/>
      </c>
      <c r="AE171" s="24" t="str">
        <f aca="false">IF($A171="","",IF(AND(AE$2&gt;=09_ガント元データ!$G170,AE$2&lt;=09_ガント元データ!$H170),"■",""))</f>
        <v/>
      </c>
      <c r="AF171" s="24" t="str">
        <f aca="false">IF($A171="","",IF(AND(AF$2&gt;=09_ガント元データ!$G170,AF$2&lt;=09_ガント元データ!$H170),"■",""))</f>
        <v/>
      </c>
      <c r="AG171" s="24" t="str">
        <f aca="false">IF($A171="","",IF(AND(AG$2&gt;=09_ガント元データ!$G170,AG$2&lt;=09_ガント元データ!$H170),"■",""))</f>
        <v/>
      </c>
      <c r="AH171" s="24" t="str">
        <f aca="false">IF($A171="","",IF(AND(AH$2&gt;=09_ガント元データ!$G170,AH$2&lt;=09_ガント元データ!$H170),"■",""))</f>
        <v/>
      </c>
      <c r="AI171" s="24" t="str">
        <f aca="false">IF($A171="","",IF(AND(AI$2&gt;=09_ガント元データ!$G170,AI$2&lt;=09_ガント元データ!$H170),"■",""))</f>
        <v/>
      </c>
      <c r="AJ171" s="24" t="str">
        <f aca="false">IF($A171="","",IF(AND(AJ$2&gt;=09_ガント元データ!$G170,AJ$2&lt;=09_ガント元データ!$H170),"■",""))</f>
        <v/>
      </c>
      <c r="AK171" s="24" t="str">
        <f aca="false">IF($A171="","",IF(AND(AK$2&gt;=09_ガント元データ!$G170,AK$2&lt;=09_ガント元データ!$H170),"■",""))</f>
        <v/>
      </c>
      <c r="AL171" s="24" t="str">
        <f aca="false">IF($A171="","",IF(AND(AL$2&gt;=09_ガント元データ!$G170,AL$2&lt;=09_ガント元データ!$H170),"■",""))</f>
        <v/>
      </c>
      <c r="AM171" s="24" t="str">
        <f aca="false">IF($A171="","",IF(AND(AM$2&gt;=09_ガント元データ!$G170,AM$2&lt;=09_ガント元データ!$H170),"■",""))</f>
        <v/>
      </c>
    </row>
    <row r="172" customFormat="false" ht="15" hidden="false" customHeight="false" outlineLevel="0" collapsed="false">
      <c r="A172" s="22" t="str">
        <f aca="false">09_ガント元データ!A171</f>
        <v/>
      </c>
      <c r="B172" s="22" t="str">
        <f aca="false">09_ガント元データ!B171</f>
        <v/>
      </c>
      <c r="C172" s="23" t="str">
        <f aca="false">09_ガント元データ!C171</f>
        <v/>
      </c>
      <c r="D172" s="24" t="str">
        <f aca="false">IF($A172="","",IF(AND(D$2&gt;=09_ガント元データ!$G171,D$2&lt;=09_ガント元データ!$H171),"■",""))</f>
        <v/>
      </c>
      <c r="E172" s="24" t="str">
        <f aca="false">IF($A172="","",IF(AND(E$2&gt;=09_ガント元データ!$G171,E$2&lt;=09_ガント元データ!$H171),"■",""))</f>
        <v/>
      </c>
      <c r="F172" s="24" t="str">
        <f aca="false">IF($A172="","",IF(AND(F$2&gt;=09_ガント元データ!$G171,F$2&lt;=09_ガント元データ!$H171),"■",""))</f>
        <v/>
      </c>
      <c r="G172" s="24" t="str">
        <f aca="false">IF($A172="","",IF(AND(G$2&gt;=09_ガント元データ!$G171,G$2&lt;=09_ガント元データ!$H171),"■",""))</f>
        <v/>
      </c>
      <c r="H172" s="24" t="str">
        <f aca="false">IF($A172="","",IF(AND(H$2&gt;=09_ガント元データ!$G171,H$2&lt;=09_ガント元データ!$H171),"■",""))</f>
        <v/>
      </c>
      <c r="I172" s="24" t="str">
        <f aca="false">IF($A172="","",IF(AND(I$2&gt;=09_ガント元データ!$G171,I$2&lt;=09_ガント元データ!$H171),"■",""))</f>
        <v/>
      </c>
      <c r="J172" s="24" t="str">
        <f aca="false">IF($A172="","",IF(AND(J$2&gt;=09_ガント元データ!$G171,J$2&lt;=09_ガント元データ!$H171),"■",""))</f>
        <v/>
      </c>
      <c r="K172" s="24" t="str">
        <f aca="false">IF($A172="","",IF(AND(K$2&gt;=09_ガント元データ!$G171,K$2&lt;=09_ガント元データ!$H171),"■",""))</f>
        <v/>
      </c>
      <c r="L172" s="24" t="str">
        <f aca="false">IF($A172="","",IF(AND(L$2&gt;=09_ガント元データ!$G171,L$2&lt;=09_ガント元データ!$H171),"■",""))</f>
        <v/>
      </c>
      <c r="M172" s="24" t="str">
        <f aca="false">IF($A172="","",IF(AND(M$2&gt;=09_ガント元データ!$G171,M$2&lt;=09_ガント元データ!$H171),"■",""))</f>
        <v/>
      </c>
      <c r="N172" s="24" t="str">
        <f aca="false">IF($A172="","",IF(AND(N$2&gt;=09_ガント元データ!$G171,N$2&lt;=09_ガント元データ!$H171),"■",""))</f>
        <v/>
      </c>
      <c r="O172" s="24" t="str">
        <f aca="false">IF($A172="","",IF(AND(O$2&gt;=09_ガント元データ!$G171,O$2&lt;=09_ガント元データ!$H171),"■",""))</f>
        <v/>
      </c>
      <c r="P172" s="24" t="str">
        <f aca="false">IF($A172="","",IF(AND(P$2&gt;=09_ガント元データ!$G171,P$2&lt;=09_ガント元データ!$H171),"■",""))</f>
        <v/>
      </c>
      <c r="Q172" s="24" t="str">
        <f aca="false">IF($A172="","",IF(AND(Q$2&gt;=09_ガント元データ!$G171,Q$2&lt;=09_ガント元データ!$H171),"■",""))</f>
        <v/>
      </c>
      <c r="R172" s="24" t="str">
        <f aca="false">IF($A172="","",IF(AND(R$2&gt;=09_ガント元データ!$G171,R$2&lt;=09_ガント元データ!$H171),"■",""))</f>
        <v/>
      </c>
      <c r="S172" s="24" t="str">
        <f aca="false">IF($A172="","",IF(AND(S$2&gt;=09_ガント元データ!$G171,S$2&lt;=09_ガント元データ!$H171),"■",""))</f>
        <v/>
      </c>
      <c r="T172" s="24" t="str">
        <f aca="false">IF($A172="","",IF(AND(T$2&gt;=09_ガント元データ!$G171,T$2&lt;=09_ガント元データ!$H171),"■",""))</f>
        <v/>
      </c>
      <c r="U172" s="24" t="str">
        <f aca="false">IF($A172="","",IF(AND(U$2&gt;=09_ガント元データ!$G171,U$2&lt;=09_ガント元データ!$H171),"■",""))</f>
        <v/>
      </c>
      <c r="V172" s="24" t="str">
        <f aca="false">IF($A172="","",IF(AND(V$2&gt;=09_ガント元データ!$G171,V$2&lt;=09_ガント元データ!$H171),"■",""))</f>
        <v/>
      </c>
      <c r="W172" s="24" t="str">
        <f aca="false">IF($A172="","",IF(AND(W$2&gt;=09_ガント元データ!$G171,W$2&lt;=09_ガント元データ!$H171),"■",""))</f>
        <v/>
      </c>
      <c r="X172" s="24" t="str">
        <f aca="false">IF($A172="","",IF(AND(X$2&gt;=09_ガント元データ!$G171,X$2&lt;=09_ガント元データ!$H171),"■",""))</f>
        <v/>
      </c>
      <c r="Y172" s="24" t="str">
        <f aca="false">IF($A172="","",IF(AND(Y$2&gt;=09_ガント元データ!$G171,Y$2&lt;=09_ガント元データ!$H171),"■",""))</f>
        <v/>
      </c>
      <c r="Z172" s="24" t="str">
        <f aca="false">IF($A172="","",IF(AND(Z$2&gt;=09_ガント元データ!$G171,Z$2&lt;=09_ガント元データ!$H171),"■",""))</f>
        <v/>
      </c>
      <c r="AA172" s="24" t="str">
        <f aca="false">IF($A172="","",IF(AND(AA$2&gt;=09_ガント元データ!$G171,AA$2&lt;=09_ガント元データ!$H171),"■",""))</f>
        <v/>
      </c>
      <c r="AB172" s="24" t="str">
        <f aca="false">IF($A172="","",IF(AND(AB$2&gt;=09_ガント元データ!$G171,AB$2&lt;=09_ガント元データ!$H171),"■",""))</f>
        <v/>
      </c>
      <c r="AC172" s="24" t="str">
        <f aca="false">IF($A172="","",IF(AND(AC$2&gt;=09_ガント元データ!$G171,AC$2&lt;=09_ガント元データ!$H171),"■",""))</f>
        <v/>
      </c>
      <c r="AD172" s="24" t="str">
        <f aca="false">IF($A172="","",IF(AND(AD$2&gt;=09_ガント元データ!$G171,AD$2&lt;=09_ガント元データ!$H171),"■",""))</f>
        <v/>
      </c>
      <c r="AE172" s="24" t="str">
        <f aca="false">IF($A172="","",IF(AND(AE$2&gt;=09_ガント元データ!$G171,AE$2&lt;=09_ガント元データ!$H171),"■",""))</f>
        <v/>
      </c>
      <c r="AF172" s="24" t="str">
        <f aca="false">IF($A172="","",IF(AND(AF$2&gt;=09_ガント元データ!$G171,AF$2&lt;=09_ガント元データ!$H171),"■",""))</f>
        <v/>
      </c>
      <c r="AG172" s="24" t="str">
        <f aca="false">IF($A172="","",IF(AND(AG$2&gt;=09_ガント元データ!$G171,AG$2&lt;=09_ガント元データ!$H171),"■",""))</f>
        <v/>
      </c>
      <c r="AH172" s="24" t="str">
        <f aca="false">IF($A172="","",IF(AND(AH$2&gt;=09_ガント元データ!$G171,AH$2&lt;=09_ガント元データ!$H171),"■",""))</f>
        <v/>
      </c>
      <c r="AI172" s="24" t="str">
        <f aca="false">IF($A172="","",IF(AND(AI$2&gt;=09_ガント元データ!$G171,AI$2&lt;=09_ガント元データ!$H171),"■",""))</f>
        <v/>
      </c>
      <c r="AJ172" s="24" t="str">
        <f aca="false">IF($A172="","",IF(AND(AJ$2&gt;=09_ガント元データ!$G171,AJ$2&lt;=09_ガント元データ!$H171),"■",""))</f>
        <v/>
      </c>
      <c r="AK172" s="24" t="str">
        <f aca="false">IF($A172="","",IF(AND(AK$2&gt;=09_ガント元データ!$G171,AK$2&lt;=09_ガント元データ!$H171),"■",""))</f>
        <v/>
      </c>
      <c r="AL172" s="24" t="str">
        <f aca="false">IF($A172="","",IF(AND(AL$2&gt;=09_ガント元データ!$G171,AL$2&lt;=09_ガント元データ!$H171),"■",""))</f>
        <v/>
      </c>
      <c r="AM172" s="24" t="str">
        <f aca="false">IF($A172="","",IF(AND(AM$2&gt;=09_ガント元データ!$G171,AM$2&lt;=09_ガント元データ!$H171),"■",""))</f>
        <v/>
      </c>
    </row>
    <row r="173" customFormat="false" ht="15" hidden="false" customHeight="false" outlineLevel="0" collapsed="false">
      <c r="A173" s="22" t="str">
        <f aca="false">09_ガント元データ!A172</f>
        <v/>
      </c>
      <c r="B173" s="22" t="str">
        <f aca="false">09_ガント元データ!B172</f>
        <v/>
      </c>
      <c r="C173" s="23" t="str">
        <f aca="false">09_ガント元データ!C172</f>
        <v/>
      </c>
      <c r="D173" s="24" t="str">
        <f aca="false">IF($A173="","",IF(AND(D$2&gt;=09_ガント元データ!$G172,D$2&lt;=09_ガント元データ!$H172),"■",""))</f>
        <v/>
      </c>
      <c r="E173" s="24" t="str">
        <f aca="false">IF($A173="","",IF(AND(E$2&gt;=09_ガント元データ!$G172,E$2&lt;=09_ガント元データ!$H172),"■",""))</f>
        <v/>
      </c>
      <c r="F173" s="24" t="str">
        <f aca="false">IF($A173="","",IF(AND(F$2&gt;=09_ガント元データ!$G172,F$2&lt;=09_ガント元データ!$H172),"■",""))</f>
        <v/>
      </c>
      <c r="G173" s="24" t="str">
        <f aca="false">IF($A173="","",IF(AND(G$2&gt;=09_ガント元データ!$G172,G$2&lt;=09_ガント元データ!$H172),"■",""))</f>
        <v/>
      </c>
      <c r="H173" s="24" t="str">
        <f aca="false">IF($A173="","",IF(AND(H$2&gt;=09_ガント元データ!$G172,H$2&lt;=09_ガント元データ!$H172),"■",""))</f>
        <v/>
      </c>
      <c r="I173" s="24" t="str">
        <f aca="false">IF($A173="","",IF(AND(I$2&gt;=09_ガント元データ!$G172,I$2&lt;=09_ガント元データ!$H172),"■",""))</f>
        <v/>
      </c>
      <c r="J173" s="24" t="str">
        <f aca="false">IF($A173="","",IF(AND(J$2&gt;=09_ガント元データ!$G172,J$2&lt;=09_ガント元データ!$H172),"■",""))</f>
        <v/>
      </c>
      <c r="K173" s="24" t="str">
        <f aca="false">IF($A173="","",IF(AND(K$2&gt;=09_ガント元データ!$G172,K$2&lt;=09_ガント元データ!$H172),"■",""))</f>
        <v/>
      </c>
      <c r="L173" s="24" t="str">
        <f aca="false">IF($A173="","",IF(AND(L$2&gt;=09_ガント元データ!$G172,L$2&lt;=09_ガント元データ!$H172),"■",""))</f>
        <v/>
      </c>
      <c r="M173" s="24" t="str">
        <f aca="false">IF($A173="","",IF(AND(M$2&gt;=09_ガント元データ!$G172,M$2&lt;=09_ガント元データ!$H172),"■",""))</f>
        <v/>
      </c>
      <c r="N173" s="24" t="str">
        <f aca="false">IF($A173="","",IF(AND(N$2&gt;=09_ガント元データ!$G172,N$2&lt;=09_ガント元データ!$H172),"■",""))</f>
        <v/>
      </c>
      <c r="O173" s="24" t="str">
        <f aca="false">IF($A173="","",IF(AND(O$2&gt;=09_ガント元データ!$G172,O$2&lt;=09_ガント元データ!$H172),"■",""))</f>
        <v/>
      </c>
      <c r="P173" s="24" t="str">
        <f aca="false">IF($A173="","",IF(AND(P$2&gt;=09_ガント元データ!$G172,P$2&lt;=09_ガント元データ!$H172),"■",""))</f>
        <v/>
      </c>
      <c r="Q173" s="24" t="str">
        <f aca="false">IF($A173="","",IF(AND(Q$2&gt;=09_ガント元データ!$G172,Q$2&lt;=09_ガント元データ!$H172),"■",""))</f>
        <v/>
      </c>
      <c r="R173" s="24" t="str">
        <f aca="false">IF($A173="","",IF(AND(R$2&gt;=09_ガント元データ!$G172,R$2&lt;=09_ガント元データ!$H172),"■",""))</f>
        <v/>
      </c>
      <c r="S173" s="24" t="str">
        <f aca="false">IF($A173="","",IF(AND(S$2&gt;=09_ガント元データ!$G172,S$2&lt;=09_ガント元データ!$H172),"■",""))</f>
        <v/>
      </c>
      <c r="T173" s="24" t="str">
        <f aca="false">IF($A173="","",IF(AND(T$2&gt;=09_ガント元データ!$G172,T$2&lt;=09_ガント元データ!$H172),"■",""))</f>
        <v/>
      </c>
      <c r="U173" s="24" t="str">
        <f aca="false">IF($A173="","",IF(AND(U$2&gt;=09_ガント元データ!$G172,U$2&lt;=09_ガント元データ!$H172),"■",""))</f>
        <v/>
      </c>
      <c r="V173" s="24" t="str">
        <f aca="false">IF($A173="","",IF(AND(V$2&gt;=09_ガント元データ!$G172,V$2&lt;=09_ガント元データ!$H172),"■",""))</f>
        <v/>
      </c>
      <c r="W173" s="24" t="str">
        <f aca="false">IF($A173="","",IF(AND(W$2&gt;=09_ガント元データ!$G172,W$2&lt;=09_ガント元データ!$H172),"■",""))</f>
        <v/>
      </c>
      <c r="X173" s="24" t="str">
        <f aca="false">IF($A173="","",IF(AND(X$2&gt;=09_ガント元データ!$G172,X$2&lt;=09_ガント元データ!$H172),"■",""))</f>
        <v/>
      </c>
      <c r="Y173" s="24" t="str">
        <f aca="false">IF($A173="","",IF(AND(Y$2&gt;=09_ガント元データ!$G172,Y$2&lt;=09_ガント元データ!$H172),"■",""))</f>
        <v/>
      </c>
      <c r="Z173" s="24" t="str">
        <f aca="false">IF($A173="","",IF(AND(Z$2&gt;=09_ガント元データ!$G172,Z$2&lt;=09_ガント元データ!$H172),"■",""))</f>
        <v/>
      </c>
      <c r="AA173" s="24" t="str">
        <f aca="false">IF($A173="","",IF(AND(AA$2&gt;=09_ガント元データ!$G172,AA$2&lt;=09_ガント元データ!$H172),"■",""))</f>
        <v/>
      </c>
      <c r="AB173" s="24" t="str">
        <f aca="false">IF($A173="","",IF(AND(AB$2&gt;=09_ガント元データ!$G172,AB$2&lt;=09_ガント元データ!$H172),"■",""))</f>
        <v/>
      </c>
      <c r="AC173" s="24" t="str">
        <f aca="false">IF($A173="","",IF(AND(AC$2&gt;=09_ガント元データ!$G172,AC$2&lt;=09_ガント元データ!$H172),"■",""))</f>
        <v/>
      </c>
      <c r="AD173" s="24" t="str">
        <f aca="false">IF($A173="","",IF(AND(AD$2&gt;=09_ガント元データ!$G172,AD$2&lt;=09_ガント元データ!$H172),"■",""))</f>
        <v/>
      </c>
      <c r="AE173" s="24" t="str">
        <f aca="false">IF($A173="","",IF(AND(AE$2&gt;=09_ガント元データ!$G172,AE$2&lt;=09_ガント元データ!$H172),"■",""))</f>
        <v/>
      </c>
      <c r="AF173" s="24" t="str">
        <f aca="false">IF($A173="","",IF(AND(AF$2&gt;=09_ガント元データ!$G172,AF$2&lt;=09_ガント元データ!$H172),"■",""))</f>
        <v/>
      </c>
      <c r="AG173" s="24" t="str">
        <f aca="false">IF($A173="","",IF(AND(AG$2&gt;=09_ガント元データ!$G172,AG$2&lt;=09_ガント元データ!$H172),"■",""))</f>
        <v/>
      </c>
      <c r="AH173" s="24" t="str">
        <f aca="false">IF($A173="","",IF(AND(AH$2&gt;=09_ガント元データ!$G172,AH$2&lt;=09_ガント元データ!$H172),"■",""))</f>
        <v/>
      </c>
      <c r="AI173" s="24" t="str">
        <f aca="false">IF($A173="","",IF(AND(AI$2&gt;=09_ガント元データ!$G172,AI$2&lt;=09_ガント元データ!$H172),"■",""))</f>
        <v/>
      </c>
      <c r="AJ173" s="24" t="str">
        <f aca="false">IF($A173="","",IF(AND(AJ$2&gt;=09_ガント元データ!$G172,AJ$2&lt;=09_ガント元データ!$H172),"■",""))</f>
        <v/>
      </c>
      <c r="AK173" s="24" t="str">
        <f aca="false">IF($A173="","",IF(AND(AK$2&gt;=09_ガント元データ!$G172,AK$2&lt;=09_ガント元データ!$H172),"■",""))</f>
        <v/>
      </c>
      <c r="AL173" s="24" t="str">
        <f aca="false">IF($A173="","",IF(AND(AL$2&gt;=09_ガント元データ!$G172,AL$2&lt;=09_ガント元データ!$H172),"■",""))</f>
        <v/>
      </c>
      <c r="AM173" s="24" t="str">
        <f aca="false">IF($A173="","",IF(AND(AM$2&gt;=09_ガント元データ!$G172,AM$2&lt;=09_ガント元データ!$H172),"■",""))</f>
        <v/>
      </c>
    </row>
    <row r="174" customFormat="false" ht="15" hidden="false" customHeight="false" outlineLevel="0" collapsed="false">
      <c r="A174" s="22" t="str">
        <f aca="false">09_ガント元データ!A173</f>
        <v/>
      </c>
      <c r="B174" s="22" t="str">
        <f aca="false">09_ガント元データ!B173</f>
        <v/>
      </c>
      <c r="C174" s="23" t="str">
        <f aca="false">09_ガント元データ!C173</f>
        <v/>
      </c>
      <c r="D174" s="24" t="str">
        <f aca="false">IF($A174="","",IF(AND(D$2&gt;=09_ガント元データ!$G173,D$2&lt;=09_ガント元データ!$H173),"■",""))</f>
        <v/>
      </c>
      <c r="E174" s="24" t="str">
        <f aca="false">IF($A174="","",IF(AND(E$2&gt;=09_ガント元データ!$G173,E$2&lt;=09_ガント元データ!$H173),"■",""))</f>
        <v/>
      </c>
      <c r="F174" s="24" t="str">
        <f aca="false">IF($A174="","",IF(AND(F$2&gt;=09_ガント元データ!$G173,F$2&lt;=09_ガント元データ!$H173),"■",""))</f>
        <v/>
      </c>
      <c r="G174" s="24" t="str">
        <f aca="false">IF($A174="","",IF(AND(G$2&gt;=09_ガント元データ!$G173,G$2&lt;=09_ガント元データ!$H173),"■",""))</f>
        <v/>
      </c>
      <c r="H174" s="24" t="str">
        <f aca="false">IF($A174="","",IF(AND(H$2&gt;=09_ガント元データ!$G173,H$2&lt;=09_ガント元データ!$H173),"■",""))</f>
        <v/>
      </c>
      <c r="I174" s="24" t="str">
        <f aca="false">IF($A174="","",IF(AND(I$2&gt;=09_ガント元データ!$G173,I$2&lt;=09_ガント元データ!$H173),"■",""))</f>
        <v/>
      </c>
      <c r="J174" s="24" t="str">
        <f aca="false">IF($A174="","",IF(AND(J$2&gt;=09_ガント元データ!$G173,J$2&lt;=09_ガント元データ!$H173),"■",""))</f>
        <v/>
      </c>
      <c r="K174" s="24" t="str">
        <f aca="false">IF($A174="","",IF(AND(K$2&gt;=09_ガント元データ!$G173,K$2&lt;=09_ガント元データ!$H173),"■",""))</f>
        <v/>
      </c>
      <c r="L174" s="24" t="str">
        <f aca="false">IF($A174="","",IF(AND(L$2&gt;=09_ガント元データ!$G173,L$2&lt;=09_ガント元データ!$H173),"■",""))</f>
        <v/>
      </c>
      <c r="M174" s="24" t="str">
        <f aca="false">IF($A174="","",IF(AND(M$2&gt;=09_ガント元データ!$G173,M$2&lt;=09_ガント元データ!$H173),"■",""))</f>
        <v/>
      </c>
      <c r="N174" s="24" t="str">
        <f aca="false">IF($A174="","",IF(AND(N$2&gt;=09_ガント元データ!$G173,N$2&lt;=09_ガント元データ!$H173),"■",""))</f>
        <v/>
      </c>
      <c r="O174" s="24" t="str">
        <f aca="false">IF($A174="","",IF(AND(O$2&gt;=09_ガント元データ!$G173,O$2&lt;=09_ガント元データ!$H173),"■",""))</f>
        <v/>
      </c>
      <c r="P174" s="24" t="str">
        <f aca="false">IF($A174="","",IF(AND(P$2&gt;=09_ガント元データ!$G173,P$2&lt;=09_ガント元データ!$H173),"■",""))</f>
        <v/>
      </c>
      <c r="Q174" s="24" t="str">
        <f aca="false">IF($A174="","",IF(AND(Q$2&gt;=09_ガント元データ!$G173,Q$2&lt;=09_ガント元データ!$H173),"■",""))</f>
        <v/>
      </c>
      <c r="R174" s="24" t="str">
        <f aca="false">IF($A174="","",IF(AND(R$2&gt;=09_ガント元データ!$G173,R$2&lt;=09_ガント元データ!$H173),"■",""))</f>
        <v/>
      </c>
      <c r="S174" s="24" t="str">
        <f aca="false">IF($A174="","",IF(AND(S$2&gt;=09_ガント元データ!$G173,S$2&lt;=09_ガント元データ!$H173),"■",""))</f>
        <v/>
      </c>
      <c r="T174" s="24" t="str">
        <f aca="false">IF($A174="","",IF(AND(T$2&gt;=09_ガント元データ!$G173,T$2&lt;=09_ガント元データ!$H173),"■",""))</f>
        <v/>
      </c>
      <c r="U174" s="24" t="str">
        <f aca="false">IF($A174="","",IF(AND(U$2&gt;=09_ガント元データ!$G173,U$2&lt;=09_ガント元データ!$H173),"■",""))</f>
        <v/>
      </c>
      <c r="V174" s="24" t="str">
        <f aca="false">IF($A174="","",IF(AND(V$2&gt;=09_ガント元データ!$G173,V$2&lt;=09_ガント元データ!$H173),"■",""))</f>
        <v/>
      </c>
      <c r="W174" s="24" t="str">
        <f aca="false">IF($A174="","",IF(AND(W$2&gt;=09_ガント元データ!$G173,W$2&lt;=09_ガント元データ!$H173),"■",""))</f>
        <v/>
      </c>
      <c r="X174" s="24" t="str">
        <f aca="false">IF($A174="","",IF(AND(X$2&gt;=09_ガント元データ!$G173,X$2&lt;=09_ガント元データ!$H173),"■",""))</f>
        <v/>
      </c>
      <c r="Y174" s="24" t="str">
        <f aca="false">IF($A174="","",IF(AND(Y$2&gt;=09_ガント元データ!$G173,Y$2&lt;=09_ガント元データ!$H173),"■",""))</f>
        <v/>
      </c>
      <c r="Z174" s="24" t="str">
        <f aca="false">IF($A174="","",IF(AND(Z$2&gt;=09_ガント元データ!$G173,Z$2&lt;=09_ガント元データ!$H173),"■",""))</f>
        <v/>
      </c>
      <c r="AA174" s="24" t="str">
        <f aca="false">IF($A174="","",IF(AND(AA$2&gt;=09_ガント元データ!$G173,AA$2&lt;=09_ガント元データ!$H173),"■",""))</f>
        <v/>
      </c>
      <c r="AB174" s="24" t="str">
        <f aca="false">IF($A174="","",IF(AND(AB$2&gt;=09_ガント元データ!$G173,AB$2&lt;=09_ガント元データ!$H173),"■",""))</f>
        <v/>
      </c>
      <c r="AC174" s="24" t="str">
        <f aca="false">IF($A174="","",IF(AND(AC$2&gt;=09_ガント元データ!$G173,AC$2&lt;=09_ガント元データ!$H173),"■",""))</f>
        <v/>
      </c>
      <c r="AD174" s="24" t="str">
        <f aca="false">IF($A174="","",IF(AND(AD$2&gt;=09_ガント元データ!$G173,AD$2&lt;=09_ガント元データ!$H173),"■",""))</f>
        <v/>
      </c>
      <c r="AE174" s="24" t="str">
        <f aca="false">IF($A174="","",IF(AND(AE$2&gt;=09_ガント元データ!$G173,AE$2&lt;=09_ガント元データ!$H173),"■",""))</f>
        <v/>
      </c>
      <c r="AF174" s="24" t="str">
        <f aca="false">IF($A174="","",IF(AND(AF$2&gt;=09_ガント元データ!$G173,AF$2&lt;=09_ガント元データ!$H173),"■",""))</f>
        <v/>
      </c>
      <c r="AG174" s="24" t="str">
        <f aca="false">IF($A174="","",IF(AND(AG$2&gt;=09_ガント元データ!$G173,AG$2&lt;=09_ガント元データ!$H173),"■",""))</f>
        <v/>
      </c>
      <c r="AH174" s="24" t="str">
        <f aca="false">IF($A174="","",IF(AND(AH$2&gt;=09_ガント元データ!$G173,AH$2&lt;=09_ガント元データ!$H173),"■",""))</f>
        <v/>
      </c>
      <c r="AI174" s="24" t="str">
        <f aca="false">IF($A174="","",IF(AND(AI$2&gt;=09_ガント元データ!$G173,AI$2&lt;=09_ガント元データ!$H173),"■",""))</f>
        <v/>
      </c>
      <c r="AJ174" s="24" t="str">
        <f aca="false">IF($A174="","",IF(AND(AJ$2&gt;=09_ガント元データ!$G173,AJ$2&lt;=09_ガント元データ!$H173),"■",""))</f>
        <v/>
      </c>
      <c r="AK174" s="24" t="str">
        <f aca="false">IF($A174="","",IF(AND(AK$2&gt;=09_ガント元データ!$G173,AK$2&lt;=09_ガント元データ!$H173),"■",""))</f>
        <v/>
      </c>
      <c r="AL174" s="24" t="str">
        <f aca="false">IF($A174="","",IF(AND(AL$2&gt;=09_ガント元データ!$G173,AL$2&lt;=09_ガント元データ!$H173),"■",""))</f>
        <v/>
      </c>
      <c r="AM174" s="24" t="str">
        <f aca="false">IF($A174="","",IF(AND(AM$2&gt;=09_ガント元データ!$G173,AM$2&lt;=09_ガント元データ!$H173),"■",""))</f>
        <v/>
      </c>
    </row>
    <row r="175" customFormat="false" ht="15" hidden="false" customHeight="false" outlineLevel="0" collapsed="false">
      <c r="A175" s="22" t="str">
        <f aca="false">09_ガント元データ!A174</f>
        <v/>
      </c>
      <c r="B175" s="22" t="str">
        <f aca="false">09_ガント元データ!B174</f>
        <v/>
      </c>
      <c r="C175" s="23" t="str">
        <f aca="false">09_ガント元データ!C174</f>
        <v/>
      </c>
      <c r="D175" s="24" t="str">
        <f aca="false">IF($A175="","",IF(AND(D$2&gt;=09_ガント元データ!$G174,D$2&lt;=09_ガント元データ!$H174),"■",""))</f>
        <v/>
      </c>
      <c r="E175" s="24" t="str">
        <f aca="false">IF($A175="","",IF(AND(E$2&gt;=09_ガント元データ!$G174,E$2&lt;=09_ガント元データ!$H174),"■",""))</f>
        <v/>
      </c>
      <c r="F175" s="24" t="str">
        <f aca="false">IF($A175="","",IF(AND(F$2&gt;=09_ガント元データ!$G174,F$2&lt;=09_ガント元データ!$H174),"■",""))</f>
        <v/>
      </c>
      <c r="G175" s="24" t="str">
        <f aca="false">IF($A175="","",IF(AND(G$2&gt;=09_ガント元データ!$G174,G$2&lt;=09_ガント元データ!$H174),"■",""))</f>
        <v/>
      </c>
      <c r="H175" s="24" t="str">
        <f aca="false">IF($A175="","",IF(AND(H$2&gt;=09_ガント元データ!$G174,H$2&lt;=09_ガント元データ!$H174),"■",""))</f>
        <v/>
      </c>
      <c r="I175" s="24" t="str">
        <f aca="false">IF($A175="","",IF(AND(I$2&gt;=09_ガント元データ!$G174,I$2&lt;=09_ガント元データ!$H174),"■",""))</f>
        <v/>
      </c>
      <c r="J175" s="24" t="str">
        <f aca="false">IF($A175="","",IF(AND(J$2&gt;=09_ガント元データ!$G174,J$2&lt;=09_ガント元データ!$H174),"■",""))</f>
        <v/>
      </c>
      <c r="K175" s="24" t="str">
        <f aca="false">IF($A175="","",IF(AND(K$2&gt;=09_ガント元データ!$G174,K$2&lt;=09_ガント元データ!$H174),"■",""))</f>
        <v/>
      </c>
      <c r="L175" s="24" t="str">
        <f aca="false">IF($A175="","",IF(AND(L$2&gt;=09_ガント元データ!$G174,L$2&lt;=09_ガント元データ!$H174),"■",""))</f>
        <v/>
      </c>
      <c r="M175" s="24" t="str">
        <f aca="false">IF($A175="","",IF(AND(M$2&gt;=09_ガント元データ!$G174,M$2&lt;=09_ガント元データ!$H174),"■",""))</f>
        <v/>
      </c>
      <c r="N175" s="24" t="str">
        <f aca="false">IF($A175="","",IF(AND(N$2&gt;=09_ガント元データ!$G174,N$2&lt;=09_ガント元データ!$H174),"■",""))</f>
        <v/>
      </c>
      <c r="O175" s="24" t="str">
        <f aca="false">IF($A175="","",IF(AND(O$2&gt;=09_ガント元データ!$G174,O$2&lt;=09_ガント元データ!$H174),"■",""))</f>
        <v/>
      </c>
      <c r="P175" s="24" t="str">
        <f aca="false">IF($A175="","",IF(AND(P$2&gt;=09_ガント元データ!$G174,P$2&lt;=09_ガント元データ!$H174),"■",""))</f>
        <v/>
      </c>
      <c r="Q175" s="24" t="str">
        <f aca="false">IF($A175="","",IF(AND(Q$2&gt;=09_ガント元データ!$G174,Q$2&lt;=09_ガント元データ!$H174),"■",""))</f>
        <v/>
      </c>
      <c r="R175" s="24" t="str">
        <f aca="false">IF($A175="","",IF(AND(R$2&gt;=09_ガント元データ!$G174,R$2&lt;=09_ガント元データ!$H174),"■",""))</f>
        <v/>
      </c>
      <c r="S175" s="24" t="str">
        <f aca="false">IF($A175="","",IF(AND(S$2&gt;=09_ガント元データ!$G174,S$2&lt;=09_ガント元データ!$H174),"■",""))</f>
        <v/>
      </c>
      <c r="T175" s="24" t="str">
        <f aca="false">IF($A175="","",IF(AND(T$2&gt;=09_ガント元データ!$G174,T$2&lt;=09_ガント元データ!$H174),"■",""))</f>
        <v/>
      </c>
      <c r="U175" s="24" t="str">
        <f aca="false">IF($A175="","",IF(AND(U$2&gt;=09_ガント元データ!$G174,U$2&lt;=09_ガント元データ!$H174),"■",""))</f>
        <v/>
      </c>
      <c r="V175" s="24" t="str">
        <f aca="false">IF($A175="","",IF(AND(V$2&gt;=09_ガント元データ!$G174,V$2&lt;=09_ガント元データ!$H174),"■",""))</f>
        <v/>
      </c>
      <c r="W175" s="24" t="str">
        <f aca="false">IF($A175="","",IF(AND(W$2&gt;=09_ガント元データ!$G174,W$2&lt;=09_ガント元データ!$H174),"■",""))</f>
        <v/>
      </c>
      <c r="X175" s="24" t="str">
        <f aca="false">IF($A175="","",IF(AND(X$2&gt;=09_ガント元データ!$G174,X$2&lt;=09_ガント元データ!$H174),"■",""))</f>
        <v/>
      </c>
      <c r="Y175" s="24" t="str">
        <f aca="false">IF($A175="","",IF(AND(Y$2&gt;=09_ガント元データ!$G174,Y$2&lt;=09_ガント元データ!$H174),"■",""))</f>
        <v/>
      </c>
      <c r="Z175" s="24" t="str">
        <f aca="false">IF($A175="","",IF(AND(Z$2&gt;=09_ガント元データ!$G174,Z$2&lt;=09_ガント元データ!$H174),"■",""))</f>
        <v/>
      </c>
      <c r="AA175" s="24" t="str">
        <f aca="false">IF($A175="","",IF(AND(AA$2&gt;=09_ガント元データ!$G174,AA$2&lt;=09_ガント元データ!$H174),"■",""))</f>
        <v/>
      </c>
      <c r="AB175" s="24" t="str">
        <f aca="false">IF($A175="","",IF(AND(AB$2&gt;=09_ガント元データ!$G174,AB$2&lt;=09_ガント元データ!$H174),"■",""))</f>
        <v/>
      </c>
      <c r="AC175" s="24" t="str">
        <f aca="false">IF($A175="","",IF(AND(AC$2&gt;=09_ガント元データ!$G174,AC$2&lt;=09_ガント元データ!$H174),"■",""))</f>
        <v/>
      </c>
      <c r="AD175" s="24" t="str">
        <f aca="false">IF($A175="","",IF(AND(AD$2&gt;=09_ガント元データ!$G174,AD$2&lt;=09_ガント元データ!$H174),"■",""))</f>
        <v/>
      </c>
      <c r="AE175" s="24" t="str">
        <f aca="false">IF($A175="","",IF(AND(AE$2&gt;=09_ガント元データ!$G174,AE$2&lt;=09_ガント元データ!$H174),"■",""))</f>
        <v/>
      </c>
      <c r="AF175" s="24" t="str">
        <f aca="false">IF($A175="","",IF(AND(AF$2&gt;=09_ガント元データ!$G174,AF$2&lt;=09_ガント元データ!$H174),"■",""))</f>
        <v/>
      </c>
      <c r="AG175" s="24" t="str">
        <f aca="false">IF($A175="","",IF(AND(AG$2&gt;=09_ガント元データ!$G174,AG$2&lt;=09_ガント元データ!$H174),"■",""))</f>
        <v/>
      </c>
      <c r="AH175" s="24" t="str">
        <f aca="false">IF($A175="","",IF(AND(AH$2&gt;=09_ガント元データ!$G174,AH$2&lt;=09_ガント元データ!$H174),"■",""))</f>
        <v/>
      </c>
      <c r="AI175" s="24" t="str">
        <f aca="false">IF($A175="","",IF(AND(AI$2&gt;=09_ガント元データ!$G174,AI$2&lt;=09_ガント元データ!$H174),"■",""))</f>
        <v/>
      </c>
      <c r="AJ175" s="24" t="str">
        <f aca="false">IF($A175="","",IF(AND(AJ$2&gt;=09_ガント元データ!$G174,AJ$2&lt;=09_ガント元データ!$H174),"■",""))</f>
        <v/>
      </c>
      <c r="AK175" s="24" t="str">
        <f aca="false">IF($A175="","",IF(AND(AK$2&gt;=09_ガント元データ!$G174,AK$2&lt;=09_ガント元データ!$H174),"■",""))</f>
        <v/>
      </c>
      <c r="AL175" s="24" t="str">
        <f aca="false">IF($A175="","",IF(AND(AL$2&gt;=09_ガント元データ!$G174,AL$2&lt;=09_ガント元データ!$H174),"■",""))</f>
        <v/>
      </c>
      <c r="AM175" s="24" t="str">
        <f aca="false">IF($A175="","",IF(AND(AM$2&gt;=09_ガント元データ!$G174,AM$2&lt;=09_ガント元データ!$H174),"■",""))</f>
        <v/>
      </c>
    </row>
    <row r="176" customFormat="false" ht="15" hidden="false" customHeight="false" outlineLevel="0" collapsed="false">
      <c r="A176" s="22" t="str">
        <f aca="false">09_ガント元データ!A175</f>
        <v/>
      </c>
      <c r="B176" s="22" t="str">
        <f aca="false">09_ガント元データ!B175</f>
        <v/>
      </c>
      <c r="C176" s="23" t="str">
        <f aca="false">09_ガント元データ!C175</f>
        <v/>
      </c>
      <c r="D176" s="24" t="str">
        <f aca="false">IF($A176="","",IF(AND(D$2&gt;=09_ガント元データ!$G175,D$2&lt;=09_ガント元データ!$H175),"■",""))</f>
        <v/>
      </c>
      <c r="E176" s="24" t="str">
        <f aca="false">IF($A176="","",IF(AND(E$2&gt;=09_ガント元データ!$G175,E$2&lt;=09_ガント元データ!$H175),"■",""))</f>
        <v/>
      </c>
      <c r="F176" s="24" t="str">
        <f aca="false">IF($A176="","",IF(AND(F$2&gt;=09_ガント元データ!$G175,F$2&lt;=09_ガント元データ!$H175),"■",""))</f>
        <v/>
      </c>
      <c r="G176" s="24" t="str">
        <f aca="false">IF($A176="","",IF(AND(G$2&gt;=09_ガント元データ!$G175,G$2&lt;=09_ガント元データ!$H175),"■",""))</f>
        <v/>
      </c>
      <c r="H176" s="24" t="str">
        <f aca="false">IF($A176="","",IF(AND(H$2&gt;=09_ガント元データ!$G175,H$2&lt;=09_ガント元データ!$H175),"■",""))</f>
        <v/>
      </c>
      <c r="I176" s="24" t="str">
        <f aca="false">IF($A176="","",IF(AND(I$2&gt;=09_ガント元データ!$G175,I$2&lt;=09_ガント元データ!$H175),"■",""))</f>
        <v/>
      </c>
      <c r="J176" s="24" t="str">
        <f aca="false">IF($A176="","",IF(AND(J$2&gt;=09_ガント元データ!$G175,J$2&lt;=09_ガント元データ!$H175),"■",""))</f>
        <v/>
      </c>
      <c r="K176" s="24" t="str">
        <f aca="false">IF($A176="","",IF(AND(K$2&gt;=09_ガント元データ!$G175,K$2&lt;=09_ガント元データ!$H175),"■",""))</f>
        <v/>
      </c>
      <c r="L176" s="24" t="str">
        <f aca="false">IF($A176="","",IF(AND(L$2&gt;=09_ガント元データ!$G175,L$2&lt;=09_ガント元データ!$H175),"■",""))</f>
        <v/>
      </c>
      <c r="M176" s="24" t="str">
        <f aca="false">IF($A176="","",IF(AND(M$2&gt;=09_ガント元データ!$G175,M$2&lt;=09_ガント元データ!$H175),"■",""))</f>
        <v/>
      </c>
      <c r="N176" s="24" t="str">
        <f aca="false">IF($A176="","",IF(AND(N$2&gt;=09_ガント元データ!$G175,N$2&lt;=09_ガント元データ!$H175),"■",""))</f>
        <v/>
      </c>
      <c r="O176" s="24" t="str">
        <f aca="false">IF($A176="","",IF(AND(O$2&gt;=09_ガント元データ!$G175,O$2&lt;=09_ガント元データ!$H175),"■",""))</f>
        <v/>
      </c>
      <c r="P176" s="24" t="str">
        <f aca="false">IF($A176="","",IF(AND(P$2&gt;=09_ガント元データ!$G175,P$2&lt;=09_ガント元データ!$H175),"■",""))</f>
        <v/>
      </c>
      <c r="Q176" s="24" t="str">
        <f aca="false">IF($A176="","",IF(AND(Q$2&gt;=09_ガント元データ!$G175,Q$2&lt;=09_ガント元データ!$H175),"■",""))</f>
        <v/>
      </c>
      <c r="R176" s="24" t="str">
        <f aca="false">IF($A176="","",IF(AND(R$2&gt;=09_ガント元データ!$G175,R$2&lt;=09_ガント元データ!$H175),"■",""))</f>
        <v/>
      </c>
      <c r="S176" s="24" t="str">
        <f aca="false">IF($A176="","",IF(AND(S$2&gt;=09_ガント元データ!$G175,S$2&lt;=09_ガント元データ!$H175),"■",""))</f>
        <v/>
      </c>
      <c r="T176" s="24" t="str">
        <f aca="false">IF($A176="","",IF(AND(T$2&gt;=09_ガント元データ!$G175,T$2&lt;=09_ガント元データ!$H175),"■",""))</f>
        <v/>
      </c>
      <c r="U176" s="24" t="str">
        <f aca="false">IF($A176="","",IF(AND(U$2&gt;=09_ガント元データ!$G175,U$2&lt;=09_ガント元データ!$H175),"■",""))</f>
        <v/>
      </c>
      <c r="V176" s="24" t="str">
        <f aca="false">IF($A176="","",IF(AND(V$2&gt;=09_ガント元データ!$G175,V$2&lt;=09_ガント元データ!$H175),"■",""))</f>
        <v/>
      </c>
      <c r="W176" s="24" t="str">
        <f aca="false">IF($A176="","",IF(AND(W$2&gt;=09_ガント元データ!$G175,W$2&lt;=09_ガント元データ!$H175),"■",""))</f>
        <v/>
      </c>
      <c r="X176" s="24" t="str">
        <f aca="false">IF($A176="","",IF(AND(X$2&gt;=09_ガント元データ!$G175,X$2&lt;=09_ガント元データ!$H175),"■",""))</f>
        <v/>
      </c>
      <c r="Y176" s="24" t="str">
        <f aca="false">IF($A176="","",IF(AND(Y$2&gt;=09_ガント元データ!$G175,Y$2&lt;=09_ガント元データ!$H175),"■",""))</f>
        <v/>
      </c>
      <c r="Z176" s="24" t="str">
        <f aca="false">IF($A176="","",IF(AND(Z$2&gt;=09_ガント元データ!$G175,Z$2&lt;=09_ガント元データ!$H175),"■",""))</f>
        <v/>
      </c>
      <c r="AA176" s="24" t="str">
        <f aca="false">IF($A176="","",IF(AND(AA$2&gt;=09_ガント元データ!$G175,AA$2&lt;=09_ガント元データ!$H175),"■",""))</f>
        <v/>
      </c>
      <c r="AB176" s="24" t="str">
        <f aca="false">IF($A176="","",IF(AND(AB$2&gt;=09_ガント元データ!$G175,AB$2&lt;=09_ガント元データ!$H175),"■",""))</f>
        <v/>
      </c>
      <c r="AC176" s="24" t="str">
        <f aca="false">IF($A176="","",IF(AND(AC$2&gt;=09_ガント元データ!$G175,AC$2&lt;=09_ガント元データ!$H175),"■",""))</f>
        <v/>
      </c>
      <c r="AD176" s="24" t="str">
        <f aca="false">IF($A176="","",IF(AND(AD$2&gt;=09_ガント元データ!$G175,AD$2&lt;=09_ガント元データ!$H175),"■",""))</f>
        <v/>
      </c>
      <c r="AE176" s="24" t="str">
        <f aca="false">IF($A176="","",IF(AND(AE$2&gt;=09_ガント元データ!$G175,AE$2&lt;=09_ガント元データ!$H175),"■",""))</f>
        <v/>
      </c>
      <c r="AF176" s="24" t="str">
        <f aca="false">IF($A176="","",IF(AND(AF$2&gt;=09_ガント元データ!$G175,AF$2&lt;=09_ガント元データ!$H175),"■",""))</f>
        <v/>
      </c>
      <c r="AG176" s="24" t="str">
        <f aca="false">IF($A176="","",IF(AND(AG$2&gt;=09_ガント元データ!$G175,AG$2&lt;=09_ガント元データ!$H175),"■",""))</f>
        <v/>
      </c>
      <c r="AH176" s="24" t="str">
        <f aca="false">IF($A176="","",IF(AND(AH$2&gt;=09_ガント元データ!$G175,AH$2&lt;=09_ガント元データ!$H175),"■",""))</f>
        <v/>
      </c>
      <c r="AI176" s="24" t="str">
        <f aca="false">IF($A176="","",IF(AND(AI$2&gt;=09_ガント元データ!$G175,AI$2&lt;=09_ガント元データ!$H175),"■",""))</f>
        <v/>
      </c>
      <c r="AJ176" s="24" t="str">
        <f aca="false">IF($A176="","",IF(AND(AJ$2&gt;=09_ガント元データ!$G175,AJ$2&lt;=09_ガント元データ!$H175),"■",""))</f>
        <v/>
      </c>
      <c r="AK176" s="24" t="str">
        <f aca="false">IF($A176="","",IF(AND(AK$2&gt;=09_ガント元データ!$G175,AK$2&lt;=09_ガント元データ!$H175),"■",""))</f>
        <v/>
      </c>
      <c r="AL176" s="24" t="str">
        <f aca="false">IF($A176="","",IF(AND(AL$2&gt;=09_ガント元データ!$G175,AL$2&lt;=09_ガント元データ!$H175),"■",""))</f>
        <v/>
      </c>
      <c r="AM176" s="24" t="str">
        <f aca="false">IF($A176="","",IF(AND(AM$2&gt;=09_ガント元データ!$G175,AM$2&lt;=09_ガント元データ!$H175),"■",""))</f>
        <v/>
      </c>
    </row>
    <row r="177" customFormat="false" ht="15" hidden="false" customHeight="false" outlineLevel="0" collapsed="false">
      <c r="A177" s="22" t="str">
        <f aca="false">09_ガント元データ!A176</f>
        <v/>
      </c>
      <c r="B177" s="22" t="str">
        <f aca="false">09_ガント元データ!B176</f>
        <v/>
      </c>
      <c r="C177" s="23" t="str">
        <f aca="false">09_ガント元データ!C176</f>
        <v/>
      </c>
      <c r="D177" s="24" t="str">
        <f aca="false">IF($A177="","",IF(AND(D$2&gt;=09_ガント元データ!$G176,D$2&lt;=09_ガント元データ!$H176),"■",""))</f>
        <v/>
      </c>
      <c r="E177" s="24" t="str">
        <f aca="false">IF($A177="","",IF(AND(E$2&gt;=09_ガント元データ!$G176,E$2&lt;=09_ガント元データ!$H176),"■",""))</f>
        <v/>
      </c>
      <c r="F177" s="24" t="str">
        <f aca="false">IF($A177="","",IF(AND(F$2&gt;=09_ガント元データ!$G176,F$2&lt;=09_ガント元データ!$H176),"■",""))</f>
        <v/>
      </c>
      <c r="G177" s="24" t="str">
        <f aca="false">IF($A177="","",IF(AND(G$2&gt;=09_ガント元データ!$G176,G$2&lt;=09_ガント元データ!$H176),"■",""))</f>
        <v/>
      </c>
      <c r="H177" s="24" t="str">
        <f aca="false">IF($A177="","",IF(AND(H$2&gt;=09_ガント元データ!$G176,H$2&lt;=09_ガント元データ!$H176),"■",""))</f>
        <v/>
      </c>
      <c r="I177" s="24" t="str">
        <f aca="false">IF($A177="","",IF(AND(I$2&gt;=09_ガント元データ!$G176,I$2&lt;=09_ガント元データ!$H176),"■",""))</f>
        <v/>
      </c>
      <c r="J177" s="24" t="str">
        <f aca="false">IF($A177="","",IF(AND(J$2&gt;=09_ガント元データ!$G176,J$2&lt;=09_ガント元データ!$H176),"■",""))</f>
        <v/>
      </c>
      <c r="K177" s="24" t="str">
        <f aca="false">IF($A177="","",IF(AND(K$2&gt;=09_ガント元データ!$G176,K$2&lt;=09_ガント元データ!$H176),"■",""))</f>
        <v/>
      </c>
      <c r="L177" s="24" t="str">
        <f aca="false">IF($A177="","",IF(AND(L$2&gt;=09_ガント元データ!$G176,L$2&lt;=09_ガント元データ!$H176),"■",""))</f>
        <v/>
      </c>
      <c r="M177" s="24" t="str">
        <f aca="false">IF($A177="","",IF(AND(M$2&gt;=09_ガント元データ!$G176,M$2&lt;=09_ガント元データ!$H176),"■",""))</f>
        <v/>
      </c>
      <c r="N177" s="24" t="str">
        <f aca="false">IF($A177="","",IF(AND(N$2&gt;=09_ガント元データ!$G176,N$2&lt;=09_ガント元データ!$H176),"■",""))</f>
        <v/>
      </c>
      <c r="O177" s="24" t="str">
        <f aca="false">IF($A177="","",IF(AND(O$2&gt;=09_ガント元データ!$G176,O$2&lt;=09_ガント元データ!$H176),"■",""))</f>
        <v/>
      </c>
      <c r="P177" s="24" t="str">
        <f aca="false">IF($A177="","",IF(AND(P$2&gt;=09_ガント元データ!$G176,P$2&lt;=09_ガント元データ!$H176),"■",""))</f>
        <v/>
      </c>
      <c r="Q177" s="24" t="str">
        <f aca="false">IF($A177="","",IF(AND(Q$2&gt;=09_ガント元データ!$G176,Q$2&lt;=09_ガント元データ!$H176),"■",""))</f>
        <v/>
      </c>
      <c r="R177" s="24" t="str">
        <f aca="false">IF($A177="","",IF(AND(R$2&gt;=09_ガント元データ!$G176,R$2&lt;=09_ガント元データ!$H176),"■",""))</f>
        <v/>
      </c>
      <c r="S177" s="24" t="str">
        <f aca="false">IF($A177="","",IF(AND(S$2&gt;=09_ガント元データ!$G176,S$2&lt;=09_ガント元データ!$H176),"■",""))</f>
        <v/>
      </c>
      <c r="T177" s="24" t="str">
        <f aca="false">IF($A177="","",IF(AND(T$2&gt;=09_ガント元データ!$G176,T$2&lt;=09_ガント元データ!$H176),"■",""))</f>
        <v/>
      </c>
      <c r="U177" s="24" t="str">
        <f aca="false">IF($A177="","",IF(AND(U$2&gt;=09_ガント元データ!$G176,U$2&lt;=09_ガント元データ!$H176),"■",""))</f>
        <v/>
      </c>
      <c r="V177" s="24" t="str">
        <f aca="false">IF($A177="","",IF(AND(V$2&gt;=09_ガント元データ!$G176,V$2&lt;=09_ガント元データ!$H176),"■",""))</f>
        <v/>
      </c>
      <c r="W177" s="24" t="str">
        <f aca="false">IF($A177="","",IF(AND(W$2&gt;=09_ガント元データ!$G176,W$2&lt;=09_ガント元データ!$H176),"■",""))</f>
        <v/>
      </c>
      <c r="X177" s="24" t="str">
        <f aca="false">IF($A177="","",IF(AND(X$2&gt;=09_ガント元データ!$G176,X$2&lt;=09_ガント元データ!$H176),"■",""))</f>
        <v/>
      </c>
      <c r="Y177" s="24" t="str">
        <f aca="false">IF($A177="","",IF(AND(Y$2&gt;=09_ガント元データ!$G176,Y$2&lt;=09_ガント元データ!$H176),"■",""))</f>
        <v/>
      </c>
      <c r="Z177" s="24" t="str">
        <f aca="false">IF($A177="","",IF(AND(Z$2&gt;=09_ガント元データ!$G176,Z$2&lt;=09_ガント元データ!$H176),"■",""))</f>
        <v/>
      </c>
      <c r="AA177" s="24" t="str">
        <f aca="false">IF($A177="","",IF(AND(AA$2&gt;=09_ガント元データ!$G176,AA$2&lt;=09_ガント元データ!$H176),"■",""))</f>
        <v/>
      </c>
      <c r="AB177" s="24" t="str">
        <f aca="false">IF($A177="","",IF(AND(AB$2&gt;=09_ガント元データ!$G176,AB$2&lt;=09_ガント元データ!$H176),"■",""))</f>
        <v/>
      </c>
      <c r="AC177" s="24" t="str">
        <f aca="false">IF($A177="","",IF(AND(AC$2&gt;=09_ガント元データ!$G176,AC$2&lt;=09_ガント元データ!$H176),"■",""))</f>
        <v/>
      </c>
      <c r="AD177" s="24" t="str">
        <f aca="false">IF($A177="","",IF(AND(AD$2&gt;=09_ガント元データ!$G176,AD$2&lt;=09_ガント元データ!$H176),"■",""))</f>
        <v/>
      </c>
      <c r="AE177" s="24" t="str">
        <f aca="false">IF($A177="","",IF(AND(AE$2&gt;=09_ガント元データ!$G176,AE$2&lt;=09_ガント元データ!$H176),"■",""))</f>
        <v/>
      </c>
      <c r="AF177" s="24" t="str">
        <f aca="false">IF($A177="","",IF(AND(AF$2&gt;=09_ガント元データ!$G176,AF$2&lt;=09_ガント元データ!$H176),"■",""))</f>
        <v/>
      </c>
      <c r="AG177" s="24" t="str">
        <f aca="false">IF($A177="","",IF(AND(AG$2&gt;=09_ガント元データ!$G176,AG$2&lt;=09_ガント元データ!$H176),"■",""))</f>
        <v/>
      </c>
      <c r="AH177" s="24" t="str">
        <f aca="false">IF($A177="","",IF(AND(AH$2&gt;=09_ガント元データ!$G176,AH$2&lt;=09_ガント元データ!$H176),"■",""))</f>
        <v/>
      </c>
      <c r="AI177" s="24" t="str">
        <f aca="false">IF($A177="","",IF(AND(AI$2&gt;=09_ガント元データ!$G176,AI$2&lt;=09_ガント元データ!$H176),"■",""))</f>
        <v/>
      </c>
      <c r="AJ177" s="24" t="str">
        <f aca="false">IF($A177="","",IF(AND(AJ$2&gt;=09_ガント元データ!$G176,AJ$2&lt;=09_ガント元データ!$H176),"■",""))</f>
        <v/>
      </c>
      <c r="AK177" s="24" t="str">
        <f aca="false">IF($A177="","",IF(AND(AK$2&gt;=09_ガント元データ!$G176,AK$2&lt;=09_ガント元データ!$H176),"■",""))</f>
        <v/>
      </c>
      <c r="AL177" s="24" t="str">
        <f aca="false">IF($A177="","",IF(AND(AL$2&gt;=09_ガント元データ!$G176,AL$2&lt;=09_ガント元データ!$H176),"■",""))</f>
        <v/>
      </c>
      <c r="AM177" s="24" t="str">
        <f aca="false">IF($A177="","",IF(AND(AM$2&gt;=09_ガント元データ!$G176,AM$2&lt;=09_ガント元データ!$H176),"■",""))</f>
        <v/>
      </c>
    </row>
    <row r="178" customFormat="false" ht="15" hidden="false" customHeight="false" outlineLevel="0" collapsed="false">
      <c r="A178" s="22" t="str">
        <f aca="false">09_ガント元データ!A177</f>
        <v/>
      </c>
      <c r="B178" s="22" t="str">
        <f aca="false">09_ガント元データ!B177</f>
        <v/>
      </c>
      <c r="C178" s="23" t="str">
        <f aca="false">09_ガント元データ!C177</f>
        <v/>
      </c>
      <c r="D178" s="24" t="str">
        <f aca="false">IF($A178="","",IF(AND(D$2&gt;=09_ガント元データ!$G177,D$2&lt;=09_ガント元データ!$H177),"■",""))</f>
        <v/>
      </c>
      <c r="E178" s="24" t="str">
        <f aca="false">IF($A178="","",IF(AND(E$2&gt;=09_ガント元データ!$G177,E$2&lt;=09_ガント元データ!$H177),"■",""))</f>
        <v/>
      </c>
      <c r="F178" s="24" t="str">
        <f aca="false">IF($A178="","",IF(AND(F$2&gt;=09_ガント元データ!$G177,F$2&lt;=09_ガント元データ!$H177),"■",""))</f>
        <v/>
      </c>
      <c r="G178" s="24" t="str">
        <f aca="false">IF($A178="","",IF(AND(G$2&gt;=09_ガント元データ!$G177,G$2&lt;=09_ガント元データ!$H177),"■",""))</f>
        <v/>
      </c>
      <c r="H178" s="24" t="str">
        <f aca="false">IF($A178="","",IF(AND(H$2&gt;=09_ガント元データ!$G177,H$2&lt;=09_ガント元データ!$H177),"■",""))</f>
        <v/>
      </c>
      <c r="I178" s="24" t="str">
        <f aca="false">IF($A178="","",IF(AND(I$2&gt;=09_ガント元データ!$G177,I$2&lt;=09_ガント元データ!$H177),"■",""))</f>
        <v/>
      </c>
      <c r="J178" s="24" t="str">
        <f aca="false">IF($A178="","",IF(AND(J$2&gt;=09_ガント元データ!$G177,J$2&lt;=09_ガント元データ!$H177),"■",""))</f>
        <v/>
      </c>
      <c r="K178" s="24" t="str">
        <f aca="false">IF($A178="","",IF(AND(K$2&gt;=09_ガント元データ!$G177,K$2&lt;=09_ガント元データ!$H177),"■",""))</f>
        <v/>
      </c>
      <c r="L178" s="24" t="str">
        <f aca="false">IF($A178="","",IF(AND(L$2&gt;=09_ガント元データ!$G177,L$2&lt;=09_ガント元データ!$H177),"■",""))</f>
        <v/>
      </c>
      <c r="M178" s="24" t="str">
        <f aca="false">IF($A178="","",IF(AND(M$2&gt;=09_ガント元データ!$G177,M$2&lt;=09_ガント元データ!$H177),"■",""))</f>
        <v/>
      </c>
      <c r="N178" s="24" t="str">
        <f aca="false">IF($A178="","",IF(AND(N$2&gt;=09_ガント元データ!$G177,N$2&lt;=09_ガント元データ!$H177),"■",""))</f>
        <v/>
      </c>
      <c r="O178" s="24" t="str">
        <f aca="false">IF($A178="","",IF(AND(O$2&gt;=09_ガント元データ!$G177,O$2&lt;=09_ガント元データ!$H177),"■",""))</f>
        <v/>
      </c>
      <c r="P178" s="24" t="str">
        <f aca="false">IF($A178="","",IF(AND(P$2&gt;=09_ガント元データ!$G177,P$2&lt;=09_ガント元データ!$H177),"■",""))</f>
        <v/>
      </c>
      <c r="Q178" s="24" t="str">
        <f aca="false">IF($A178="","",IF(AND(Q$2&gt;=09_ガント元データ!$G177,Q$2&lt;=09_ガント元データ!$H177),"■",""))</f>
        <v/>
      </c>
      <c r="R178" s="24" t="str">
        <f aca="false">IF($A178="","",IF(AND(R$2&gt;=09_ガント元データ!$G177,R$2&lt;=09_ガント元データ!$H177),"■",""))</f>
        <v/>
      </c>
      <c r="S178" s="24" t="str">
        <f aca="false">IF($A178="","",IF(AND(S$2&gt;=09_ガント元データ!$G177,S$2&lt;=09_ガント元データ!$H177),"■",""))</f>
        <v/>
      </c>
      <c r="T178" s="24" t="str">
        <f aca="false">IF($A178="","",IF(AND(T$2&gt;=09_ガント元データ!$G177,T$2&lt;=09_ガント元データ!$H177),"■",""))</f>
        <v/>
      </c>
      <c r="U178" s="24" t="str">
        <f aca="false">IF($A178="","",IF(AND(U$2&gt;=09_ガント元データ!$G177,U$2&lt;=09_ガント元データ!$H177),"■",""))</f>
        <v/>
      </c>
      <c r="V178" s="24" t="str">
        <f aca="false">IF($A178="","",IF(AND(V$2&gt;=09_ガント元データ!$G177,V$2&lt;=09_ガント元データ!$H177),"■",""))</f>
        <v/>
      </c>
      <c r="W178" s="24" t="str">
        <f aca="false">IF($A178="","",IF(AND(W$2&gt;=09_ガント元データ!$G177,W$2&lt;=09_ガント元データ!$H177),"■",""))</f>
        <v/>
      </c>
      <c r="X178" s="24" t="str">
        <f aca="false">IF($A178="","",IF(AND(X$2&gt;=09_ガント元データ!$G177,X$2&lt;=09_ガント元データ!$H177),"■",""))</f>
        <v/>
      </c>
      <c r="Y178" s="24" t="str">
        <f aca="false">IF($A178="","",IF(AND(Y$2&gt;=09_ガント元データ!$G177,Y$2&lt;=09_ガント元データ!$H177),"■",""))</f>
        <v/>
      </c>
      <c r="Z178" s="24" t="str">
        <f aca="false">IF($A178="","",IF(AND(Z$2&gt;=09_ガント元データ!$G177,Z$2&lt;=09_ガント元データ!$H177),"■",""))</f>
        <v/>
      </c>
      <c r="AA178" s="24" t="str">
        <f aca="false">IF($A178="","",IF(AND(AA$2&gt;=09_ガント元データ!$G177,AA$2&lt;=09_ガント元データ!$H177),"■",""))</f>
        <v/>
      </c>
      <c r="AB178" s="24" t="str">
        <f aca="false">IF($A178="","",IF(AND(AB$2&gt;=09_ガント元データ!$G177,AB$2&lt;=09_ガント元データ!$H177),"■",""))</f>
        <v/>
      </c>
      <c r="AC178" s="24" t="str">
        <f aca="false">IF($A178="","",IF(AND(AC$2&gt;=09_ガント元データ!$G177,AC$2&lt;=09_ガント元データ!$H177),"■",""))</f>
        <v/>
      </c>
      <c r="AD178" s="24" t="str">
        <f aca="false">IF($A178="","",IF(AND(AD$2&gt;=09_ガント元データ!$G177,AD$2&lt;=09_ガント元データ!$H177),"■",""))</f>
        <v/>
      </c>
      <c r="AE178" s="24" t="str">
        <f aca="false">IF($A178="","",IF(AND(AE$2&gt;=09_ガント元データ!$G177,AE$2&lt;=09_ガント元データ!$H177),"■",""))</f>
        <v/>
      </c>
      <c r="AF178" s="24" t="str">
        <f aca="false">IF($A178="","",IF(AND(AF$2&gt;=09_ガント元データ!$G177,AF$2&lt;=09_ガント元データ!$H177),"■",""))</f>
        <v/>
      </c>
      <c r="AG178" s="24" t="str">
        <f aca="false">IF($A178="","",IF(AND(AG$2&gt;=09_ガント元データ!$G177,AG$2&lt;=09_ガント元データ!$H177),"■",""))</f>
        <v/>
      </c>
      <c r="AH178" s="24" t="str">
        <f aca="false">IF($A178="","",IF(AND(AH$2&gt;=09_ガント元データ!$G177,AH$2&lt;=09_ガント元データ!$H177),"■",""))</f>
        <v/>
      </c>
      <c r="AI178" s="24" t="str">
        <f aca="false">IF($A178="","",IF(AND(AI$2&gt;=09_ガント元データ!$G177,AI$2&lt;=09_ガント元データ!$H177),"■",""))</f>
        <v/>
      </c>
      <c r="AJ178" s="24" t="str">
        <f aca="false">IF($A178="","",IF(AND(AJ$2&gt;=09_ガント元データ!$G177,AJ$2&lt;=09_ガント元データ!$H177),"■",""))</f>
        <v/>
      </c>
      <c r="AK178" s="24" t="str">
        <f aca="false">IF($A178="","",IF(AND(AK$2&gt;=09_ガント元データ!$G177,AK$2&lt;=09_ガント元データ!$H177),"■",""))</f>
        <v/>
      </c>
      <c r="AL178" s="24" t="str">
        <f aca="false">IF($A178="","",IF(AND(AL$2&gt;=09_ガント元データ!$G177,AL$2&lt;=09_ガント元データ!$H177),"■",""))</f>
        <v/>
      </c>
      <c r="AM178" s="24" t="str">
        <f aca="false">IF($A178="","",IF(AND(AM$2&gt;=09_ガント元データ!$G177,AM$2&lt;=09_ガント元データ!$H177),"■",""))</f>
        <v/>
      </c>
    </row>
    <row r="179" customFormat="false" ht="15" hidden="false" customHeight="false" outlineLevel="0" collapsed="false">
      <c r="A179" s="22" t="str">
        <f aca="false">09_ガント元データ!A178</f>
        <v/>
      </c>
      <c r="B179" s="22" t="str">
        <f aca="false">09_ガント元データ!B178</f>
        <v/>
      </c>
      <c r="C179" s="23" t="str">
        <f aca="false">09_ガント元データ!C178</f>
        <v/>
      </c>
      <c r="D179" s="24" t="str">
        <f aca="false">IF($A179="","",IF(AND(D$2&gt;=09_ガント元データ!$G178,D$2&lt;=09_ガント元データ!$H178),"■",""))</f>
        <v/>
      </c>
      <c r="E179" s="24" t="str">
        <f aca="false">IF($A179="","",IF(AND(E$2&gt;=09_ガント元データ!$G178,E$2&lt;=09_ガント元データ!$H178),"■",""))</f>
        <v/>
      </c>
      <c r="F179" s="24" t="str">
        <f aca="false">IF($A179="","",IF(AND(F$2&gt;=09_ガント元データ!$G178,F$2&lt;=09_ガント元データ!$H178),"■",""))</f>
        <v/>
      </c>
      <c r="G179" s="24" t="str">
        <f aca="false">IF($A179="","",IF(AND(G$2&gt;=09_ガント元データ!$G178,G$2&lt;=09_ガント元データ!$H178),"■",""))</f>
        <v/>
      </c>
      <c r="H179" s="24" t="str">
        <f aca="false">IF($A179="","",IF(AND(H$2&gt;=09_ガント元データ!$G178,H$2&lt;=09_ガント元データ!$H178),"■",""))</f>
        <v/>
      </c>
      <c r="I179" s="24" t="str">
        <f aca="false">IF($A179="","",IF(AND(I$2&gt;=09_ガント元データ!$G178,I$2&lt;=09_ガント元データ!$H178),"■",""))</f>
        <v/>
      </c>
      <c r="J179" s="24" t="str">
        <f aca="false">IF($A179="","",IF(AND(J$2&gt;=09_ガント元データ!$G178,J$2&lt;=09_ガント元データ!$H178),"■",""))</f>
        <v/>
      </c>
      <c r="K179" s="24" t="str">
        <f aca="false">IF($A179="","",IF(AND(K$2&gt;=09_ガント元データ!$G178,K$2&lt;=09_ガント元データ!$H178),"■",""))</f>
        <v/>
      </c>
      <c r="L179" s="24" t="str">
        <f aca="false">IF($A179="","",IF(AND(L$2&gt;=09_ガント元データ!$G178,L$2&lt;=09_ガント元データ!$H178),"■",""))</f>
        <v/>
      </c>
      <c r="M179" s="24" t="str">
        <f aca="false">IF($A179="","",IF(AND(M$2&gt;=09_ガント元データ!$G178,M$2&lt;=09_ガント元データ!$H178),"■",""))</f>
        <v/>
      </c>
      <c r="N179" s="24" t="str">
        <f aca="false">IF($A179="","",IF(AND(N$2&gt;=09_ガント元データ!$G178,N$2&lt;=09_ガント元データ!$H178),"■",""))</f>
        <v/>
      </c>
      <c r="O179" s="24" t="str">
        <f aca="false">IF($A179="","",IF(AND(O$2&gt;=09_ガント元データ!$G178,O$2&lt;=09_ガント元データ!$H178),"■",""))</f>
        <v/>
      </c>
      <c r="P179" s="24" t="str">
        <f aca="false">IF($A179="","",IF(AND(P$2&gt;=09_ガント元データ!$G178,P$2&lt;=09_ガント元データ!$H178),"■",""))</f>
        <v/>
      </c>
      <c r="Q179" s="24" t="str">
        <f aca="false">IF($A179="","",IF(AND(Q$2&gt;=09_ガント元データ!$G178,Q$2&lt;=09_ガント元データ!$H178),"■",""))</f>
        <v/>
      </c>
      <c r="R179" s="24" t="str">
        <f aca="false">IF($A179="","",IF(AND(R$2&gt;=09_ガント元データ!$G178,R$2&lt;=09_ガント元データ!$H178),"■",""))</f>
        <v/>
      </c>
      <c r="S179" s="24" t="str">
        <f aca="false">IF($A179="","",IF(AND(S$2&gt;=09_ガント元データ!$G178,S$2&lt;=09_ガント元データ!$H178),"■",""))</f>
        <v/>
      </c>
      <c r="T179" s="24" t="str">
        <f aca="false">IF($A179="","",IF(AND(T$2&gt;=09_ガント元データ!$G178,T$2&lt;=09_ガント元データ!$H178),"■",""))</f>
        <v/>
      </c>
      <c r="U179" s="24" t="str">
        <f aca="false">IF($A179="","",IF(AND(U$2&gt;=09_ガント元データ!$G178,U$2&lt;=09_ガント元データ!$H178),"■",""))</f>
        <v/>
      </c>
      <c r="V179" s="24" t="str">
        <f aca="false">IF($A179="","",IF(AND(V$2&gt;=09_ガント元データ!$G178,V$2&lt;=09_ガント元データ!$H178),"■",""))</f>
        <v/>
      </c>
      <c r="W179" s="24" t="str">
        <f aca="false">IF($A179="","",IF(AND(W$2&gt;=09_ガント元データ!$G178,W$2&lt;=09_ガント元データ!$H178),"■",""))</f>
        <v/>
      </c>
      <c r="X179" s="24" t="str">
        <f aca="false">IF($A179="","",IF(AND(X$2&gt;=09_ガント元データ!$G178,X$2&lt;=09_ガント元データ!$H178),"■",""))</f>
        <v/>
      </c>
      <c r="Y179" s="24" t="str">
        <f aca="false">IF($A179="","",IF(AND(Y$2&gt;=09_ガント元データ!$G178,Y$2&lt;=09_ガント元データ!$H178),"■",""))</f>
        <v/>
      </c>
      <c r="Z179" s="24" t="str">
        <f aca="false">IF($A179="","",IF(AND(Z$2&gt;=09_ガント元データ!$G178,Z$2&lt;=09_ガント元データ!$H178),"■",""))</f>
        <v/>
      </c>
      <c r="AA179" s="24" t="str">
        <f aca="false">IF($A179="","",IF(AND(AA$2&gt;=09_ガント元データ!$G178,AA$2&lt;=09_ガント元データ!$H178),"■",""))</f>
        <v/>
      </c>
      <c r="AB179" s="24" t="str">
        <f aca="false">IF($A179="","",IF(AND(AB$2&gt;=09_ガント元データ!$G178,AB$2&lt;=09_ガント元データ!$H178),"■",""))</f>
        <v/>
      </c>
      <c r="AC179" s="24" t="str">
        <f aca="false">IF($A179="","",IF(AND(AC$2&gt;=09_ガント元データ!$G178,AC$2&lt;=09_ガント元データ!$H178),"■",""))</f>
        <v/>
      </c>
      <c r="AD179" s="24" t="str">
        <f aca="false">IF($A179="","",IF(AND(AD$2&gt;=09_ガント元データ!$G178,AD$2&lt;=09_ガント元データ!$H178),"■",""))</f>
        <v/>
      </c>
      <c r="AE179" s="24" t="str">
        <f aca="false">IF($A179="","",IF(AND(AE$2&gt;=09_ガント元データ!$G178,AE$2&lt;=09_ガント元データ!$H178),"■",""))</f>
        <v/>
      </c>
      <c r="AF179" s="24" t="str">
        <f aca="false">IF($A179="","",IF(AND(AF$2&gt;=09_ガント元データ!$G178,AF$2&lt;=09_ガント元データ!$H178),"■",""))</f>
        <v/>
      </c>
      <c r="AG179" s="24" t="str">
        <f aca="false">IF($A179="","",IF(AND(AG$2&gt;=09_ガント元データ!$G178,AG$2&lt;=09_ガント元データ!$H178),"■",""))</f>
        <v/>
      </c>
      <c r="AH179" s="24" t="str">
        <f aca="false">IF($A179="","",IF(AND(AH$2&gt;=09_ガント元データ!$G178,AH$2&lt;=09_ガント元データ!$H178),"■",""))</f>
        <v/>
      </c>
      <c r="AI179" s="24" t="str">
        <f aca="false">IF($A179="","",IF(AND(AI$2&gt;=09_ガント元データ!$G178,AI$2&lt;=09_ガント元データ!$H178),"■",""))</f>
        <v/>
      </c>
      <c r="AJ179" s="24" t="str">
        <f aca="false">IF($A179="","",IF(AND(AJ$2&gt;=09_ガント元データ!$G178,AJ$2&lt;=09_ガント元データ!$H178),"■",""))</f>
        <v/>
      </c>
      <c r="AK179" s="24" t="str">
        <f aca="false">IF($A179="","",IF(AND(AK$2&gt;=09_ガント元データ!$G178,AK$2&lt;=09_ガント元データ!$H178),"■",""))</f>
        <v/>
      </c>
      <c r="AL179" s="24" t="str">
        <f aca="false">IF($A179="","",IF(AND(AL$2&gt;=09_ガント元データ!$G178,AL$2&lt;=09_ガント元データ!$H178),"■",""))</f>
        <v/>
      </c>
      <c r="AM179" s="24" t="str">
        <f aca="false">IF($A179="","",IF(AND(AM$2&gt;=09_ガント元データ!$G178,AM$2&lt;=09_ガント元データ!$H178),"■",""))</f>
        <v/>
      </c>
    </row>
    <row r="180" customFormat="false" ht="15" hidden="false" customHeight="false" outlineLevel="0" collapsed="false">
      <c r="A180" s="22" t="str">
        <f aca="false">09_ガント元データ!A179</f>
        <v/>
      </c>
      <c r="B180" s="22" t="str">
        <f aca="false">09_ガント元データ!B179</f>
        <v/>
      </c>
      <c r="C180" s="23" t="str">
        <f aca="false">09_ガント元データ!C179</f>
        <v/>
      </c>
      <c r="D180" s="24" t="str">
        <f aca="false">IF($A180="","",IF(AND(D$2&gt;=09_ガント元データ!$G179,D$2&lt;=09_ガント元データ!$H179),"■",""))</f>
        <v/>
      </c>
      <c r="E180" s="24" t="str">
        <f aca="false">IF($A180="","",IF(AND(E$2&gt;=09_ガント元データ!$G179,E$2&lt;=09_ガント元データ!$H179),"■",""))</f>
        <v/>
      </c>
      <c r="F180" s="24" t="str">
        <f aca="false">IF($A180="","",IF(AND(F$2&gt;=09_ガント元データ!$G179,F$2&lt;=09_ガント元データ!$H179),"■",""))</f>
        <v/>
      </c>
      <c r="G180" s="24" t="str">
        <f aca="false">IF($A180="","",IF(AND(G$2&gt;=09_ガント元データ!$G179,G$2&lt;=09_ガント元データ!$H179),"■",""))</f>
        <v/>
      </c>
      <c r="H180" s="24" t="str">
        <f aca="false">IF($A180="","",IF(AND(H$2&gt;=09_ガント元データ!$G179,H$2&lt;=09_ガント元データ!$H179),"■",""))</f>
        <v/>
      </c>
      <c r="I180" s="24" t="str">
        <f aca="false">IF($A180="","",IF(AND(I$2&gt;=09_ガント元データ!$G179,I$2&lt;=09_ガント元データ!$H179),"■",""))</f>
        <v/>
      </c>
      <c r="J180" s="24" t="str">
        <f aca="false">IF($A180="","",IF(AND(J$2&gt;=09_ガント元データ!$G179,J$2&lt;=09_ガント元データ!$H179),"■",""))</f>
        <v/>
      </c>
      <c r="K180" s="24" t="str">
        <f aca="false">IF($A180="","",IF(AND(K$2&gt;=09_ガント元データ!$G179,K$2&lt;=09_ガント元データ!$H179),"■",""))</f>
        <v/>
      </c>
      <c r="L180" s="24" t="str">
        <f aca="false">IF($A180="","",IF(AND(L$2&gt;=09_ガント元データ!$G179,L$2&lt;=09_ガント元データ!$H179),"■",""))</f>
        <v/>
      </c>
      <c r="M180" s="24" t="str">
        <f aca="false">IF($A180="","",IF(AND(M$2&gt;=09_ガント元データ!$G179,M$2&lt;=09_ガント元データ!$H179),"■",""))</f>
        <v/>
      </c>
      <c r="N180" s="24" t="str">
        <f aca="false">IF($A180="","",IF(AND(N$2&gt;=09_ガント元データ!$G179,N$2&lt;=09_ガント元データ!$H179),"■",""))</f>
        <v/>
      </c>
      <c r="O180" s="24" t="str">
        <f aca="false">IF($A180="","",IF(AND(O$2&gt;=09_ガント元データ!$G179,O$2&lt;=09_ガント元データ!$H179),"■",""))</f>
        <v/>
      </c>
      <c r="P180" s="24" t="str">
        <f aca="false">IF($A180="","",IF(AND(P$2&gt;=09_ガント元データ!$G179,P$2&lt;=09_ガント元データ!$H179),"■",""))</f>
        <v/>
      </c>
      <c r="Q180" s="24" t="str">
        <f aca="false">IF($A180="","",IF(AND(Q$2&gt;=09_ガント元データ!$G179,Q$2&lt;=09_ガント元データ!$H179),"■",""))</f>
        <v/>
      </c>
      <c r="R180" s="24" t="str">
        <f aca="false">IF($A180="","",IF(AND(R$2&gt;=09_ガント元データ!$G179,R$2&lt;=09_ガント元データ!$H179),"■",""))</f>
        <v/>
      </c>
      <c r="S180" s="24" t="str">
        <f aca="false">IF($A180="","",IF(AND(S$2&gt;=09_ガント元データ!$G179,S$2&lt;=09_ガント元データ!$H179),"■",""))</f>
        <v/>
      </c>
      <c r="T180" s="24" t="str">
        <f aca="false">IF($A180="","",IF(AND(T$2&gt;=09_ガント元データ!$G179,T$2&lt;=09_ガント元データ!$H179),"■",""))</f>
        <v/>
      </c>
      <c r="U180" s="24" t="str">
        <f aca="false">IF($A180="","",IF(AND(U$2&gt;=09_ガント元データ!$G179,U$2&lt;=09_ガント元データ!$H179),"■",""))</f>
        <v/>
      </c>
      <c r="V180" s="24" t="str">
        <f aca="false">IF($A180="","",IF(AND(V$2&gt;=09_ガント元データ!$G179,V$2&lt;=09_ガント元データ!$H179),"■",""))</f>
        <v/>
      </c>
      <c r="W180" s="24" t="str">
        <f aca="false">IF($A180="","",IF(AND(W$2&gt;=09_ガント元データ!$G179,W$2&lt;=09_ガント元データ!$H179),"■",""))</f>
        <v/>
      </c>
      <c r="X180" s="24" t="str">
        <f aca="false">IF($A180="","",IF(AND(X$2&gt;=09_ガント元データ!$G179,X$2&lt;=09_ガント元データ!$H179),"■",""))</f>
        <v/>
      </c>
      <c r="Y180" s="24" t="str">
        <f aca="false">IF($A180="","",IF(AND(Y$2&gt;=09_ガント元データ!$G179,Y$2&lt;=09_ガント元データ!$H179),"■",""))</f>
        <v/>
      </c>
      <c r="Z180" s="24" t="str">
        <f aca="false">IF($A180="","",IF(AND(Z$2&gt;=09_ガント元データ!$G179,Z$2&lt;=09_ガント元データ!$H179),"■",""))</f>
        <v/>
      </c>
      <c r="AA180" s="24" t="str">
        <f aca="false">IF($A180="","",IF(AND(AA$2&gt;=09_ガント元データ!$G179,AA$2&lt;=09_ガント元データ!$H179),"■",""))</f>
        <v/>
      </c>
      <c r="AB180" s="24" t="str">
        <f aca="false">IF($A180="","",IF(AND(AB$2&gt;=09_ガント元データ!$G179,AB$2&lt;=09_ガント元データ!$H179),"■",""))</f>
        <v/>
      </c>
      <c r="AC180" s="24" t="str">
        <f aca="false">IF($A180="","",IF(AND(AC$2&gt;=09_ガント元データ!$G179,AC$2&lt;=09_ガント元データ!$H179),"■",""))</f>
        <v/>
      </c>
      <c r="AD180" s="24" t="str">
        <f aca="false">IF($A180="","",IF(AND(AD$2&gt;=09_ガント元データ!$G179,AD$2&lt;=09_ガント元データ!$H179),"■",""))</f>
        <v/>
      </c>
      <c r="AE180" s="24" t="str">
        <f aca="false">IF($A180="","",IF(AND(AE$2&gt;=09_ガント元データ!$G179,AE$2&lt;=09_ガント元データ!$H179),"■",""))</f>
        <v/>
      </c>
      <c r="AF180" s="24" t="str">
        <f aca="false">IF($A180="","",IF(AND(AF$2&gt;=09_ガント元データ!$G179,AF$2&lt;=09_ガント元データ!$H179),"■",""))</f>
        <v/>
      </c>
      <c r="AG180" s="24" t="str">
        <f aca="false">IF($A180="","",IF(AND(AG$2&gt;=09_ガント元データ!$G179,AG$2&lt;=09_ガント元データ!$H179),"■",""))</f>
        <v/>
      </c>
      <c r="AH180" s="24" t="str">
        <f aca="false">IF($A180="","",IF(AND(AH$2&gt;=09_ガント元データ!$G179,AH$2&lt;=09_ガント元データ!$H179),"■",""))</f>
        <v/>
      </c>
      <c r="AI180" s="24" t="str">
        <f aca="false">IF($A180="","",IF(AND(AI$2&gt;=09_ガント元データ!$G179,AI$2&lt;=09_ガント元データ!$H179),"■",""))</f>
        <v/>
      </c>
      <c r="AJ180" s="24" t="str">
        <f aca="false">IF($A180="","",IF(AND(AJ$2&gt;=09_ガント元データ!$G179,AJ$2&lt;=09_ガント元データ!$H179),"■",""))</f>
        <v/>
      </c>
      <c r="AK180" s="24" t="str">
        <f aca="false">IF($A180="","",IF(AND(AK$2&gt;=09_ガント元データ!$G179,AK$2&lt;=09_ガント元データ!$H179),"■",""))</f>
        <v/>
      </c>
      <c r="AL180" s="24" t="str">
        <f aca="false">IF($A180="","",IF(AND(AL$2&gt;=09_ガント元データ!$G179,AL$2&lt;=09_ガント元データ!$H179),"■",""))</f>
        <v/>
      </c>
      <c r="AM180" s="24" t="str">
        <f aca="false">IF($A180="","",IF(AND(AM$2&gt;=09_ガント元データ!$G179,AM$2&lt;=09_ガント元データ!$H179),"■",""))</f>
        <v/>
      </c>
    </row>
    <row r="181" customFormat="false" ht="15" hidden="false" customHeight="false" outlineLevel="0" collapsed="false">
      <c r="A181" s="22" t="str">
        <f aca="false">09_ガント元データ!A180</f>
        <v/>
      </c>
      <c r="B181" s="22" t="str">
        <f aca="false">09_ガント元データ!B180</f>
        <v/>
      </c>
      <c r="C181" s="23" t="str">
        <f aca="false">09_ガント元データ!C180</f>
        <v/>
      </c>
      <c r="D181" s="24" t="str">
        <f aca="false">IF($A181="","",IF(AND(D$2&gt;=09_ガント元データ!$G180,D$2&lt;=09_ガント元データ!$H180),"■",""))</f>
        <v/>
      </c>
      <c r="E181" s="24" t="str">
        <f aca="false">IF($A181="","",IF(AND(E$2&gt;=09_ガント元データ!$G180,E$2&lt;=09_ガント元データ!$H180),"■",""))</f>
        <v/>
      </c>
      <c r="F181" s="24" t="str">
        <f aca="false">IF($A181="","",IF(AND(F$2&gt;=09_ガント元データ!$G180,F$2&lt;=09_ガント元データ!$H180),"■",""))</f>
        <v/>
      </c>
      <c r="G181" s="24" t="str">
        <f aca="false">IF($A181="","",IF(AND(G$2&gt;=09_ガント元データ!$G180,G$2&lt;=09_ガント元データ!$H180),"■",""))</f>
        <v/>
      </c>
      <c r="H181" s="24" t="str">
        <f aca="false">IF($A181="","",IF(AND(H$2&gt;=09_ガント元データ!$G180,H$2&lt;=09_ガント元データ!$H180),"■",""))</f>
        <v/>
      </c>
      <c r="I181" s="24" t="str">
        <f aca="false">IF($A181="","",IF(AND(I$2&gt;=09_ガント元データ!$G180,I$2&lt;=09_ガント元データ!$H180),"■",""))</f>
        <v/>
      </c>
      <c r="J181" s="24" t="str">
        <f aca="false">IF($A181="","",IF(AND(J$2&gt;=09_ガント元データ!$G180,J$2&lt;=09_ガント元データ!$H180),"■",""))</f>
        <v/>
      </c>
      <c r="K181" s="24" t="str">
        <f aca="false">IF($A181="","",IF(AND(K$2&gt;=09_ガント元データ!$G180,K$2&lt;=09_ガント元データ!$H180),"■",""))</f>
        <v/>
      </c>
      <c r="L181" s="24" t="str">
        <f aca="false">IF($A181="","",IF(AND(L$2&gt;=09_ガント元データ!$G180,L$2&lt;=09_ガント元データ!$H180),"■",""))</f>
        <v/>
      </c>
      <c r="M181" s="24" t="str">
        <f aca="false">IF($A181="","",IF(AND(M$2&gt;=09_ガント元データ!$G180,M$2&lt;=09_ガント元データ!$H180),"■",""))</f>
        <v/>
      </c>
      <c r="N181" s="24" t="str">
        <f aca="false">IF($A181="","",IF(AND(N$2&gt;=09_ガント元データ!$G180,N$2&lt;=09_ガント元データ!$H180),"■",""))</f>
        <v/>
      </c>
      <c r="O181" s="24" t="str">
        <f aca="false">IF($A181="","",IF(AND(O$2&gt;=09_ガント元データ!$G180,O$2&lt;=09_ガント元データ!$H180),"■",""))</f>
        <v/>
      </c>
      <c r="P181" s="24" t="str">
        <f aca="false">IF($A181="","",IF(AND(P$2&gt;=09_ガント元データ!$G180,P$2&lt;=09_ガント元データ!$H180),"■",""))</f>
        <v/>
      </c>
      <c r="Q181" s="24" t="str">
        <f aca="false">IF($A181="","",IF(AND(Q$2&gt;=09_ガント元データ!$G180,Q$2&lt;=09_ガント元データ!$H180),"■",""))</f>
        <v/>
      </c>
      <c r="R181" s="24" t="str">
        <f aca="false">IF($A181="","",IF(AND(R$2&gt;=09_ガント元データ!$G180,R$2&lt;=09_ガント元データ!$H180),"■",""))</f>
        <v/>
      </c>
      <c r="S181" s="24" t="str">
        <f aca="false">IF($A181="","",IF(AND(S$2&gt;=09_ガント元データ!$G180,S$2&lt;=09_ガント元データ!$H180),"■",""))</f>
        <v/>
      </c>
      <c r="T181" s="24" t="str">
        <f aca="false">IF($A181="","",IF(AND(T$2&gt;=09_ガント元データ!$G180,T$2&lt;=09_ガント元データ!$H180),"■",""))</f>
        <v/>
      </c>
      <c r="U181" s="24" t="str">
        <f aca="false">IF($A181="","",IF(AND(U$2&gt;=09_ガント元データ!$G180,U$2&lt;=09_ガント元データ!$H180),"■",""))</f>
        <v/>
      </c>
      <c r="V181" s="24" t="str">
        <f aca="false">IF($A181="","",IF(AND(V$2&gt;=09_ガント元データ!$G180,V$2&lt;=09_ガント元データ!$H180),"■",""))</f>
        <v/>
      </c>
      <c r="W181" s="24" t="str">
        <f aca="false">IF($A181="","",IF(AND(W$2&gt;=09_ガント元データ!$G180,W$2&lt;=09_ガント元データ!$H180),"■",""))</f>
        <v/>
      </c>
      <c r="X181" s="24" t="str">
        <f aca="false">IF($A181="","",IF(AND(X$2&gt;=09_ガント元データ!$G180,X$2&lt;=09_ガント元データ!$H180),"■",""))</f>
        <v/>
      </c>
      <c r="Y181" s="24" t="str">
        <f aca="false">IF($A181="","",IF(AND(Y$2&gt;=09_ガント元データ!$G180,Y$2&lt;=09_ガント元データ!$H180),"■",""))</f>
        <v/>
      </c>
      <c r="Z181" s="24" t="str">
        <f aca="false">IF($A181="","",IF(AND(Z$2&gt;=09_ガント元データ!$G180,Z$2&lt;=09_ガント元データ!$H180),"■",""))</f>
        <v/>
      </c>
      <c r="AA181" s="24" t="str">
        <f aca="false">IF($A181="","",IF(AND(AA$2&gt;=09_ガント元データ!$G180,AA$2&lt;=09_ガント元データ!$H180),"■",""))</f>
        <v/>
      </c>
      <c r="AB181" s="24" t="str">
        <f aca="false">IF($A181="","",IF(AND(AB$2&gt;=09_ガント元データ!$G180,AB$2&lt;=09_ガント元データ!$H180),"■",""))</f>
        <v/>
      </c>
      <c r="AC181" s="24" t="str">
        <f aca="false">IF($A181="","",IF(AND(AC$2&gt;=09_ガント元データ!$G180,AC$2&lt;=09_ガント元データ!$H180),"■",""))</f>
        <v/>
      </c>
      <c r="AD181" s="24" t="str">
        <f aca="false">IF($A181="","",IF(AND(AD$2&gt;=09_ガント元データ!$G180,AD$2&lt;=09_ガント元データ!$H180),"■",""))</f>
        <v/>
      </c>
      <c r="AE181" s="24" t="str">
        <f aca="false">IF($A181="","",IF(AND(AE$2&gt;=09_ガント元データ!$G180,AE$2&lt;=09_ガント元データ!$H180),"■",""))</f>
        <v/>
      </c>
      <c r="AF181" s="24" t="str">
        <f aca="false">IF($A181="","",IF(AND(AF$2&gt;=09_ガント元データ!$G180,AF$2&lt;=09_ガント元データ!$H180),"■",""))</f>
        <v/>
      </c>
      <c r="AG181" s="24" t="str">
        <f aca="false">IF($A181="","",IF(AND(AG$2&gt;=09_ガント元データ!$G180,AG$2&lt;=09_ガント元データ!$H180),"■",""))</f>
        <v/>
      </c>
      <c r="AH181" s="24" t="str">
        <f aca="false">IF($A181="","",IF(AND(AH$2&gt;=09_ガント元データ!$G180,AH$2&lt;=09_ガント元データ!$H180),"■",""))</f>
        <v/>
      </c>
      <c r="AI181" s="24" t="str">
        <f aca="false">IF($A181="","",IF(AND(AI$2&gt;=09_ガント元データ!$G180,AI$2&lt;=09_ガント元データ!$H180),"■",""))</f>
        <v/>
      </c>
      <c r="AJ181" s="24" t="str">
        <f aca="false">IF($A181="","",IF(AND(AJ$2&gt;=09_ガント元データ!$G180,AJ$2&lt;=09_ガント元データ!$H180),"■",""))</f>
        <v/>
      </c>
      <c r="AK181" s="24" t="str">
        <f aca="false">IF($A181="","",IF(AND(AK$2&gt;=09_ガント元データ!$G180,AK$2&lt;=09_ガント元データ!$H180),"■",""))</f>
        <v/>
      </c>
      <c r="AL181" s="24" t="str">
        <f aca="false">IF($A181="","",IF(AND(AL$2&gt;=09_ガント元データ!$G180,AL$2&lt;=09_ガント元データ!$H180),"■",""))</f>
        <v/>
      </c>
      <c r="AM181" s="24" t="str">
        <f aca="false">IF($A181="","",IF(AND(AM$2&gt;=09_ガント元データ!$G180,AM$2&lt;=09_ガント元データ!$H180),"■",""))</f>
        <v/>
      </c>
    </row>
    <row r="182" customFormat="false" ht="15" hidden="false" customHeight="false" outlineLevel="0" collapsed="false">
      <c r="A182" s="22" t="str">
        <f aca="false">09_ガント元データ!A181</f>
        <v/>
      </c>
      <c r="B182" s="22" t="str">
        <f aca="false">09_ガント元データ!B181</f>
        <v/>
      </c>
      <c r="C182" s="23" t="str">
        <f aca="false">09_ガント元データ!C181</f>
        <v/>
      </c>
      <c r="D182" s="24" t="str">
        <f aca="false">IF($A182="","",IF(AND(D$2&gt;=09_ガント元データ!$G181,D$2&lt;=09_ガント元データ!$H181),"■",""))</f>
        <v/>
      </c>
      <c r="E182" s="24" t="str">
        <f aca="false">IF($A182="","",IF(AND(E$2&gt;=09_ガント元データ!$G181,E$2&lt;=09_ガント元データ!$H181),"■",""))</f>
        <v/>
      </c>
      <c r="F182" s="24" t="str">
        <f aca="false">IF($A182="","",IF(AND(F$2&gt;=09_ガント元データ!$G181,F$2&lt;=09_ガント元データ!$H181),"■",""))</f>
        <v/>
      </c>
      <c r="G182" s="24" t="str">
        <f aca="false">IF($A182="","",IF(AND(G$2&gt;=09_ガント元データ!$G181,G$2&lt;=09_ガント元データ!$H181),"■",""))</f>
        <v/>
      </c>
      <c r="H182" s="24" t="str">
        <f aca="false">IF($A182="","",IF(AND(H$2&gt;=09_ガント元データ!$G181,H$2&lt;=09_ガント元データ!$H181),"■",""))</f>
        <v/>
      </c>
      <c r="I182" s="24" t="str">
        <f aca="false">IF($A182="","",IF(AND(I$2&gt;=09_ガント元データ!$G181,I$2&lt;=09_ガント元データ!$H181),"■",""))</f>
        <v/>
      </c>
      <c r="J182" s="24" t="str">
        <f aca="false">IF($A182="","",IF(AND(J$2&gt;=09_ガント元データ!$G181,J$2&lt;=09_ガント元データ!$H181),"■",""))</f>
        <v/>
      </c>
      <c r="K182" s="24" t="str">
        <f aca="false">IF($A182="","",IF(AND(K$2&gt;=09_ガント元データ!$G181,K$2&lt;=09_ガント元データ!$H181),"■",""))</f>
        <v/>
      </c>
      <c r="L182" s="24" t="str">
        <f aca="false">IF($A182="","",IF(AND(L$2&gt;=09_ガント元データ!$G181,L$2&lt;=09_ガント元データ!$H181),"■",""))</f>
        <v/>
      </c>
      <c r="M182" s="24" t="str">
        <f aca="false">IF($A182="","",IF(AND(M$2&gt;=09_ガント元データ!$G181,M$2&lt;=09_ガント元データ!$H181),"■",""))</f>
        <v/>
      </c>
      <c r="N182" s="24" t="str">
        <f aca="false">IF($A182="","",IF(AND(N$2&gt;=09_ガント元データ!$G181,N$2&lt;=09_ガント元データ!$H181),"■",""))</f>
        <v/>
      </c>
      <c r="O182" s="24" t="str">
        <f aca="false">IF($A182="","",IF(AND(O$2&gt;=09_ガント元データ!$G181,O$2&lt;=09_ガント元データ!$H181),"■",""))</f>
        <v/>
      </c>
      <c r="P182" s="24" t="str">
        <f aca="false">IF($A182="","",IF(AND(P$2&gt;=09_ガント元データ!$G181,P$2&lt;=09_ガント元データ!$H181),"■",""))</f>
        <v/>
      </c>
      <c r="Q182" s="24" t="str">
        <f aca="false">IF($A182="","",IF(AND(Q$2&gt;=09_ガント元データ!$G181,Q$2&lt;=09_ガント元データ!$H181),"■",""))</f>
        <v/>
      </c>
      <c r="R182" s="24" t="str">
        <f aca="false">IF($A182="","",IF(AND(R$2&gt;=09_ガント元データ!$G181,R$2&lt;=09_ガント元データ!$H181),"■",""))</f>
        <v/>
      </c>
      <c r="S182" s="24" t="str">
        <f aca="false">IF($A182="","",IF(AND(S$2&gt;=09_ガント元データ!$G181,S$2&lt;=09_ガント元データ!$H181),"■",""))</f>
        <v/>
      </c>
      <c r="T182" s="24" t="str">
        <f aca="false">IF($A182="","",IF(AND(T$2&gt;=09_ガント元データ!$G181,T$2&lt;=09_ガント元データ!$H181),"■",""))</f>
        <v/>
      </c>
      <c r="U182" s="24" t="str">
        <f aca="false">IF($A182="","",IF(AND(U$2&gt;=09_ガント元データ!$G181,U$2&lt;=09_ガント元データ!$H181),"■",""))</f>
        <v/>
      </c>
      <c r="V182" s="24" t="str">
        <f aca="false">IF($A182="","",IF(AND(V$2&gt;=09_ガント元データ!$G181,V$2&lt;=09_ガント元データ!$H181),"■",""))</f>
        <v/>
      </c>
      <c r="W182" s="24" t="str">
        <f aca="false">IF($A182="","",IF(AND(W$2&gt;=09_ガント元データ!$G181,W$2&lt;=09_ガント元データ!$H181),"■",""))</f>
        <v/>
      </c>
      <c r="X182" s="24" t="str">
        <f aca="false">IF($A182="","",IF(AND(X$2&gt;=09_ガント元データ!$G181,X$2&lt;=09_ガント元データ!$H181),"■",""))</f>
        <v/>
      </c>
      <c r="Y182" s="24" t="str">
        <f aca="false">IF($A182="","",IF(AND(Y$2&gt;=09_ガント元データ!$G181,Y$2&lt;=09_ガント元データ!$H181),"■",""))</f>
        <v/>
      </c>
      <c r="Z182" s="24" t="str">
        <f aca="false">IF($A182="","",IF(AND(Z$2&gt;=09_ガント元データ!$G181,Z$2&lt;=09_ガント元データ!$H181),"■",""))</f>
        <v/>
      </c>
      <c r="AA182" s="24" t="str">
        <f aca="false">IF($A182="","",IF(AND(AA$2&gt;=09_ガント元データ!$G181,AA$2&lt;=09_ガント元データ!$H181),"■",""))</f>
        <v/>
      </c>
      <c r="AB182" s="24" t="str">
        <f aca="false">IF($A182="","",IF(AND(AB$2&gt;=09_ガント元データ!$G181,AB$2&lt;=09_ガント元データ!$H181),"■",""))</f>
        <v/>
      </c>
      <c r="AC182" s="24" t="str">
        <f aca="false">IF($A182="","",IF(AND(AC$2&gt;=09_ガント元データ!$G181,AC$2&lt;=09_ガント元データ!$H181),"■",""))</f>
        <v/>
      </c>
      <c r="AD182" s="24" t="str">
        <f aca="false">IF($A182="","",IF(AND(AD$2&gt;=09_ガント元データ!$G181,AD$2&lt;=09_ガント元データ!$H181),"■",""))</f>
        <v/>
      </c>
      <c r="AE182" s="24" t="str">
        <f aca="false">IF($A182="","",IF(AND(AE$2&gt;=09_ガント元データ!$G181,AE$2&lt;=09_ガント元データ!$H181),"■",""))</f>
        <v/>
      </c>
      <c r="AF182" s="24" t="str">
        <f aca="false">IF($A182="","",IF(AND(AF$2&gt;=09_ガント元データ!$G181,AF$2&lt;=09_ガント元データ!$H181),"■",""))</f>
        <v/>
      </c>
      <c r="AG182" s="24" t="str">
        <f aca="false">IF($A182="","",IF(AND(AG$2&gt;=09_ガント元データ!$G181,AG$2&lt;=09_ガント元データ!$H181),"■",""))</f>
        <v/>
      </c>
      <c r="AH182" s="24" t="str">
        <f aca="false">IF($A182="","",IF(AND(AH$2&gt;=09_ガント元データ!$G181,AH$2&lt;=09_ガント元データ!$H181),"■",""))</f>
        <v/>
      </c>
      <c r="AI182" s="24" t="str">
        <f aca="false">IF($A182="","",IF(AND(AI$2&gt;=09_ガント元データ!$G181,AI$2&lt;=09_ガント元データ!$H181),"■",""))</f>
        <v/>
      </c>
      <c r="AJ182" s="24" t="str">
        <f aca="false">IF($A182="","",IF(AND(AJ$2&gt;=09_ガント元データ!$G181,AJ$2&lt;=09_ガント元データ!$H181),"■",""))</f>
        <v/>
      </c>
      <c r="AK182" s="24" t="str">
        <f aca="false">IF($A182="","",IF(AND(AK$2&gt;=09_ガント元データ!$G181,AK$2&lt;=09_ガント元データ!$H181),"■",""))</f>
        <v/>
      </c>
      <c r="AL182" s="24" t="str">
        <f aca="false">IF($A182="","",IF(AND(AL$2&gt;=09_ガント元データ!$G181,AL$2&lt;=09_ガント元データ!$H181),"■",""))</f>
        <v/>
      </c>
      <c r="AM182" s="24" t="str">
        <f aca="false">IF($A182="","",IF(AND(AM$2&gt;=09_ガント元データ!$G181,AM$2&lt;=09_ガント元データ!$H181),"■",""))</f>
        <v/>
      </c>
    </row>
    <row r="183" customFormat="false" ht="15" hidden="false" customHeight="false" outlineLevel="0" collapsed="false">
      <c r="A183" s="22" t="str">
        <f aca="false">09_ガント元データ!A182</f>
        <v/>
      </c>
      <c r="B183" s="22" t="str">
        <f aca="false">09_ガント元データ!B182</f>
        <v/>
      </c>
      <c r="C183" s="23" t="str">
        <f aca="false">09_ガント元データ!C182</f>
        <v/>
      </c>
      <c r="D183" s="24" t="str">
        <f aca="false">IF($A183="","",IF(AND(D$2&gt;=09_ガント元データ!$G182,D$2&lt;=09_ガント元データ!$H182),"■",""))</f>
        <v/>
      </c>
      <c r="E183" s="24" t="str">
        <f aca="false">IF($A183="","",IF(AND(E$2&gt;=09_ガント元データ!$G182,E$2&lt;=09_ガント元データ!$H182),"■",""))</f>
        <v/>
      </c>
      <c r="F183" s="24" t="str">
        <f aca="false">IF($A183="","",IF(AND(F$2&gt;=09_ガント元データ!$G182,F$2&lt;=09_ガント元データ!$H182),"■",""))</f>
        <v/>
      </c>
      <c r="G183" s="24" t="str">
        <f aca="false">IF($A183="","",IF(AND(G$2&gt;=09_ガント元データ!$G182,G$2&lt;=09_ガント元データ!$H182),"■",""))</f>
        <v/>
      </c>
      <c r="H183" s="24" t="str">
        <f aca="false">IF($A183="","",IF(AND(H$2&gt;=09_ガント元データ!$G182,H$2&lt;=09_ガント元データ!$H182),"■",""))</f>
        <v/>
      </c>
      <c r="I183" s="24" t="str">
        <f aca="false">IF($A183="","",IF(AND(I$2&gt;=09_ガント元データ!$G182,I$2&lt;=09_ガント元データ!$H182),"■",""))</f>
        <v/>
      </c>
      <c r="J183" s="24" t="str">
        <f aca="false">IF($A183="","",IF(AND(J$2&gt;=09_ガント元データ!$G182,J$2&lt;=09_ガント元データ!$H182),"■",""))</f>
        <v/>
      </c>
      <c r="K183" s="24" t="str">
        <f aca="false">IF($A183="","",IF(AND(K$2&gt;=09_ガント元データ!$G182,K$2&lt;=09_ガント元データ!$H182),"■",""))</f>
        <v/>
      </c>
      <c r="L183" s="24" t="str">
        <f aca="false">IF($A183="","",IF(AND(L$2&gt;=09_ガント元データ!$G182,L$2&lt;=09_ガント元データ!$H182),"■",""))</f>
        <v/>
      </c>
      <c r="M183" s="24" t="str">
        <f aca="false">IF($A183="","",IF(AND(M$2&gt;=09_ガント元データ!$G182,M$2&lt;=09_ガント元データ!$H182),"■",""))</f>
        <v/>
      </c>
      <c r="N183" s="24" t="str">
        <f aca="false">IF($A183="","",IF(AND(N$2&gt;=09_ガント元データ!$G182,N$2&lt;=09_ガント元データ!$H182),"■",""))</f>
        <v/>
      </c>
      <c r="O183" s="24" t="str">
        <f aca="false">IF($A183="","",IF(AND(O$2&gt;=09_ガント元データ!$G182,O$2&lt;=09_ガント元データ!$H182),"■",""))</f>
        <v/>
      </c>
      <c r="P183" s="24" t="str">
        <f aca="false">IF($A183="","",IF(AND(P$2&gt;=09_ガント元データ!$G182,P$2&lt;=09_ガント元データ!$H182),"■",""))</f>
        <v/>
      </c>
      <c r="Q183" s="24" t="str">
        <f aca="false">IF($A183="","",IF(AND(Q$2&gt;=09_ガント元データ!$G182,Q$2&lt;=09_ガント元データ!$H182),"■",""))</f>
        <v/>
      </c>
      <c r="R183" s="24" t="str">
        <f aca="false">IF($A183="","",IF(AND(R$2&gt;=09_ガント元データ!$G182,R$2&lt;=09_ガント元データ!$H182),"■",""))</f>
        <v/>
      </c>
      <c r="S183" s="24" t="str">
        <f aca="false">IF($A183="","",IF(AND(S$2&gt;=09_ガント元データ!$G182,S$2&lt;=09_ガント元データ!$H182),"■",""))</f>
        <v/>
      </c>
      <c r="T183" s="24" t="str">
        <f aca="false">IF($A183="","",IF(AND(T$2&gt;=09_ガント元データ!$G182,T$2&lt;=09_ガント元データ!$H182),"■",""))</f>
        <v/>
      </c>
      <c r="U183" s="24" t="str">
        <f aca="false">IF($A183="","",IF(AND(U$2&gt;=09_ガント元データ!$G182,U$2&lt;=09_ガント元データ!$H182),"■",""))</f>
        <v/>
      </c>
      <c r="V183" s="24" t="str">
        <f aca="false">IF($A183="","",IF(AND(V$2&gt;=09_ガント元データ!$G182,V$2&lt;=09_ガント元データ!$H182),"■",""))</f>
        <v/>
      </c>
      <c r="W183" s="24" t="str">
        <f aca="false">IF($A183="","",IF(AND(W$2&gt;=09_ガント元データ!$G182,W$2&lt;=09_ガント元データ!$H182),"■",""))</f>
        <v/>
      </c>
      <c r="X183" s="24" t="str">
        <f aca="false">IF($A183="","",IF(AND(X$2&gt;=09_ガント元データ!$G182,X$2&lt;=09_ガント元データ!$H182),"■",""))</f>
        <v/>
      </c>
      <c r="Y183" s="24" t="str">
        <f aca="false">IF($A183="","",IF(AND(Y$2&gt;=09_ガント元データ!$G182,Y$2&lt;=09_ガント元データ!$H182),"■",""))</f>
        <v/>
      </c>
      <c r="Z183" s="24" t="str">
        <f aca="false">IF($A183="","",IF(AND(Z$2&gt;=09_ガント元データ!$G182,Z$2&lt;=09_ガント元データ!$H182),"■",""))</f>
        <v/>
      </c>
      <c r="AA183" s="24" t="str">
        <f aca="false">IF($A183="","",IF(AND(AA$2&gt;=09_ガント元データ!$G182,AA$2&lt;=09_ガント元データ!$H182),"■",""))</f>
        <v/>
      </c>
      <c r="AB183" s="24" t="str">
        <f aca="false">IF($A183="","",IF(AND(AB$2&gt;=09_ガント元データ!$G182,AB$2&lt;=09_ガント元データ!$H182),"■",""))</f>
        <v/>
      </c>
      <c r="AC183" s="24" t="str">
        <f aca="false">IF($A183="","",IF(AND(AC$2&gt;=09_ガント元データ!$G182,AC$2&lt;=09_ガント元データ!$H182),"■",""))</f>
        <v/>
      </c>
      <c r="AD183" s="24" t="str">
        <f aca="false">IF($A183="","",IF(AND(AD$2&gt;=09_ガント元データ!$G182,AD$2&lt;=09_ガント元データ!$H182),"■",""))</f>
        <v/>
      </c>
      <c r="AE183" s="24" t="str">
        <f aca="false">IF($A183="","",IF(AND(AE$2&gt;=09_ガント元データ!$G182,AE$2&lt;=09_ガント元データ!$H182),"■",""))</f>
        <v/>
      </c>
      <c r="AF183" s="24" t="str">
        <f aca="false">IF($A183="","",IF(AND(AF$2&gt;=09_ガント元データ!$G182,AF$2&lt;=09_ガント元データ!$H182),"■",""))</f>
        <v/>
      </c>
      <c r="AG183" s="24" t="str">
        <f aca="false">IF($A183="","",IF(AND(AG$2&gt;=09_ガント元データ!$G182,AG$2&lt;=09_ガント元データ!$H182),"■",""))</f>
        <v/>
      </c>
      <c r="AH183" s="24" t="str">
        <f aca="false">IF($A183="","",IF(AND(AH$2&gt;=09_ガント元データ!$G182,AH$2&lt;=09_ガント元データ!$H182),"■",""))</f>
        <v/>
      </c>
      <c r="AI183" s="24" t="str">
        <f aca="false">IF($A183="","",IF(AND(AI$2&gt;=09_ガント元データ!$G182,AI$2&lt;=09_ガント元データ!$H182),"■",""))</f>
        <v/>
      </c>
      <c r="AJ183" s="24" t="str">
        <f aca="false">IF($A183="","",IF(AND(AJ$2&gt;=09_ガント元データ!$G182,AJ$2&lt;=09_ガント元データ!$H182),"■",""))</f>
        <v/>
      </c>
      <c r="AK183" s="24" t="str">
        <f aca="false">IF($A183="","",IF(AND(AK$2&gt;=09_ガント元データ!$G182,AK$2&lt;=09_ガント元データ!$H182),"■",""))</f>
        <v/>
      </c>
      <c r="AL183" s="24" t="str">
        <f aca="false">IF($A183="","",IF(AND(AL$2&gt;=09_ガント元データ!$G182,AL$2&lt;=09_ガント元データ!$H182),"■",""))</f>
        <v/>
      </c>
      <c r="AM183" s="24" t="str">
        <f aca="false">IF($A183="","",IF(AND(AM$2&gt;=09_ガント元データ!$G182,AM$2&lt;=09_ガント元データ!$H182),"■",""))</f>
        <v/>
      </c>
    </row>
    <row r="184" customFormat="false" ht="15" hidden="false" customHeight="false" outlineLevel="0" collapsed="false">
      <c r="A184" s="22" t="str">
        <f aca="false">09_ガント元データ!A183</f>
        <v/>
      </c>
      <c r="B184" s="22" t="str">
        <f aca="false">09_ガント元データ!B183</f>
        <v/>
      </c>
      <c r="C184" s="23" t="str">
        <f aca="false">09_ガント元データ!C183</f>
        <v/>
      </c>
      <c r="D184" s="24" t="str">
        <f aca="false">IF($A184="","",IF(AND(D$2&gt;=09_ガント元データ!$G183,D$2&lt;=09_ガント元データ!$H183),"■",""))</f>
        <v/>
      </c>
      <c r="E184" s="24" t="str">
        <f aca="false">IF($A184="","",IF(AND(E$2&gt;=09_ガント元データ!$G183,E$2&lt;=09_ガント元データ!$H183),"■",""))</f>
        <v/>
      </c>
      <c r="F184" s="24" t="str">
        <f aca="false">IF($A184="","",IF(AND(F$2&gt;=09_ガント元データ!$G183,F$2&lt;=09_ガント元データ!$H183),"■",""))</f>
        <v/>
      </c>
      <c r="G184" s="24" t="str">
        <f aca="false">IF($A184="","",IF(AND(G$2&gt;=09_ガント元データ!$G183,G$2&lt;=09_ガント元データ!$H183),"■",""))</f>
        <v/>
      </c>
      <c r="H184" s="24" t="str">
        <f aca="false">IF($A184="","",IF(AND(H$2&gt;=09_ガント元データ!$G183,H$2&lt;=09_ガント元データ!$H183),"■",""))</f>
        <v/>
      </c>
      <c r="I184" s="24" t="str">
        <f aca="false">IF($A184="","",IF(AND(I$2&gt;=09_ガント元データ!$G183,I$2&lt;=09_ガント元データ!$H183),"■",""))</f>
        <v/>
      </c>
      <c r="J184" s="24" t="str">
        <f aca="false">IF($A184="","",IF(AND(J$2&gt;=09_ガント元データ!$G183,J$2&lt;=09_ガント元データ!$H183),"■",""))</f>
        <v/>
      </c>
      <c r="K184" s="24" t="str">
        <f aca="false">IF($A184="","",IF(AND(K$2&gt;=09_ガント元データ!$G183,K$2&lt;=09_ガント元データ!$H183),"■",""))</f>
        <v/>
      </c>
      <c r="L184" s="24" t="str">
        <f aca="false">IF($A184="","",IF(AND(L$2&gt;=09_ガント元データ!$G183,L$2&lt;=09_ガント元データ!$H183),"■",""))</f>
        <v/>
      </c>
      <c r="M184" s="24" t="str">
        <f aca="false">IF($A184="","",IF(AND(M$2&gt;=09_ガント元データ!$G183,M$2&lt;=09_ガント元データ!$H183),"■",""))</f>
        <v/>
      </c>
      <c r="N184" s="24" t="str">
        <f aca="false">IF($A184="","",IF(AND(N$2&gt;=09_ガント元データ!$G183,N$2&lt;=09_ガント元データ!$H183),"■",""))</f>
        <v/>
      </c>
      <c r="O184" s="24" t="str">
        <f aca="false">IF($A184="","",IF(AND(O$2&gt;=09_ガント元データ!$G183,O$2&lt;=09_ガント元データ!$H183),"■",""))</f>
        <v/>
      </c>
      <c r="P184" s="24" t="str">
        <f aca="false">IF($A184="","",IF(AND(P$2&gt;=09_ガント元データ!$G183,P$2&lt;=09_ガント元データ!$H183),"■",""))</f>
        <v/>
      </c>
      <c r="Q184" s="24" t="str">
        <f aca="false">IF($A184="","",IF(AND(Q$2&gt;=09_ガント元データ!$G183,Q$2&lt;=09_ガント元データ!$H183),"■",""))</f>
        <v/>
      </c>
      <c r="R184" s="24" t="str">
        <f aca="false">IF($A184="","",IF(AND(R$2&gt;=09_ガント元データ!$G183,R$2&lt;=09_ガント元データ!$H183),"■",""))</f>
        <v/>
      </c>
      <c r="S184" s="24" t="str">
        <f aca="false">IF($A184="","",IF(AND(S$2&gt;=09_ガント元データ!$G183,S$2&lt;=09_ガント元データ!$H183),"■",""))</f>
        <v/>
      </c>
      <c r="T184" s="24" t="str">
        <f aca="false">IF($A184="","",IF(AND(T$2&gt;=09_ガント元データ!$G183,T$2&lt;=09_ガント元データ!$H183),"■",""))</f>
        <v/>
      </c>
      <c r="U184" s="24" t="str">
        <f aca="false">IF($A184="","",IF(AND(U$2&gt;=09_ガント元データ!$G183,U$2&lt;=09_ガント元データ!$H183),"■",""))</f>
        <v/>
      </c>
      <c r="V184" s="24" t="str">
        <f aca="false">IF($A184="","",IF(AND(V$2&gt;=09_ガント元データ!$G183,V$2&lt;=09_ガント元データ!$H183),"■",""))</f>
        <v/>
      </c>
      <c r="W184" s="24" t="str">
        <f aca="false">IF($A184="","",IF(AND(W$2&gt;=09_ガント元データ!$G183,W$2&lt;=09_ガント元データ!$H183),"■",""))</f>
        <v/>
      </c>
      <c r="X184" s="24" t="str">
        <f aca="false">IF($A184="","",IF(AND(X$2&gt;=09_ガント元データ!$G183,X$2&lt;=09_ガント元データ!$H183),"■",""))</f>
        <v/>
      </c>
      <c r="Y184" s="24" t="str">
        <f aca="false">IF($A184="","",IF(AND(Y$2&gt;=09_ガント元データ!$G183,Y$2&lt;=09_ガント元データ!$H183),"■",""))</f>
        <v/>
      </c>
      <c r="Z184" s="24" t="str">
        <f aca="false">IF($A184="","",IF(AND(Z$2&gt;=09_ガント元データ!$G183,Z$2&lt;=09_ガント元データ!$H183),"■",""))</f>
        <v/>
      </c>
      <c r="AA184" s="24" t="str">
        <f aca="false">IF($A184="","",IF(AND(AA$2&gt;=09_ガント元データ!$G183,AA$2&lt;=09_ガント元データ!$H183),"■",""))</f>
        <v/>
      </c>
      <c r="AB184" s="24" t="str">
        <f aca="false">IF($A184="","",IF(AND(AB$2&gt;=09_ガント元データ!$G183,AB$2&lt;=09_ガント元データ!$H183),"■",""))</f>
        <v/>
      </c>
      <c r="AC184" s="24" t="str">
        <f aca="false">IF($A184="","",IF(AND(AC$2&gt;=09_ガント元データ!$G183,AC$2&lt;=09_ガント元データ!$H183),"■",""))</f>
        <v/>
      </c>
      <c r="AD184" s="24" t="str">
        <f aca="false">IF($A184="","",IF(AND(AD$2&gt;=09_ガント元データ!$G183,AD$2&lt;=09_ガント元データ!$H183),"■",""))</f>
        <v/>
      </c>
      <c r="AE184" s="24" t="str">
        <f aca="false">IF($A184="","",IF(AND(AE$2&gt;=09_ガント元データ!$G183,AE$2&lt;=09_ガント元データ!$H183),"■",""))</f>
        <v/>
      </c>
      <c r="AF184" s="24" t="str">
        <f aca="false">IF($A184="","",IF(AND(AF$2&gt;=09_ガント元データ!$G183,AF$2&lt;=09_ガント元データ!$H183),"■",""))</f>
        <v/>
      </c>
      <c r="AG184" s="24" t="str">
        <f aca="false">IF($A184="","",IF(AND(AG$2&gt;=09_ガント元データ!$G183,AG$2&lt;=09_ガント元データ!$H183),"■",""))</f>
        <v/>
      </c>
      <c r="AH184" s="24" t="str">
        <f aca="false">IF($A184="","",IF(AND(AH$2&gt;=09_ガント元データ!$G183,AH$2&lt;=09_ガント元データ!$H183),"■",""))</f>
        <v/>
      </c>
      <c r="AI184" s="24" t="str">
        <f aca="false">IF($A184="","",IF(AND(AI$2&gt;=09_ガント元データ!$G183,AI$2&lt;=09_ガント元データ!$H183),"■",""))</f>
        <v/>
      </c>
      <c r="AJ184" s="24" t="str">
        <f aca="false">IF($A184="","",IF(AND(AJ$2&gt;=09_ガント元データ!$G183,AJ$2&lt;=09_ガント元データ!$H183),"■",""))</f>
        <v/>
      </c>
      <c r="AK184" s="24" t="str">
        <f aca="false">IF($A184="","",IF(AND(AK$2&gt;=09_ガント元データ!$G183,AK$2&lt;=09_ガント元データ!$H183),"■",""))</f>
        <v/>
      </c>
      <c r="AL184" s="24" t="str">
        <f aca="false">IF($A184="","",IF(AND(AL$2&gt;=09_ガント元データ!$G183,AL$2&lt;=09_ガント元データ!$H183),"■",""))</f>
        <v/>
      </c>
      <c r="AM184" s="24" t="str">
        <f aca="false">IF($A184="","",IF(AND(AM$2&gt;=09_ガント元データ!$G183,AM$2&lt;=09_ガント元データ!$H183),"■",""))</f>
        <v/>
      </c>
    </row>
    <row r="185" customFormat="false" ht="15" hidden="false" customHeight="false" outlineLevel="0" collapsed="false">
      <c r="A185" s="22" t="str">
        <f aca="false">09_ガント元データ!A184</f>
        <v/>
      </c>
      <c r="B185" s="22" t="str">
        <f aca="false">09_ガント元データ!B184</f>
        <v/>
      </c>
      <c r="C185" s="23" t="str">
        <f aca="false">09_ガント元データ!C184</f>
        <v/>
      </c>
      <c r="D185" s="24" t="str">
        <f aca="false">IF($A185="","",IF(AND(D$2&gt;=09_ガント元データ!$G184,D$2&lt;=09_ガント元データ!$H184),"■",""))</f>
        <v/>
      </c>
      <c r="E185" s="24" t="str">
        <f aca="false">IF($A185="","",IF(AND(E$2&gt;=09_ガント元データ!$G184,E$2&lt;=09_ガント元データ!$H184),"■",""))</f>
        <v/>
      </c>
      <c r="F185" s="24" t="str">
        <f aca="false">IF($A185="","",IF(AND(F$2&gt;=09_ガント元データ!$G184,F$2&lt;=09_ガント元データ!$H184),"■",""))</f>
        <v/>
      </c>
      <c r="G185" s="24" t="str">
        <f aca="false">IF($A185="","",IF(AND(G$2&gt;=09_ガント元データ!$G184,G$2&lt;=09_ガント元データ!$H184),"■",""))</f>
        <v/>
      </c>
      <c r="H185" s="24" t="str">
        <f aca="false">IF($A185="","",IF(AND(H$2&gt;=09_ガント元データ!$G184,H$2&lt;=09_ガント元データ!$H184),"■",""))</f>
        <v/>
      </c>
      <c r="I185" s="24" t="str">
        <f aca="false">IF($A185="","",IF(AND(I$2&gt;=09_ガント元データ!$G184,I$2&lt;=09_ガント元データ!$H184),"■",""))</f>
        <v/>
      </c>
      <c r="J185" s="24" t="str">
        <f aca="false">IF($A185="","",IF(AND(J$2&gt;=09_ガント元データ!$G184,J$2&lt;=09_ガント元データ!$H184),"■",""))</f>
        <v/>
      </c>
      <c r="K185" s="24" t="str">
        <f aca="false">IF($A185="","",IF(AND(K$2&gt;=09_ガント元データ!$G184,K$2&lt;=09_ガント元データ!$H184),"■",""))</f>
        <v/>
      </c>
      <c r="L185" s="24" t="str">
        <f aca="false">IF($A185="","",IF(AND(L$2&gt;=09_ガント元データ!$G184,L$2&lt;=09_ガント元データ!$H184),"■",""))</f>
        <v/>
      </c>
      <c r="M185" s="24" t="str">
        <f aca="false">IF($A185="","",IF(AND(M$2&gt;=09_ガント元データ!$G184,M$2&lt;=09_ガント元データ!$H184),"■",""))</f>
        <v/>
      </c>
      <c r="N185" s="24" t="str">
        <f aca="false">IF($A185="","",IF(AND(N$2&gt;=09_ガント元データ!$G184,N$2&lt;=09_ガント元データ!$H184),"■",""))</f>
        <v/>
      </c>
      <c r="O185" s="24" t="str">
        <f aca="false">IF($A185="","",IF(AND(O$2&gt;=09_ガント元データ!$G184,O$2&lt;=09_ガント元データ!$H184),"■",""))</f>
        <v/>
      </c>
      <c r="P185" s="24" t="str">
        <f aca="false">IF($A185="","",IF(AND(P$2&gt;=09_ガント元データ!$G184,P$2&lt;=09_ガント元データ!$H184),"■",""))</f>
        <v/>
      </c>
      <c r="Q185" s="24" t="str">
        <f aca="false">IF($A185="","",IF(AND(Q$2&gt;=09_ガント元データ!$G184,Q$2&lt;=09_ガント元データ!$H184),"■",""))</f>
        <v/>
      </c>
      <c r="R185" s="24" t="str">
        <f aca="false">IF($A185="","",IF(AND(R$2&gt;=09_ガント元データ!$G184,R$2&lt;=09_ガント元データ!$H184),"■",""))</f>
        <v/>
      </c>
      <c r="S185" s="24" t="str">
        <f aca="false">IF($A185="","",IF(AND(S$2&gt;=09_ガント元データ!$G184,S$2&lt;=09_ガント元データ!$H184),"■",""))</f>
        <v/>
      </c>
      <c r="T185" s="24" t="str">
        <f aca="false">IF($A185="","",IF(AND(T$2&gt;=09_ガント元データ!$G184,T$2&lt;=09_ガント元データ!$H184),"■",""))</f>
        <v/>
      </c>
      <c r="U185" s="24" t="str">
        <f aca="false">IF($A185="","",IF(AND(U$2&gt;=09_ガント元データ!$G184,U$2&lt;=09_ガント元データ!$H184),"■",""))</f>
        <v/>
      </c>
      <c r="V185" s="24" t="str">
        <f aca="false">IF($A185="","",IF(AND(V$2&gt;=09_ガント元データ!$G184,V$2&lt;=09_ガント元データ!$H184),"■",""))</f>
        <v/>
      </c>
      <c r="W185" s="24" t="str">
        <f aca="false">IF($A185="","",IF(AND(W$2&gt;=09_ガント元データ!$G184,W$2&lt;=09_ガント元データ!$H184),"■",""))</f>
        <v/>
      </c>
      <c r="X185" s="24" t="str">
        <f aca="false">IF($A185="","",IF(AND(X$2&gt;=09_ガント元データ!$G184,X$2&lt;=09_ガント元データ!$H184),"■",""))</f>
        <v/>
      </c>
      <c r="Y185" s="24" t="str">
        <f aca="false">IF($A185="","",IF(AND(Y$2&gt;=09_ガント元データ!$G184,Y$2&lt;=09_ガント元データ!$H184),"■",""))</f>
        <v/>
      </c>
      <c r="Z185" s="24" t="str">
        <f aca="false">IF($A185="","",IF(AND(Z$2&gt;=09_ガント元データ!$G184,Z$2&lt;=09_ガント元データ!$H184),"■",""))</f>
        <v/>
      </c>
      <c r="AA185" s="24" t="str">
        <f aca="false">IF($A185="","",IF(AND(AA$2&gt;=09_ガント元データ!$G184,AA$2&lt;=09_ガント元データ!$H184),"■",""))</f>
        <v/>
      </c>
      <c r="AB185" s="24" t="str">
        <f aca="false">IF($A185="","",IF(AND(AB$2&gt;=09_ガント元データ!$G184,AB$2&lt;=09_ガント元データ!$H184),"■",""))</f>
        <v/>
      </c>
      <c r="AC185" s="24" t="str">
        <f aca="false">IF($A185="","",IF(AND(AC$2&gt;=09_ガント元データ!$G184,AC$2&lt;=09_ガント元データ!$H184),"■",""))</f>
        <v/>
      </c>
      <c r="AD185" s="24" t="str">
        <f aca="false">IF($A185="","",IF(AND(AD$2&gt;=09_ガント元データ!$G184,AD$2&lt;=09_ガント元データ!$H184),"■",""))</f>
        <v/>
      </c>
      <c r="AE185" s="24" t="str">
        <f aca="false">IF($A185="","",IF(AND(AE$2&gt;=09_ガント元データ!$G184,AE$2&lt;=09_ガント元データ!$H184),"■",""))</f>
        <v/>
      </c>
      <c r="AF185" s="24" t="str">
        <f aca="false">IF($A185="","",IF(AND(AF$2&gt;=09_ガント元データ!$G184,AF$2&lt;=09_ガント元データ!$H184),"■",""))</f>
        <v/>
      </c>
      <c r="AG185" s="24" t="str">
        <f aca="false">IF($A185="","",IF(AND(AG$2&gt;=09_ガント元データ!$G184,AG$2&lt;=09_ガント元データ!$H184),"■",""))</f>
        <v/>
      </c>
      <c r="AH185" s="24" t="str">
        <f aca="false">IF($A185="","",IF(AND(AH$2&gt;=09_ガント元データ!$G184,AH$2&lt;=09_ガント元データ!$H184),"■",""))</f>
        <v/>
      </c>
      <c r="AI185" s="24" t="str">
        <f aca="false">IF($A185="","",IF(AND(AI$2&gt;=09_ガント元データ!$G184,AI$2&lt;=09_ガント元データ!$H184),"■",""))</f>
        <v/>
      </c>
      <c r="AJ185" s="24" t="str">
        <f aca="false">IF($A185="","",IF(AND(AJ$2&gt;=09_ガント元データ!$G184,AJ$2&lt;=09_ガント元データ!$H184),"■",""))</f>
        <v/>
      </c>
      <c r="AK185" s="24" t="str">
        <f aca="false">IF($A185="","",IF(AND(AK$2&gt;=09_ガント元データ!$G184,AK$2&lt;=09_ガント元データ!$H184),"■",""))</f>
        <v/>
      </c>
      <c r="AL185" s="24" t="str">
        <f aca="false">IF($A185="","",IF(AND(AL$2&gt;=09_ガント元データ!$G184,AL$2&lt;=09_ガント元データ!$H184),"■",""))</f>
        <v/>
      </c>
      <c r="AM185" s="24" t="str">
        <f aca="false">IF($A185="","",IF(AND(AM$2&gt;=09_ガント元データ!$G184,AM$2&lt;=09_ガント元データ!$H184),"■",""))</f>
        <v/>
      </c>
    </row>
    <row r="186" customFormat="false" ht="15" hidden="false" customHeight="false" outlineLevel="0" collapsed="false">
      <c r="A186" s="22" t="str">
        <f aca="false">09_ガント元データ!A185</f>
        <v/>
      </c>
      <c r="B186" s="22" t="str">
        <f aca="false">09_ガント元データ!B185</f>
        <v/>
      </c>
      <c r="C186" s="23" t="str">
        <f aca="false">09_ガント元データ!C185</f>
        <v/>
      </c>
      <c r="D186" s="24" t="str">
        <f aca="false">IF($A186="","",IF(AND(D$2&gt;=09_ガント元データ!$G185,D$2&lt;=09_ガント元データ!$H185),"■",""))</f>
        <v/>
      </c>
      <c r="E186" s="24" t="str">
        <f aca="false">IF($A186="","",IF(AND(E$2&gt;=09_ガント元データ!$G185,E$2&lt;=09_ガント元データ!$H185),"■",""))</f>
        <v/>
      </c>
      <c r="F186" s="24" t="str">
        <f aca="false">IF($A186="","",IF(AND(F$2&gt;=09_ガント元データ!$G185,F$2&lt;=09_ガント元データ!$H185),"■",""))</f>
        <v/>
      </c>
      <c r="G186" s="24" t="str">
        <f aca="false">IF($A186="","",IF(AND(G$2&gt;=09_ガント元データ!$G185,G$2&lt;=09_ガント元データ!$H185),"■",""))</f>
        <v/>
      </c>
      <c r="H186" s="24" t="str">
        <f aca="false">IF($A186="","",IF(AND(H$2&gt;=09_ガント元データ!$G185,H$2&lt;=09_ガント元データ!$H185),"■",""))</f>
        <v/>
      </c>
      <c r="I186" s="24" t="str">
        <f aca="false">IF($A186="","",IF(AND(I$2&gt;=09_ガント元データ!$G185,I$2&lt;=09_ガント元データ!$H185),"■",""))</f>
        <v/>
      </c>
      <c r="J186" s="24" t="str">
        <f aca="false">IF($A186="","",IF(AND(J$2&gt;=09_ガント元データ!$G185,J$2&lt;=09_ガント元データ!$H185),"■",""))</f>
        <v/>
      </c>
      <c r="K186" s="24" t="str">
        <f aca="false">IF($A186="","",IF(AND(K$2&gt;=09_ガント元データ!$G185,K$2&lt;=09_ガント元データ!$H185),"■",""))</f>
        <v/>
      </c>
      <c r="L186" s="24" t="str">
        <f aca="false">IF($A186="","",IF(AND(L$2&gt;=09_ガント元データ!$G185,L$2&lt;=09_ガント元データ!$H185),"■",""))</f>
        <v/>
      </c>
      <c r="M186" s="24" t="str">
        <f aca="false">IF($A186="","",IF(AND(M$2&gt;=09_ガント元データ!$G185,M$2&lt;=09_ガント元データ!$H185),"■",""))</f>
        <v/>
      </c>
      <c r="N186" s="24" t="str">
        <f aca="false">IF($A186="","",IF(AND(N$2&gt;=09_ガント元データ!$G185,N$2&lt;=09_ガント元データ!$H185),"■",""))</f>
        <v/>
      </c>
      <c r="O186" s="24" t="str">
        <f aca="false">IF($A186="","",IF(AND(O$2&gt;=09_ガント元データ!$G185,O$2&lt;=09_ガント元データ!$H185),"■",""))</f>
        <v/>
      </c>
      <c r="P186" s="24" t="str">
        <f aca="false">IF($A186="","",IF(AND(P$2&gt;=09_ガント元データ!$G185,P$2&lt;=09_ガント元データ!$H185),"■",""))</f>
        <v/>
      </c>
      <c r="Q186" s="24" t="str">
        <f aca="false">IF($A186="","",IF(AND(Q$2&gt;=09_ガント元データ!$G185,Q$2&lt;=09_ガント元データ!$H185),"■",""))</f>
        <v/>
      </c>
      <c r="R186" s="24" t="str">
        <f aca="false">IF($A186="","",IF(AND(R$2&gt;=09_ガント元データ!$G185,R$2&lt;=09_ガント元データ!$H185),"■",""))</f>
        <v/>
      </c>
      <c r="S186" s="24" t="str">
        <f aca="false">IF($A186="","",IF(AND(S$2&gt;=09_ガント元データ!$G185,S$2&lt;=09_ガント元データ!$H185),"■",""))</f>
        <v/>
      </c>
      <c r="T186" s="24" t="str">
        <f aca="false">IF($A186="","",IF(AND(T$2&gt;=09_ガント元データ!$G185,T$2&lt;=09_ガント元データ!$H185),"■",""))</f>
        <v/>
      </c>
      <c r="U186" s="24" t="str">
        <f aca="false">IF($A186="","",IF(AND(U$2&gt;=09_ガント元データ!$G185,U$2&lt;=09_ガント元データ!$H185),"■",""))</f>
        <v/>
      </c>
      <c r="V186" s="24" t="str">
        <f aca="false">IF($A186="","",IF(AND(V$2&gt;=09_ガント元データ!$G185,V$2&lt;=09_ガント元データ!$H185),"■",""))</f>
        <v/>
      </c>
      <c r="W186" s="24" t="str">
        <f aca="false">IF($A186="","",IF(AND(W$2&gt;=09_ガント元データ!$G185,W$2&lt;=09_ガント元データ!$H185),"■",""))</f>
        <v/>
      </c>
      <c r="X186" s="24" t="str">
        <f aca="false">IF($A186="","",IF(AND(X$2&gt;=09_ガント元データ!$G185,X$2&lt;=09_ガント元データ!$H185),"■",""))</f>
        <v/>
      </c>
      <c r="Y186" s="24" t="str">
        <f aca="false">IF($A186="","",IF(AND(Y$2&gt;=09_ガント元データ!$G185,Y$2&lt;=09_ガント元データ!$H185),"■",""))</f>
        <v/>
      </c>
      <c r="Z186" s="24" t="str">
        <f aca="false">IF($A186="","",IF(AND(Z$2&gt;=09_ガント元データ!$G185,Z$2&lt;=09_ガント元データ!$H185),"■",""))</f>
        <v/>
      </c>
      <c r="AA186" s="24" t="str">
        <f aca="false">IF($A186="","",IF(AND(AA$2&gt;=09_ガント元データ!$G185,AA$2&lt;=09_ガント元データ!$H185),"■",""))</f>
        <v/>
      </c>
      <c r="AB186" s="24" t="str">
        <f aca="false">IF($A186="","",IF(AND(AB$2&gt;=09_ガント元データ!$G185,AB$2&lt;=09_ガント元データ!$H185),"■",""))</f>
        <v/>
      </c>
      <c r="AC186" s="24" t="str">
        <f aca="false">IF($A186="","",IF(AND(AC$2&gt;=09_ガント元データ!$G185,AC$2&lt;=09_ガント元データ!$H185),"■",""))</f>
        <v/>
      </c>
      <c r="AD186" s="24" t="str">
        <f aca="false">IF($A186="","",IF(AND(AD$2&gt;=09_ガント元データ!$G185,AD$2&lt;=09_ガント元データ!$H185),"■",""))</f>
        <v/>
      </c>
      <c r="AE186" s="24" t="str">
        <f aca="false">IF($A186="","",IF(AND(AE$2&gt;=09_ガント元データ!$G185,AE$2&lt;=09_ガント元データ!$H185),"■",""))</f>
        <v/>
      </c>
      <c r="AF186" s="24" t="str">
        <f aca="false">IF($A186="","",IF(AND(AF$2&gt;=09_ガント元データ!$G185,AF$2&lt;=09_ガント元データ!$H185),"■",""))</f>
        <v/>
      </c>
      <c r="AG186" s="24" t="str">
        <f aca="false">IF($A186="","",IF(AND(AG$2&gt;=09_ガント元データ!$G185,AG$2&lt;=09_ガント元データ!$H185),"■",""))</f>
        <v/>
      </c>
      <c r="AH186" s="24" t="str">
        <f aca="false">IF($A186="","",IF(AND(AH$2&gt;=09_ガント元データ!$G185,AH$2&lt;=09_ガント元データ!$H185),"■",""))</f>
        <v/>
      </c>
      <c r="AI186" s="24" t="str">
        <f aca="false">IF($A186="","",IF(AND(AI$2&gt;=09_ガント元データ!$G185,AI$2&lt;=09_ガント元データ!$H185),"■",""))</f>
        <v/>
      </c>
      <c r="AJ186" s="24" t="str">
        <f aca="false">IF($A186="","",IF(AND(AJ$2&gt;=09_ガント元データ!$G185,AJ$2&lt;=09_ガント元データ!$H185),"■",""))</f>
        <v/>
      </c>
      <c r="AK186" s="24" t="str">
        <f aca="false">IF($A186="","",IF(AND(AK$2&gt;=09_ガント元データ!$G185,AK$2&lt;=09_ガント元データ!$H185),"■",""))</f>
        <v/>
      </c>
      <c r="AL186" s="24" t="str">
        <f aca="false">IF($A186="","",IF(AND(AL$2&gt;=09_ガント元データ!$G185,AL$2&lt;=09_ガント元データ!$H185),"■",""))</f>
        <v/>
      </c>
      <c r="AM186" s="24" t="str">
        <f aca="false">IF($A186="","",IF(AND(AM$2&gt;=09_ガント元データ!$G185,AM$2&lt;=09_ガント元データ!$H185),"■",""))</f>
        <v/>
      </c>
    </row>
    <row r="187" customFormat="false" ht="15" hidden="false" customHeight="false" outlineLevel="0" collapsed="false">
      <c r="A187" s="22" t="str">
        <f aca="false">09_ガント元データ!A186</f>
        <v/>
      </c>
      <c r="B187" s="22" t="str">
        <f aca="false">09_ガント元データ!B186</f>
        <v/>
      </c>
      <c r="C187" s="23" t="str">
        <f aca="false">09_ガント元データ!C186</f>
        <v/>
      </c>
      <c r="D187" s="24" t="str">
        <f aca="false">IF($A187="","",IF(AND(D$2&gt;=09_ガント元データ!$G186,D$2&lt;=09_ガント元データ!$H186),"■",""))</f>
        <v/>
      </c>
      <c r="E187" s="24" t="str">
        <f aca="false">IF($A187="","",IF(AND(E$2&gt;=09_ガント元データ!$G186,E$2&lt;=09_ガント元データ!$H186),"■",""))</f>
        <v/>
      </c>
      <c r="F187" s="24" t="str">
        <f aca="false">IF($A187="","",IF(AND(F$2&gt;=09_ガント元データ!$G186,F$2&lt;=09_ガント元データ!$H186),"■",""))</f>
        <v/>
      </c>
      <c r="G187" s="24" t="str">
        <f aca="false">IF($A187="","",IF(AND(G$2&gt;=09_ガント元データ!$G186,G$2&lt;=09_ガント元データ!$H186),"■",""))</f>
        <v/>
      </c>
      <c r="H187" s="24" t="str">
        <f aca="false">IF($A187="","",IF(AND(H$2&gt;=09_ガント元データ!$G186,H$2&lt;=09_ガント元データ!$H186),"■",""))</f>
        <v/>
      </c>
      <c r="I187" s="24" t="str">
        <f aca="false">IF($A187="","",IF(AND(I$2&gt;=09_ガント元データ!$G186,I$2&lt;=09_ガント元データ!$H186),"■",""))</f>
        <v/>
      </c>
      <c r="J187" s="24" t="str">
        <f aca="false">IF($A187="","",IF(AND(J$2&gt;=09_ガント元データ!$G186,J$2&lt;=09_ガント元データ!$H186),"■",""))</f>
        <v/>
      </c>
      <c r="K187" s="24" t="str">
        <f aca="false">IF($A187="","",IF(AND(K$2&gt;=09_ガント元データ!$G186,K$2&lt;=09_ガント元データ!$H186),"■",""))</f>
        <v/>
      </c>
      <c r="L187" s="24" t="str">
        <f aca="false">IF($A187="","",IF(AND(L$2&gt;=09_ガント元データ!$G186,L$2&lt;=09_ガント元データ!$H186),"■",""))</f>
        <v/>
      </c>
      <c r="M187" s="24" t="str">
        <f aca="false">IF($A187="","",IF(AND(M$2&gt;=09_ガント元データ!$G186,M$2&lt;=09_ガント元データ!$H186),"■",""))</f>
        <v/>
      </c>
      <c r="N187" s="24" t="str">
        <f aca="false">IF($A187="","",IF(AND(N$2&gt;=09_ガント元データ!$G186,N$2&lt;=09_ガント元データ!$H186),"■",""))</f>
        <v/>
      </c>
      <c r="O187" s="24" t="str">
        <f aca="false">IF($A187="","",IF(AND(O$2&gt;=09_ガント元データ!$G186,O$2&lt;=09_ガント元データ!$H186),"■",""))</f>
        <v/>
      </c>
      <c r="P187" s="24" t="str">
        <f aca="false">IF($A187="","",IF(AND(P$2&gt;=09_ガント元データ!$G186,P$2&lt;=09_ガント元データ!$H186),"■",""))</f>
        <v/>
      </c>
      <c r="Q187" s="24" t="str">
        <f aca="false">IF($A187="","",IF(AND(Q$2&gt;=09_ガント元データ!$G186,Q$2&lt;=09_ガント元データ!$H186),"■",""))</f>
        <v/>
      </c>
      <c r="R187" s="24" t="str">
        <f aca="false">IF($A187="","",IF(AND(R$2&gt;=09_ガント元データ!$G186,R$2&lt;=09_ガント元データ!$H186),"■",""))</f>
        <v/>
      </c>
      <c r="S187" s="24" t="str">
        <f aca="false">IF($A187="","",IF(AND(S$2&gt;=09_ガント元データ!$G186,S$2&lt;=09_ガント元データ!$H186),"■",""))</f>
        <v/>
      </c>
      <c r="T187" s="24" t="str">
        <f aca="false">IF($A187="","",IF(AND(T$2&gt;=09_ガント元データ!$G186,T$2&lt;=09_ガント元データ!$H186),"■",""))</f>
        <v/>
      </c>
      <c r="U187" s="24" t="str">
        <f aca="false">IF($A187="","",IF(AND(U$2&gt;=09_ガント元データ!$G186,U$2&lt;=09_ガント元データ!$H186),"■",""))</f>
        <v/>
      </c>
      <c r="V187" s="24" t="str">
        <f aca="false">IF($A187="","",IF(AND(V$2&gt;=09_ガント元データ!$G186,V$2&lt;=09_ガント元データ!$H186),"■",""))</f>
        <v/>
      </c>
      <c r="W187" s="24" t="str">
        <f aca="false">IF($A187="","",IF(AND(W$2&gt;=09_ガント元データ!$G186,W$2&lt;=09_ガント元データ!$H186),"■",""))</f>
        <v/>
      </c>
      <c r="X187" s="24" t="str">
        <f aca="false">IF($A187="","",IF(AND(X$2&gt;=09_ガント元データ!$G186,X$2&lt;=09_ガント元データ!$H186),"■",""))</f>
        <v/>
      </c>
      <c r="Y187" s="24" t="str">
        <f aca="false">IF($A187="","",IF(AND(Y$2&gt;=09_ガント元データ!$G186,Y$2&lt;=09_ガント元データ!$H186),"■",""))</f>
        <v/>
      </c>
      <c r="Z187" s="24" t="str">
        <f aca="false">IF($A187="","",IF(AND(Z$2&gt;=09_ガント元データ!$G186,Z$2&lt;=09_ガント元データ!$H186),"■",""))</f>
        <v/>
      </c>
      <c r="AA187" s="24" t="str">
        <f aca="false">IF($A187="","",IF(AND(AA$2&gt;=09_ガント元データ!$G186,AA$2&lt;=09_ガント元データ!$H186),"■",""))</f>
        <v/>
      </c>
      <c r="AB187" s="24" t="str">
        <f aca="false">IF($A187="","",IF(AND(AB$2&gt;=09_ガント元データ!$G186,AB$2&lt;=09_ガント元データ!$H186),"■",""))</f>
        <v/>
      </c>
      <c r="AC187" s="24" t="str">
        <f aca="false">IF($A187="","",IF(AND(AC$2&gt;=09_ガント元データ!$G186,AC$2&lt;=09_ガント元データ!$H186),"■",""))</f>
        <v/>
      </c>
      <c r="AD187" s="24" t="str">
        <f aca="false">IF($A187="","",IF(AND(AD$2&gt;=09_ガント元データ!$G186,AD$2&lt;=09_ガント元データ!$H186),"■",""))</f>
        <v/>
      </c>
      <c r="AE187" s="24" t="str">
        <f aca="false">IF($A187="","",IF(AND(AE$2&gt;=09_ガント元データ!$G186,AE$2&lt;=09_ガント元データ!$H186),"■",""))</f>
        <v/>
      </c>
      <c r="AF187" s="24" t="str">
        <f aca="false">IF($A187="","",IF(AND(AF$2&gt;=09_ガント元データ!$G186,AF$2&lt;=09_ガント元データ!$H186),"■",""))</f>
        <v/>
      </c>
      <c r="AG187" s="24" t="str">
        <f aca="false">IF($A187="","",IF(AND(AG$2&gt;=09_ガント元データ!$G186,AG$2&lt;=09_ガント元データ!$H186),"■",""))</f>
        <v/>
      </c>
      <c r="AH187" s="24" t="str">
        <f aca="false">IF($A187="","",IF(AND(AH$2&gt;=09_ガント元データ!$G186,AH$2&lt;=09_ガント元データ!$H186),"■",""))</f>
        <v/>
      </c>
      <c r="AI187" s="24" t="str">
        <f aca="false">IF($A187="","",IF(AND(AI$2&gt;=09_ガント元データ!$G186,AI$2&lt;=09_ガント元データ!$H186),"■",""))</f>
        <v/>
      </c>
      <c r="AJ187" s="24" t="str">
        <f aca="false">IF($A187="","",IF(AND(AJ$2&gt;=09_ガント元データ!$G186,AJ$2&lt;=09_ガント元データ!$H186),"■",""))</f>
        <v/>
      </c>
      <c r="AK187" s="24" t="str">
        <f aca="false">IF($A187="","",IF(AND(AK$2&gt;=09_ガント元データ!$G186,AK$2&lt;=09_ガント元データ!$H186),"■",""))</f>
        <v/>
      </c>
      <c r="AL187" s="24" t="str">
        <f aca="false">IF($A187="","",IF(AND(AL$2&gt;=09_ガント元データ!$G186,AL$2&lt;=09_ガント元データ!$H186),"■",""))</f>
        <v/>
      </c>
      <c r="AM187" s="24" t="str">
        <f aca="false">IF($A187="","",IF(AND(AM$2&gt;=09_ガント元データ!$G186,AM$2&lt;=09_ガント元データ!$H186),"■",""))</f>
        <v/>
      </c>
    </row>
    <row r="188" customFormat="false" ht="15" hidden="false" customHeight="false" outlineLevel="0" collapsed="false">
      <c r="A188" s="22" t="str">
        <f aca="false">09_ガント元データ!A187</f>
        <v/>
      </c>
      <c r="B188" s="22" t="str">
        <f aca="false">09_ガント元データ!B187</f>
        <v/>
      </c>
      <c r="C188" s="23" t="str">
        <f aca="false">09_ガント元データ!C187</f>
        <v/>
      </c>
      <c r="D188" s="24" t="str">
        <f aca="false">IF($A188="","",IF(AND(D$2&gt;=09_ガント元データ!$G187,D$2&lt;=09_ガント元データ!$H187),"■",""))</f>
        <v/>
      </c>
      <c r="E188" s="24" t="str">
        <f aca="false">IF($A188="","",IF(AND(E$2&gt;=09_ガント元データ!$G187,E$2&lt;=09_ガント元データ!$H187),"■",""))</f>
        <v/>
      </c>
      <c r="F188" s="24" t="str">
        <f aca="false">IF($A188="","",IF(AND(F$2&gt;=09_ガント元データ!$G187,F$2&lt;=09_ガント元データ!$H187),"■",""))</f>
        <v/>
      </c>
      <c r="G188" s="24" t="str">
        <f aca="false">IF($A188="","",IF(AND(G$2&gt;=09_ガント元データ!$G187,G$2&lt;=09_ガント元データ!$H187),"■",""))</f>
        <v/>
      </c>
      <c r="H188" s="24" t="str">
        <f aca="false">IF($A188="","",IF(AND(H$2&gt;=09_ガント元データ!$G187,H$2&lt;=09_ガント元データ!$H187),"■",""))</f>
        <v/>
      </c>
      <c r="I188" s="24" t="str">
        <f aca="false">IF($A188="","",IF(AND(I$2&gt;=09_ガント元データ!$G187,I$2&lt;=09_ガント元データ!$H187),"■",""))</f>
        <v/>
      </c>
      <c r="J188" s="24" t="str">
        <f aca="false">IF($A188="","",IF(AND(J$2&gt;=09_ガント元データ!$G187,J$2&lt;=09_ガント元データ!$H187),"■",""))</f>
        <v/>
      </c>
      <c r="K188" s="24" t="str">
        <f aca="false">IF($A188="","",IF(AND(K$2&gt;=09_ガント元データ!$G187,K$2&lt;=09_ガント元データ!$H187),"■",""))</f>
        <v/>
      </c>
      <c r="L188" s="24" t="str">
        <f aca="false">IF($A188="","",IF(AND(L$2&gt;=09_ガント元データ!$G187,L$2&lt;=09_ガント元データ!$H187),"■",""))</f>
        <v/>
      </c>
      <c r="M188" s="24" t="str">
        <f aca="false">IF($A188="","",IF(AND(M$2&gt;=09_ガント元データ!$G187,M$2&lt;=09_ガント元データ!$H187),"■",""))</f>
        <v/>
      </c>
      <c r="N188" s="24" t="str">
        <f aca="false">IF($A188="","",IF(AND(N$2&gt;=09_ガント元データ!$G187,N$2&lt;=09_ガント元データ!$H187),"■",""))</f>
        <v/>
      </c>
      <c r="O188" s="24" t="str">
        <f aca="false">IF($A188="","",IF(AND(O$2&gt;=09_ガント元データ!$G187,O$2&lt;=09_ガント元データ!$H187),"■",""))</f>
        <v/>
      </c>
      <c r="P188" s="24" t="str">
        <f aca="false">IF($A188="","",IF(AND(P$2&gt;=09_ガント元データ!$G187,P$2&lt;=09_ガント元データ!$H187),"■",""))</f>
        <v/>
      </c>
      <c r="Q188" s="24" t="str">
        <f aca="false">IF($A188="","",IF(AND(Q$2&gt;=09_ガント元データ!$G187,Q$2&lt;=09_ガント元データ!$H187),"■",""))</f>
        <v/>
      </c>
      <c r="R188" s="24" t="str">
        <f aca="false">IF($A188="","",IF(AND(R$2&gt;=09_ガント元データ!$G187,R$2&lt;=09_ガント元データ!$H187),"■",""))</f>
        <v/>
      </c>
      <c r="S188" s="24" t="str">
        <f aca="false">IF($A188="","",IF(AND(S$2&gt;=09_ガント元データ!$G187,S$2&lt;=09_ガント元データ!$H187),"■",""))</f>
        <v/>
      </c>
      <c r="T188" s="24" t="str">
        <f aca="false">IF($A188="","",IF(AND(T$2&gt;=09_ガント元データ!$G187,T$2&lt;=09_ガント元データ!$H187),"■",""))</f>
        <v/>
      </c>
      <c r="U188" s="24" t="str">
        <f aca="false">IF($A188="","",IF(AND(U$2&gt;=09_ガント元データ!$G187,U$2&lt;=09_ガント元データ!$H187),"■",""))</f>
        <v/>
      </c>
      <c r="V188" s="24" t="str">
        <f aca="false">IF($A188="","",IF(AND(V$2&gt;=09_ガント元データ!$G187,V$2&lt;=09_ガント元データ!$H187),"■",""))</f>
        <v/>
      </c>
      <c r="W188" s="24" t="str">
        <f aca="false">IF($A188="","",IF(AND(W$2&gt;=09_ガント元データ!$G187,W$2&lt;=09_ガント元データ!$H187),"■",""))</f>
        <v/>
      </c>
      <c r="X188" s="24" t="str">
        <f aca="false">IF($A188="","",IF(AND(X$2&gt;=09_ガント元データ!$G187,X$2&lt;=09_ガント元データ!$H187),"■",""))</f>
        <v/>
      </c>
      <c r="Y188" s="24" t="str">
        <f aca="false">IF($A188="","",IF(AND(Y$2&gt;=09_ガント元データ!$G187,Y$2&lt;=09_ガント元データ!$H187),"■",""))</f>
        <v/>
      </c>
      <c r="Z188" s="24" t="str">
        <f aca="false">IF($A188="","",IF(AND(Z$2&gt;=09_ガント元データ!$G187,Z$2&lt;=09_ガント元データ!$H187),"■",""))</f>
        <v/>
      </c>
      <c r="AA188" s="24" t="str">
        <f aca="false">IF($A188="","",IF(AND(AA$2&gt;=09_ガント元データ!$G187,AA$2&lt;=09_ガント元データ!$H187),"■",""))</f>
        <v/>
      </c>
      <c r="AB188" s="24" t="str">
        <f aca="false">IF($A188="","",IF(AND(AB$2&gt;=09_ガント元データ!$G187,AB$2&lt;=09_ガント元データ!$H187),"■",""))</f>
        <v/>
      </c>
      <c r="AC188" s="24" t="str">
        <f aca="false">IF($A188="","",IF(AND(AC$2&gt;=09_ガント元データ!$G187,AC$2&lt;=09_ガント元データ!$H187),"■",""))</f>
        <v/>
      </c>
      <c r="AD188" s="24" t="str">
        <f aca="false">IF($A188="","",IF(AND(AD$2&gt;=09_ガント元データ!$G187,AD$2&lt;=09_ガント元データ!$H187),"■",""))</f>
        <v/>
      </c>
      <c r="AE188" s="24" t="str">
        <f aca="false">IF($A188="","",IF(AND(AE$2&gt;=09_ガント元データ!$G187,AE$2&lt;=09_ガント元データ!$H187),"■",""))</f>
        <v/>
      </c>
      <c r="AF188" s="24" t="str">
        <f aca="false">IF($A188="","",IF(AND(AF$2&gt;=09_ガント元データ!$G187,AF$2&lt;=09_ガント元データ!$H187),"■",""))</f>
        <v/>
      </c>
      <c r="AG188" s="24" t="str">
        <f aca="false">IF($A188="","",IF(AND(AG$2&gt;=09_ガント元データ!$G187,AG$2&lt;=09_ガント元データ!$H187),"■",""))</f>
        <v/>
      </c>
      <c r="AH188" s="24" t="str">
        <f aca="false">IF($A188="","",IF(AND(AH$2&gt;=09_ガント元データ!$G187,AH$2&lt;=09_ガント元データ!$H187),"■",""))</f>
        <v/>
      </c>
      <c r="AI188" s="24" t="str">
        <f aca="false">IF($A188="","",IF(AND(AI$2&gt;=09_ガント元データ!$G187,AI$2&lt;=09_ガント元データ!$H187),"■",""))</f>
        <v/>
      </c>
      <c r="AJ188" s="24" t="str">
        <f aca="false">IF($A188="","",IF(AND(AJ$2&gt;=09_ガント元データ!$G187,AJ$2&lt;=09_ガント元データ!$H187),"■",""))</f>
        <v/>
      </c>
      <c r="AK188" s="24" t="str">
        <f aca="false">IF($A188="","",IF(AND(AK$2&gt;=09_ガント元データ!$G187,AK$2&lt;=09_ガント元データ!$H187),"■",""))</f>
        <v/>
      </c>
      <c r="AL188" s="24" t="str">
        <f aca="false">IF($A188="","",IF(AND(AL$2&gt;=09_ガント元データ!$G187,AL$2&lt;=09_ガント元データ!$H187),"■",""))</f>
        <v/>
      </c>
      <c r="AM188" s="24" t="str">
        <f aca="false">IF($A188="","",IF(AND(AM$2&gt;=09_ガント元データ!$G187,AM$2&lt;=09_ガント元データ!$H187),"■",""))</f>
        <v/>
      </c>
    </row>
    <row r="189" customFormat="false" ht="15" hidden="false" customHeight="false" outlineLevel="0" collapsed="false">
      <c r="A189" s="22" t="str">
        <f aca="false">09_ガント元データ!A188</f>
        <v/>
      </c>
      <c r="B189" s="22" t="str">
        <f aca="false">09_ガント元データ!B188</f>
        <v/>
      </c>
      <c r="C189" s="23" t="str">
        <f aca="false">09_ガント元データ!C188</f>
        <v/>
      </c>
      <c r="D189" s="24" t="str">
        <f aca="false">IF($A189="","",IF(AND(D$2&gt;=09_ガント元データ!$G188,D$2&lt;=09_ガント元データ!$H188),"■",""))</f>
        <v/>
      </c>
      <c r="E189" s="24" t="str">
        <f aca="false">IF($A189="","",IF(AND(E$2&gt;=09_ガント元データ!$G188,E$2&lt;=09_ガント元データ!$H188),"■",""))</f>
        <v/>
      </c>
      <c r="F189" s="24" t="str">
        <f aca="false">IF($A189="","",IF(AND(F$2&gt;=09_ガント元データ!$G188,F$2&lt;=09_ガント元データ!$H188),"■",""))</f>
        <v/>
      </c>
      <c r="G189" s="24" t="str">
        <f aca="false">IF($A189="","",IF(AND(G$2&gt;=09_ガント元データ!$G188,G$2&lt;=09_ガント元データ!$H188),"■",""))</f>
        <v/>
      </c>
      <c r="H189" s="24" t="str">
        <f aca="false">IF($A189="","",IF(AND(H$2&gt;=09_ガント元データ!$G188,H$2&lt;=09_ガント元データ!$H188),"■",""))</f>
        <v/>
      </c>
      <c r="I189" s="24" t="str">
        <f aca="false">IF($A189="","",IF(AND(I$2&gt;=09_ガント元データ!$G188,I$2&lt;=09_ガント元データ!$H188),"■",""))</f>
        <v/>
      </c>
      <c r="J189" s="24" t="str">
        <f aca="false">IF($A189="","",IF(AND(J$2&gt;=09_ガント元データ!$G188,J$2&lt;=09_ガント元データ!$H188),"■",""))</f>
        <v/>
      </c>
      <c r="K189" s="24" t="str">
        <f aca="false">IF($A189="","",IF(AND(K$2&gt;=09_ガント元データ!$G188,K$2&lt;=09_ガント元データ!$H188),"■",""))</f>
        <v/>
      </c>
      <c r="L189" s="24" t="str">
        <f aca="false">IF($A189="","",IF(AND(L$2&gt;=09_ガント元データ!$G188,L$2&lt;=09_ガント元データ!$H188),"■",""))</f>
        <v/>
      </c>
      <c r="M189" s="24" t="str">
        <f aca="false">IF($A189="","",IF(AND(M$2&gt;=09_ガント元データ!$G188,M$2&lt;=09_ガント元データ!$H188),"■",""))</f>
        <v/>
      </c>
      <c r="N189" s="24" t="str">
        <f aca="false">IF($A189="","",IF(AND(N$2&gt;=09_ガント元データ!$G188,N$2&lt;=09_ガント元データ!$H188),"■",""))</f>
        <v/>
      </c>
      <c r="O189" s="24" t="str">
        <f aca="false">IF($A189="","",IF(AND(O$2&gt;=09_ガント元データ!$G188,O$2&lt;=09_ガント元データ!$H188),"■",""))</f>
        <v/>
      </c>
      <c r="P189" s="24" t="str">
        <f aca="false">IF($A189="","",IF(AND(P$2&gt;=09_ガント元データ!$G188,P$2&lt;=09_ガント元データ!$H188),"■",""))</f>
        <v/>
      </c>
      <c r="Q189" s="24" t="str">
        <f aca="false">IF($A189="","",IF(AND(Q$2&gt;=09_ガント元データ!$G188,Q$2&lt;=09_ガント元データ!$H188),"■",""))</f>
        <v/>
      </c>
      <c r="R189" s="24" t="str">
        <f aca="false">IF($A189="","",IF(AND(R$2&gt;=09_ガント元データ!$G188,R$2&lt;=09_ガント元データ!$H188),"■",""))</f>
        <v/>
      </c>
      <c r="S189" s="24" t="str">
        <f aca="false">IF($A189="","",IF(AND(S$2&gt;=09_ガント元データ!$G188,S$2&lt;=09_ガント元データ!$H188),"■",""))</f>
        <v/>
      </c>
      <c r="T189" s="24" t="str">
        <f aca="false">IF($A189="","",IF(AND(T$2&gt;=09_ガント元データ!$G188,T$2&lt;=09_ガント元データ!$H188),"■",""))</f>
        <v/>
      </c>
      <c r="U189" s="24" t="str">
        <f aca="false">IF($A189="","",IF(AND(U$2&gt;=09_ガント元データ!$G188,U$2&lt;=09_ガント元データ!$H188),"■",""))</f>
        <v/>
      </c>
      <c r="V189" s="24" t="str">
        <f aca="false">IF($A189="","",IF(AND(V$2&gt;=09_ガント元データ!$G188,V$2&lt;=09_ガント元データ!$H188),"■",""))</f>
        <v/>
      </c>
      <c r="W189" s="24" t="str">
        <f aca="false">IF($A189="","",IF(AND(W$2&gt;=09_ガント元データ!$G188,W$2&lt;=09_ガント元データ!$H188),"■",""))</f>
        <v/>
      </c>
      <c r="X189" s="24" t="str">
        <f aca="false">IF($A189="","",IF(AND(X$2&gt;=09_ガント元データ!$G188,X$2&lt;=09_ガント元データ!$H188),"■",""))</f>
        <v/>
      </c>
      <c r="Y189" s="24" t="str">
        <f aca="false">IF($A189="","",IF(AND(Y$2&gt;=09_ガント元データ!$G188,Y$2&lt;=09_ガント元データ!$H188),"■",""))</f>
        <v/>
      </c>
      <c r="Z189" s="24" t="str">
        <f aca="false">IF($A189="","",IF(AND(Z$2&gt;=09_ガント元データ!$G188,Z$2&lt;=09_ガント元データ!$H188),"■",""))</f>
        <v/>
      </c>
      <c r="AA189" s="24" t="str">
        <f aca="false">IF($A189="","",IF(AND(AA$2&gt;=09_ガント元データ!$G188,AA$2&lt;=09_ガント元データ!$H188),"■",""))</f>
        <v/>
      </c>
      <c r="AB189" s="24" t="str">
        <f aca="false">IF($A189="","",IF(AND(AB$2&gt;=09_ガント元データ!$G188,AB$2&lt;=09_ガント元データ!$H188),"■",""))</f>
        <v/>
      </c>
      <c r="AC189" s="24" t="str">
        <f aca="false">IF($A189="","",IF(AND(AC$2&gt;=09_ガント元データ!$G188,AC$2&lt;=09_ガント元データ!$H188),"■",""))</f>
        <v/>
      </c>
      <c r="AD189" s="24" t="str">
        <f aca="false">IF($A189="","",IF(AND(AD$2&gt;=09_ガント元データ!$G188,AD$2&lt;=09_ガント元データ!$H188),"■",""))</f>
        <v/>
      </c>
      <c r="AE189" s="24" t="str">
        <f aca="false">IF($A189="","",IF(AND(AE$2&gt;=09_ガント元データ!$G188,AE$2&lt;=09_ガント元データ!$H188),"■",""))</f>
        <v/>
      </c>
      <c r="AF189" s="24" t="str">
        <f aca="false">IF($A189="","",IF(AND(AF$2&gt;=09_ガント元データ!$G188,AF$2&lt;=09_ガント元データ!$H188),"■",""))</f>
        <v/>
      </c>
      <c r="AG189" s="24" t="str">
        <f aca="false">IF($A189="","",IF(AND(AG$2&gt;=09_ガント元データ!$G188,AG$2&lt;=09_ガント元データ!$H188),"■",""))</f>
        <v/>
      </c>
      <c r="AH189" s="24" t="str">
        <f aca="false">IF($A189="","",IF(AND(AH$2&gt;=09_ガント元データ!$G188,AH$2&lt;=09_ガント元データ!$H188),"■",""))</f>
        <v/>
      </c>
      <c r="AI189" s="24" t="str">
        <f aca="false">IF($A189="","",IF(AND(AI$2&gt;=09_ガント元データ!$G188,AI$2&lt;=09_ガント元データ!$H188),"■",""))</f>
        <v/>
      </c>
      <c r="AJ189" s="24" t="str">
        <f aca="false">IF($A189="","",IF(AND(AJ$2&gt;=09_ガント元データ!$G188,AJ$2&lt;=09_ガント元データ!$H188),"■",""))</f>
        <v/>
      </c>
      <c r="AK189" s="24" t="str">
        <f aca="false">IF($A189="","",IF(AND(AK$2&gt;=09_ガント元データ!$G188,AK$2&lt;=09_ガント元データ!$H188),"■",""))</f>
        <v/>
      </c>
      <c r="AL189" s="24" t="str">
        <f aca="false">IF($A189="","",IF(AND(AL$2&gt;=09_ガント元データ!$G188,AL$2&lt;=09_ガント元データ!$H188),"■",""))</f>
        <v/>
      </c>
      <c r="AM189" s="24" t="str">
        <f aca="false">IF($A189="","",IF(AND(AM$2&gt;=09_ガント元データ!$G188,AM$2&lt;=09_ガント元データ!$H188),"■",""))</f>
        <v/>
      </c>
    </row>
    <row r="190" customFormat="false" ht="15" hidden="false" customHeight="false" outlineLevel="0" collapsed="false">
      <c r="A190" s="22" t="str">
        <f aca="false">09_ガント元データ!A189</f>
        <v/>
      </c>
      <c r="B190" s="22" t="str">
        <f aca="false">09_ガント元データ!B189</f>
        <v/>
      </c>
      <c r="C190" s="23" t="str">
        <f aca="false">09_ガント元データ!C189</f>
        <v/>
      </c>
      <c r="D190" s="24" t="str">
        <f aca="false">IF($A190="","",IF(AND(D$2&gt;=09_ガント元データ!$G189,D$2&lt;=09_ガント元データ!$H189),"■",""))</f>
        <v/>
      </c>
      <c r="E190" s="24" t="str">
        <f aca="false">IF($A190="","",IF(AND(E$2&gt;=09_ガント元データ!$G189,E$2&lt;=09_ガント元データ!$H189),"■",""))</f>
        <v/>
      </c>
      <c r="F190" s="24" t="str">
        <f aca="false">IF($A190="","",IF(AND(F$2&gt;=09_ガント元データ!$G189,F$2&lt;=09_ガント元データ!$H189),"■",""))</f>
        <v/>
      </c>
      <c r="G190" s="24" t="str">
        <f aca="false">IF($A190="","",IF(AND(G$2&gt;=09_ガント元データ!$G189,G$2&lt;=09_ガント元データ!$H189),"■",""))</f>
        <v/>
      </c>
      <c r="H190" s="24" t="str">
        <f aca="false">IF($A190="","",IF(AND(H$2&gt;=09_ガント元データ!$G189,H$2&lt;=09_ガント元データ!$H189),"■",""))</f>
        <v/>
      </c>
      <c r="I190" s="24" t="str">
        <f aca="false">IF($A190="","",IF(AND(I$2&gt;=09_ガント元データ!$G189,I$2&lt;=09_ガント元データ!$H189),"■",""))</f>
        <v/>
      </c>
      <c r="J190" s="24" t="str">
        <f aca="false">IF($A190="","",IF(AND(J$2&gt;=09_ガント元データ!$G189,J$2&lt;=09_ガント元データ!$H189),"■",""))</f>
        <v/>
      </c>
      <c r="K190" s="24" t="str">
        <f aca="false">IF($A190="","",IF(AND(K$2&gt;=09_ガント元データ!$G189,K$2&lt;=09_ガント元データ!$H189),"■",""))</f>
        <v/>
      </c>
      <c r="L190" s="24" t="str">
        <f aca="false">IF($A190="","",IF(AND(L$2&gt;=09_ガント元データ!$G189,L$2&lt;=09_ガント元データ!$H189),"■",""))</f>
        <v/>
      </c>
      <c r="M190" s="24" t="str">
        <f aca="false">IF($A190="","",IF(AND(M$2&gt;=09_ガント元データ!$G189,M$2&lt;=09_ガント元データ!$H189),"■",""))</f>
        <v/>
      </c>
      <c r="N190" s="24" t="str">
        <f aca="false">IF($A190="","",IF(AND(N$2&gt;=09_ガント元データ!$G189,N$2&lt;=09_ガント元データ!$H189),"■",""))</f>
        <v/>
      </c>
      <c r="O190" s="24" t="str">
        <f aca="false">IF($A190="","",IF(AND(O$2&gt;=09_ガント元データ!$G189,O$2&lt;=09_ガント元データ!$H189),"■",""))</f>
        <v/>
      </c>
      <c r="P190" s="24" t="str">
        <f aca="false">IF($A190="","",IF(AND(P$2&gt;=09_ガント元データ!$G189,P$2&lt;=09_ガント元データ!$H189),"■",""))</f>
        <v/>
      </c>
      <c r="Q190" s="24" t="str">
        <f aca="false">IF($A190="","",IF(AND(Q$2&gt;=09_ガント元データ!$G189,Q$2&lt;=09_ガント元データ!$H189),"■",""))</f>
        <v/>
      </c>
      <c r="R190" s="24" t="str">
        <f aca="false">IF($A190="","",IF(AND(R$2&gt;=09_ガント元データ!$G189,R$2&lt;=09_ガント元データ!$H189),"■",""))</f>
        <v/>
      </c>
      <c r="S190" s="24" t="str">
        <f aca="false">IF($A190="","",IF(AND(S$2&gt;=09_ガント元データ!$G189,S$2&lt;=09_ガント元データ!$H189),"■",""))</f>
        <v/>
      </c>
      <c r="T190" s="24" t="str">
        <f aca="false">IF($A190="","",IF(AND(T$2&gt;=09_ガント元データ!$G189,T$2&lt;=09_ガント元データ!$H189),"■",""))</f>
        <v/>
      </c>
      <c r="U190" s="24" t="str">
        <f aca="false">IF($A190="","",IF(AND(U$2&gt;=09_ガント元データ!$G189,U$2&lt;=09_ガント元データ!$H189),"■",""))</f>
        <v/>
      </c>
      <c r="V190" s="24" t="str">
        <f aca="false">IF($A190="","",IF(AND(V$2&gt;=09_ガント元データ!$G189,V$2&lt;=09_ガント元データ!$H189),"■",""))</f>
        <v/>
      </c>
      <c r="W190" s="24" t="str">
        <f aca="false">IF($A190="","",IF(AND(W$2&gt;=09_ガント元データ!$G189,W$2&lt;=09_ガント元データ!$H189),"■",""))</f>
        <v/>
      </c>
      <c r="X190" s="24" t="str">
        <f aca="false">IF($A190="","",IF(AND(X$2&gt;=09_ガント元データ!$G189,X$2&lt;=09_ガント元データ!$H189),"■",""))</f>
        <v/>
      </c>
      <c r="Y190" s="24" t="str">
        <f aca="false">IF($A190="","",IF(AND(Y$2&gt;=09_ガント元データ!$G189,Y$2&lt;=09_ガント元データ!$H189),"■",""))</f>
        <v/>
      </c>
      <c r="Z190" s="24" t="str">
        <f aca="false">IF($A190="","",IF(AND(Z$2&gt;=09_ガント元データ!$G189,Z$2&lt;=09_ガント元データ!$H189),"■",""))</f>
        <v/>
      </c>
      <c r="AA190" s="24" t="str">
        <f aca="false">IF($A190="","",IF(AND(AA$2&gt;=09_ガント元データ!$G189,AA$2&lt;=09_ガント元データ!$H189),"■",""))</f>
        <v/>
      </c>
      <c r="AB190" s="24" t="str">
        <f aca="false">IF($A190="","",IF(AND(AB$2&gt;=09_ガント元データ!$G189,AB$2&lt;=09_ガント元データ!$H189),"■",""))</f>
        <v/>
      </c>
      <c r="AC190" s="24" t="str">
        <f aca="false">IF($A190="","",IF(AND(AC$2&gt;=09_ガント元データ!$G189,AC$2&lt;=09_ガント元データ!$H189),"■",""))</f>
        <v/>
      </c>
      <c r="AD190" s="24" t="str">
        <f aca="false">IF($A190="","",IF(AND(AD$2&gt;=09_ガント元データ!$G189,AD$2&lt;=09_ガント元データ!$H189),"■",""))</f>
        <v/>
      </c>
      <c r="AE190" s="24" t="str">
        <f aca="false">IF($A190="","",IF(AND(AE$2&gt;=09_ガント元データ!$G189,AE$2&lt;=09_ガント元データ!$H189),"■",""))</f>
        <v/>
      </c>
      <c r="AF190" s="24" t="str">
        <f aca="false">IF($A190="","",IF(AND(AF$2&gt;=09_ガント元データ!$G189,AF$2&lt;=09_ガント元データ!$H189),"■",""))</f>
        <v/>
      </c>
      <c r="AG190" s="24" t="str">
        <f aca="false">IF($A190="","",IF(AND(AG$2&gt;=09_ガント元データ!$G189,AG$2&lt;=09_ガント元データ!$H189),"■",""))</f>
        <v/>
      </c>
      <c r="AH190" s="24" t="str">
        <f aca="false">IF($A190="","",IF(AND(AH$2&gt;=09_ガント元データ!$G189,AH$2&lt;=09_ガント元データ!$H189),"■",""))</f>
        <v/>
      </c>
      <c r="AI190" s="24" t="str">
        <f aca="false">IF($A190="","",IF(AND(AI$2&gt;=09_ガント元データ!$G189,AI$2&lt;=09_ガント元データ!$H189),"■",""))</f>
        <v/>
      </c>
      <c r="AJ190" s="24" t="str">
        <f aca="false">IF($A190="","",IF(AND(AJ$2&gt;=09_ガント元データ!$G189,AJ$2&lt;=09_ガント元データ!$H189),"■",""))</f>
        <v/>
      </c>
      <c r="AK190" s="24" t="str">
        <f aca="false">IF($A190="","",IF(AND(AK$2&gt;=09_ガント元データ!$G189,AK$2&lt;=09_ガント元データ!$H189),"■",""))</f>
        <v/>
      </c>
      <c r="AL190" s="24" t="str">
        <f aca="false">IF($A190="","",IF(AND(AL$2&gt;=09_ガント元データ!$G189,AL$2&lt;=09_ガント元データ!$H189),"■",""))</f>
        <v/>
      </c>
      <c r="AM190" s="24" t="str">
        <f aca="false">IF($A190="","",IF(AND(AM$2&gt;=09_ガント元データ!$G189,AM$2&lt;=09_ガント元データ!$H189),"■",""))</f>
        <v/>
      </c>
    </row>
    <row r="191" customFormat="false" ht="15" hidden="false" customHeight="false" outlineLevel="0" collapsed="false">
      <c r="A191" s="22" t="str">
        <f aca="false">09_ガント元データ!A190</f>
        <v/>
      </c>
      <c r="B191" s="22" t="str">
        <f aca="false">09_ガント元データ!B190</f>
        <v/>
      </c>
      <c r="C191" s="23" t="str">
        <f aca="false">09_ガント元データ!C190</f>
        <v/>
      </c>
      <c r="D191" s="24" t="str">
        <f aca="false">IF($A191="","",IF(AND(D$2&gt;=09_ガント元データ!$G190,D$2&lt;=09_ガント元データ!$H190),"■",""))</f>
        <v/>
      </c>
      <c r="E191" s="24" t="str">
        <f aca="false">IF($A191="","",IF(AND(E$2&gt;=09_ガント元データ!$G190,E$2&lt;=09_ガント元データ!$H190),"■",""))</f>
        <v/>
      </c>
      <c r="F191" s="24" t="str">
        <f aca="false">IF($A191="","",IF(AND(F$2&gt;=09_ガント元データ!$G190,F$2&lt;=09_ガント元データ!$H190),"■",""))</f>
        <v/>
      </c>
      <c r="G191" s="24" t="str">
        <f aca="false">IF($A191="","",IF(AND(G$2&gt;=09_ガント元データ!$G190,G$2&lt;=09_ガント元データ!$H190),"■",""))</f>
        <v/>
      </c>
      <c r="H191" s="24" t="str">
        <f aca="false">IF($A191="","",IF(AND(H$2&gt;=09_ガント元データ!$G190,H$2&lt;=09_ガント元データ!$H190),"■",""))</f>
        <v/>
      </c>
      <c r="I191" s="24" t="str">
        <f aca="false">IF($A191="","",IF(AND(I$2&gt;=09_ガント元データ!$G190,I$2&lt;=09_ガント元データ!$H190),"■",""))</f>
        <v/>
      </c>
      <c r="J191" s="24" t="str">
        <f aca="false">IF($A191="","",IF(AND(J$2&gt;=09_ガント元データ!$G190,J$2&lt;=09_ガント元データ!$H190),"■",""))</f>
        <v/>
      </c>
      <c r="K191" s="24" t="str">
        <f aca="false">IF($A191="","",IF(AND(K$2&gt;=09_ガント元データ!$G190,K$2&lt;=09_ガント元データ!$H190),"■",""))</f>
        <v/>
      </c>
      <c r="L191" s="24" t="str">
        <f aca="false">IF($A191="","",IF(AND(L$2&gt;=09_ガント元データ!$G190,L$2&lt;=09_ガント元データ!$H190),"■",""))</f>
        <v/>
      </c>
      <c r="M191" s="24" t="str">
        <f aca="false">IF($A191="","",IF(AND(M$2&gt;=09_ガント元データ!$G190,M$2&lt;=09_ガント元データ!$H190),"■",""))</f>
        <v/>
      </c>
      <c r="N191" s="24" t="str">
        <f aca="false">IF($A191="","",IF(AND(N$2&gt;=09_ガント元データ!$G190,N$2&lt;=09_ガント元データ!$H190),"■",""))</f>
        <v/>
      </c>
      <c r="O191" s="24" t="str">
        <f aca="false">IF($A191="","",IF(AND(O$2&gt;=09_ガント元データ!$G190,O$2&lt;=09_ガント元データ!$H190),"■",""))</f>
        <v/>
      </c>
      <c r="P191" s="24" t="str">
        <f aca="false">IF($A191="","",IF(AND(P$2&gt;=09_ガント元データ!$G190,P$2&lt;=09_ガント元データ!$H190),"■",""))</f>
        <v/>
      </c>
      <c r="Q191" s="24" t="str">
        <f aca="false">IF($A191="","",IF(AND(Q$2&gt;=09_ガント元データ!$G190,Q$2&lt;=09_ガント元データ!$H190),"■",""))</f>
        <v/>
      </c>
      <c r="R191" s="24" t="str">
        <f aca="false">IF($A191="","",IF(AND(R$2&gt;=09_ガント元データ!$G190,R$2&lt;=09_ガント元データ!$H190),"■",""))</f>
        <v/>
      </c>
      <c r="S191" s="24" t="str">
        <f aca="false">IF($A191="","",IF(AND(S$2&gt;=09_ガント元データ!$G190,S$2&lt;=09_ガント元データ!$H190),"■",""))</f>
        <v/>
      </c>
      <c r="T191" s="24" t="str">
        <f aca="false">IF($A191="","",IF(AND(T$2&gt;=09_ガント元データ!$G190,T$2&lt;=09_ガント元データ!$H190),"■",""))</f>
        <v/>
      </c>
      <c r="U191" s="24" t="str">
        <f aca="false">IF($A191="","",IF(AND(U$2&gt;=09_ガント元データ!$G190,U$2&lt;=09_ガント元データ!$H190),"■",""))</f>
        <v/>
      </c>
      <c r="V191" s="24" t="str">
        <f aca="false">IF($A191="","",IF(AND(V$2&gt;=09_ガント元データ!$G190,V$2&lt;=09_ガント元データ!$H190),"■",""))</f>
        <v/>
      </c>
      <c r="W191" s="24" t="str">
        <f aca="false">IF($A191="","",IF(AND(W$2&gt;=09_ガント元データ!$G190,W$2&lt;=09_ガント元データ!$H190),"■",""))</f>
        <v/>
      </c>
      <c r="X191" s="24" t="str">
        <f aca="false">IF($A191="","",IF(AND(X$2&gt;=09_ガント元データ!$G190,X$2&lt;=09_ガント元データ!$H190),"■",""))</f>
        <v/>
      </c>
      <c r="Y191" s="24" t="str">
        <f aca="false">IF($A191="","",IF(AND(Y$2&gt;=09_ガント元データ!$G190,Y$2&lt;=09_ガント元データ!$H190),"■",""))</f>
        <v/>
      </c>
      <c r="Z191" s="24" t="str">
        <f aca="false">IF($A191="","",IF(AND(Z$2&gt;=09_ガント元データ!$G190,Z$2&lt;=09_ガント元データ!$H190),"■",""))</f>
        <v/>
      </c>
      <c r="AA191" s="24" t="str">
        <f aca="false">IF($A191="","",IF(AND(AA$2&gt;=09_ガント元データ!$G190,AA$2&lt;=09_ガント元データ!$H190),"■",""))</f>
        <v/>
      </c>
      <c r="AB191" s="24" t="str">
        <f aca="false">IF($A191="","",IF(AND(AB$2&gt;=09_ガント元データ!$G190,AB$2&lt;=09_ガント元データ!$H190),"■",""))</f>
        <v/>
      </c>
      <c r="AC191" s="24" t="str">
        <f aca="false">IF($A191="","",IF(AND(AC$2&gt;=09_ガント元データ!$G190,AC$2&lt;=09_ガント元データ!$H190),"■",""))</f>
        <v/>
      </c>
      <c r="AD191" s="24" t="str">
        <f aca="false">IF($A191="","",IF(AND(AD$2&gt;=09_ガント元データ!$G190,AD$2&lt;=09_ガント元データ!$H190),"■",""))</f>
        <v/>
      </c>
      <c r="AE191" s="24" t="str">
        <f aca="false">IF($A191="","",IF(AND(AE$2&gt;=09_ガント元データ!$G190,AE$2&lt;=09_ガント元データ!$H190),"■",""))</f>
        <v/>
      </c>
      <c r="AF191" s="24" t="str">
        <f aca="false">IF($A191="","",IF(AND(AF$2&gt;=09_ガント元データ!$G190,AF$2&lt;=09_ガント元データ!$H190),"■",""))</f>
        <v/>
      </c>
      <c r="AG191" s="24" t="str">
        <f aca="false">IF($A191="","",IF(AND(AG$2&gt;=09_ガント元データ!$G190,AG$2&lt;=09_ガント元データ!$H190),"■",""))</f>
        <v/>
      </c>
      <c r="AH191" s="24" t="str">
        <f aca="false">IF($A191="","",IF(AND(AH$2&gt;=09_ガント元データ!$G190,AH$2&lt;=09_ガント元データ!$H190),"■",""))</f>
        <v/>
      </c>
      <c r="AI191" s="24" t="str">
        <f aca="false">IF($A191="","",IF(AND(AI$2&gt;=09_ガント元データ!$G190,AI$2&lt;=09_ガント元データ!$H190),"■",""))</f>
        <v/>
      </c>
      <c r="AJ191" s="24" t="str">
        <f aca="false">IF($A191="","",IF(AND(AJ$2&gt;=09_ガント元データ!$G190,AJ$2&lt;=09_ガント元データ!$H190),"■",""))</f>
        <v/>
      </c>
      <c r="AK191" s="24" t="str">
        <f aca="false">IF($A191="","",IF(AND(AK$2&gt;=09_ガント元データ!$G190,AK$2&lt;=09_ガント元データ!$H190),"■",""))</f>
        <v/>
      </c>
      <c r="AL191" s="24" t="str">
        <f aca="false">IF($A191="","",IF(AND(AL$2&gt;=09_ガント元データ!$G190,AL$2&lt;=09_ガント元データ!$H190),"■",""))</f>
        <v/>
      </c>
      <c r="AM191" s="24" t="str">
        <f aca="false">IF($A191="","",IF(AND(AM$2&gt;=09_ガント元データ!$G190,AM$2&lt;=09_ガント元データ!$H190),"■",""))</f>
        <v/>
      </c>
    </row>
    <row r="192" customFormat="false" ht="15" hidden="false" customHeight="false" outlineLevel="0" collapsed="false">
      <c r="A192" s="22" t="str">
        <f aca="false">09_ガント元データ!A191</f>
        <v/>
      </c>
      <c r="B192" s="22" t="str">
        <f aca="false">09_ガント元データ!B191</f>
        <v/>
      </c>
      <c r="C192" s="23" t="str">
        <f aca="false">09_ガント元データ!C191</f>
        <v/>
      </c>
      <c r="D192" s="24" t="str">
        <f aca="false">IF($A192="","",IF(AND(D$2&gt;=09_ガント元データ!$G191,D$2&lt;=09_ガント元データ!$H191),"■",""))</f>
        <v/>
      </c>
      <c r="E192" s="24" t="str">
        <f aca="false">IF($A192="","",IF(AND(E$2&gt;=09_ガント元データ!$G191,E$2&lt;=09_ガント元データ!$H191),"■",""))</f>
        <v/>
      </c>
      <c r="F192" s="24" t="str">
        <f aca="false">IF($A192="","",IF(AND(F$2&gt;=09_ガント元データ!$G191,F$2&lt;=09_ガント元データ!$H191),"■",""))</f>
        <v/>
      </c>
      <c r="G192" s="24" t="str">
        <f aca="false">IF($A192="","",IF(AND(G$2&gt;=09_ガント元データ!$G191,G$2&lt;=09_ガント元データ!$H191),"■",""))</f>
        <v/>
      </c>
      <c r="H192" s="24" t="str">
        <f aca="false">IF($A192="","",IF(AND(H$2&gt;=09_ガント元データ!$G191,H$2&lt;=09_ガント元データ!$H191),"■",""))</f>
        <v/>
      </c>
      <c r="I192" s="24" t="str">
        <f aca="false">IF($A192="","",IF(AND(I$2&gt;=09_ガント元データ!$G191,I$2&lt;=09_ガント元データ!$H191),"■",""))</f>
        <v/>
      </c>
      <c r="J192" s="24" t="str">
        <f aca="false">IF($A192="","",IF(AND(J$2&gt;=09_ガント元データ!$G191,J$2&lt;=09_ガント元データ!$H191),"■",""))</f>
        <v/>
      </c>
      <c r="K192" s="24" t="str">
        <f aca="false">IF($A192="","",IF(AND(K$2&gt;=09_ガント元データ!$G191,K$2&lt;=09_ガント元データ!$H191),"■",""))</f>
        <v/>
      </c>
      <c r="L192" s="24" t="str">
        <f aca="false">IF($A192="","",IF(AND(L$2&gt;=09_ガント元データ!$G191,L$2&lt;=09_ガント元データ!$H191),"■",""))</f>
        <v/>
      </c>
      <c r="M192" s="24" t="str">
        <f aca="false">IF($A192="","",IF(AND(M$2&gt;=09_ガント元データ!$G191,M$2&lt;=09_ガント元データ!$H191),"■",""))</f>
        <v/>
      </c>
      <c r="N192" s="24" t="str">
        <f aca="false">IF($A192="","",IF(AND(N$2&gt;=09_ガント元データ!$G191,N$2&lt;=09_ガント元データ!$H191),"■",""))</f>
        <v/>
      </c>
      <c r="O192" s="24" t="str">
        <f aca="false">IF($A192="","",IF(AND(O$2&gt;=09_ガント元データ!$G191,O$2&lt;=09_ガント元データ!$H191),"■",""))</f>
        <v/>
      </c>
      <c r="P192" s="24" t="str">
        <f aca="false">IF($A192="","",IF(AND(P$2&gt;=09_ガント元データ!$G191,P$2&lt;=09_ガント元データ!$H191),"■",""))</f>
        <v/>
      </c>
      <c r="Q192" s="24" t="str">
        <f aca="false">IF($A192="","",IF(AND(Q$2&gt;=09_ガント元データ!$G191,Q$2&lt;=09_ガント元データ!$H191),"■",""))</f>
        <v/>
      </c>
      <c r="R192" s="24" t="str">
        <f aca="false">IF($A192="","",IF(AND(R$2&gt;=09_ガント元データ!$G191,R$2&lt;=09_ガント元データ!$H191),"■",""))</f>
        <v/>
      </c>
      <c r="S192" s="24" t="str">
        <f aca="false">IF($A192="","",IF(AND(S$2&gt;=09_ガント元データ!$G191,S$2&lt;=09_ガント元データ!$H191),"■",""))</f>
        <v/>
      </c>
      <c r="T192" s="24" t="str">
        <f aca="false">IF($A192="","",IF(AND(T$2&gt;=09_ガント元データ!$G191,T$2&lt;=09_ガント元データ!$H191),"■",""))</f>
        <v/>
      </c>
      <c r="U192" s="24" t="str">
        <f aca="false">IF($A192="","",IF(AND(U$2&gt;=09_ガント元データ!$G191,U$2&lt;=09_ガント元データ!$H191),"■",""))</f>
        <v/>
      </c>
      <c r="V192" s="24" t="str">
        <f aca="false">IF($A192="","",IF(AND(V$2&gt;=09_ガント元データ!$G191,V$2&lt;=09_ガント元データ!$H191),"■",""))</f>
        <v/>
      </c>
      <c r="W192" s="24" t="str">
        <f aca="false">IF($A192="","",IF(AND(W$2&gt;=09_ガント元データ!$G191,W$2&lt;=09_ガント元データ!$H191),"■",""))</f>
        <v/>
      </c>
      <c r="X192" s="24" t="str">
        <f aca="false">IF($A192="","",IF(AND(X$2&gt;=09_ガント元データ!$G191,X$2&lt;=09_ガント元データ!$H191),"■",""))</f>
        <v/>
      </c>
      <c r="Y192" s="24" t="str">
        <f aca="false">IF($A192="","",IF(AND(Y$2&gt;=09_ガント元データ!$G191,Y$2&lt;=09_ガント元データ!$H191),"■",""))</f>
        <v/>
      </c>
      <c r="Z192" s="24" t="str">
        <f aca="false">IF($A192="","",IF(AND(Z$2&gt;=09_ガント元データ!$G191,Z$2&lt;=09_ガント元データ!$H191),"■",""))</f>
        <v/>
      </c>
      <c r="AA192" s="24" t="str">
        <f aca="false">IF($A192="","",IF(AND(AA$2&gt;=09_ガント元データ!$G191,AA$2&lt;=09_ガント元データ!$H191),"■",""))</f>
        <v/>
      </c>
      <c r="AB192" s="24" t="str">
        <f aca="false">IF($A192="","",IF(AND(AB$2&gt;=09_ガント元データ!$G191,AB$2&lt;=09_ガント元データ!$H191),"■",""))</f>
        <v/>
      </c>
      <c r="AC192" s="24" t="str">
        <f aca="false">IF($A192="","",IF(AND(AC$2&gt;=09_ガント元データ!$G191,AC$2&lt;=09_ガント元データ!$H191),"■",""))</f>
        <v/>
      </c>
      <c r="AD192" s="24" t="str">
        <f aca="false">IF($A192="","",IF(AND(AD$2&gt;=09_ガント元データ!$G191,AD$2&lt;=09_ガント元データ!$H191),"■",""))</f>
        <v/>
      </c>
      <c r="AE192" s="24" t="str">
        <f aca="false">IF($A192="","",IF(AND(AE$2&gt;=09_ガント元データ!$G191,AE$2&lt;=09_ガント元データ!$H191),"■",""))</f>
        <v/>
      </c>
      <c r="AF192" s="24" t="str">
        <f aca="false">IF($A192="","",IF(AND(AF$2&gt;=09_ガント元データ!$G191,AF$2&lt;=09_ガント元データ!$H191),"■",""))</f>
        <v/>
      </c>
      <c r="AG192" s="24" t="str">
        <f aca="false">IF($A192="","",IF(AND(AG$2&gt;=09_ガント元データ!$G191,AG$2&lt;=09_ガント元データ!$H191),"■",""))</f>
        <v/>
      </c>
      <c r="AH192" s="24" t="str">
        <f aca="false">IF($A192="","",IF(AND(AH$2&gt;=09_ガント元データ!$G191,AH$2&lt;=09_ガント元データ!$H191),"■",""))</f>
        <v/>
      </c>
      <c r="AI192" s="24" t="str">
        <f aca="false">IF($A192="","",IF(AND(AI$2&gt;=09_ガント元データ!$G191,AI$2&lt;=09_ガント元データ!$H191),"■",""))</f>
        <v/>
      </c>
      <c r="AJ192" s="24" t="str">
        <f aca="false">IF($A192="","",IF(AND(AJ$2&gt;=09_ガント元データ!$G191,AJ$2&lt;=09_ガント元データ!$H191),"■",""))</f>
        <v/>
      </c>
      <c r="AK192" s="24" t="str">
        <f aca="false">IF($A192="","",IF(AND(AK$2&gt;=09_ガント元データ!$G191,AK$2&lt;=09_ガント元データ!$H191),"■",""))</f>
        <v/>
      </c>
      <c r="AL192" s="24" t="str">
        <f aca="false">IF($A192="","",IF(AND(AL$2&gt;=09_ガント元データ!$G191,AL$2&lt;=09_ガント元データ!$H191),"■",""))</f>
        <v/>
      </c>
      <c r="AM192" s="24" t="str">
        <f aca="false">IF($A192="","",IF(AND(AM$2&gt;=09_ガント元データ!$G191,AM$2&lt;=09_ガント元データ!$H191),"■",""))</f>
        <v/>
      </c>
    </row>
    <row r="193" customFormat="false" ht="15" hidden="false" customHeight="false" outlineLevel="0" collapsed="false">
      <c r="A193" s="22" t="str">
        <f aca="false">09_ガント元データ!A192</f>
        <v/>
      </c>
      <c r="B193" s="22" t="str">
        <f aca="false">09_ガント元データ!B192</f>
        <v/>
      </c>
      <c r="C193" s="23" t="str">
        <f aca="false">09_ガント元データ!C192</f>
        <v/>
      </c>
      <c r="D193" s="24" t="str">
        <f aca="false">IF($A193="","",IF(AND(D$2&gt;=09_ガント元データ!$G192,D$2&lt;=09_ガント元データ!$H192),"■",""))</f>
        <v/>
      </c>
      <c r="E193" s="24" t="str">
        <f aca="false">IF($A193="","",IF(AND(E$2&gt;=09_ガント元データ!$G192,E$2&lt;=09_ガント元データ!$H192),"■",""))</f>
        <v/>
      </c>
      <c r="F193" s="24" t="str">
        <f aca="false">IF($A193="","",IF(AND(F$2&gt;=09_ガント元データ!$G192,F$2&lt;=09_ガント元データ!$H192),"■",""))</f>
        <v/>
      </c>
      <c r="G193" s="24" t="str">
        <f aca="false">IF($A193="","",IF(AND(G$2&gt;=09_ガント元データ!$G192,G$2&lt;=09_ガント元データ!$H192),"■",""))</f>
        <v/>
      </c>
      <c r="H193" s="24" t="str">
        <f aca="false">IF($A193="","",IF(AND(H$2&gt;=09_ガント元データ!$G192,H$2&lt;=09_ガント元データ!$H192),"■",""))</f>
        <v/>
      </c>
      <c r="I193" s="24" t="str">
        <f aca="false">IF($A193="","",IF(AND(I$2&gt;=09_ガント元データ!$G192,I$2&lt;=09_ガント元データ!$H192),"■",""))</f>
        <v/>
      </c>
      <c r="J193" s="24" t="str">
        <f aca="false">IF($A193="","",IF(AND(J$2&gt;=09_ガント元データ!$G192,J$2&lt;=09_ガント元データ!$H192),"■",""))</f>
        <v/>
      </c>
      <c r="K193" s="24" t="str">
        <f aca="false">IF($A193="","",IF(AND(K$2&gt;=09_ガント元データ!$G192,K$2&lt;=09_ガント元データ!$H192),"■",""))</f>
        <v/>
      </c>
      <c r="L193" s="24" t="str">
        <f aca="false">IF($A193="","",IF(AND(L$2&gt;=09_ガント元データ!$G192,L$2&lt;=09_ガント元データ!$H192),"■",""))</f>
        <v/>
      </c>
      <c r="M193" s="24" t="str">
        <f aca="false">IF($A193="","",IF(AND(M$2&gt;=09_ガント元データ!$G192,M$2&lt;=09_ガント元データ!$H192),"■",""))</f>
        <v/>
      </c>
      <c r="N193" s="24" t="str">
        <f aca="false">IF($A193="","",IF(AND(N$2&gt;=09_ガント元データ!$G192,N$2&lt;=09_ガント元データ!$H192),"■",""))</f>
        <v/>
      </c>
      <c r="O193" s="24" t="str">
        <f aca="false">IF($A193="","",IF(AND(O$2&gt;=09_ガント元データ!$G192,O$2&lt;=09_ガント元データ!$H192),"■",""))</f>
        <v/>
      </c>
      <c r="P193" s="24" t="str">
        <f aca="false">IF($A193="","",IF(AND(P$2&gt;=09_ガント元データ!$G192,P$2&lt;=09_ガント元データ!$H192),"■",""))</f>
        <v/>
      </c>
      <c r="Q193" s="24" t="str">
        <f aca="false">IF($A193="","",IF(AND(Q$2&gt;=09_ガント元データ!$G192,Q$2&lt;=09_ガント元データ!$H192),"■",""))</f>
        <v/>
      </c>
      <c r="R193" s="24" t="str">
        <f aca="false">IF($A193="","",IF(AND(R$2&gt;=09_ガント元データ!$G192,R$2&lt;=09_ガント元データ!$H192),"■",""))</f>
        <v/>
      </c>
      <c r="S193" s="24" t="str">
        <f aca="false">IF($A193="","",IF(AND(S$2&gt;=09_ガント元データ!$G192,S$2&lt;=09_ガント元データ!$H192),"■",""))</f>
        <v/>
      </c>
      <c r="T193" s="24" t="str">
        <f aca="false">IF($A193="","",IF(AND(T$2&gt;=09_ガント元データ!$G192,T$2&lt;=09_ガント元データ!$H192),"■",""))</f>
        <v/>
      </c>
      <c r="U193" s="24" t="str">
        <f aca="false">IF($A193="","",IF(AND(U$2&gt;=09_ガント元データ!$G192,U$2&lt;=09_ガント元データ!$H192),"■",""))</f>
        <v/>
      </c>
      <c r="V193" s="24" t="str">
        <f aca="false">IF($A193="","",IF(AND(V$2&gt;=09_ガント元データ!$G192,V$2&lt;=09_ガント元データ!$H192),"■",""))</f>
        <v/>
      </c>
      <c r="W193" s="24" t="str">
        <f aca="false">IF($A193="","",IF(AND(W$2&gt;=09_ガント元データ!$G192,W$2&lt;=09_ガント元データ!$H192),"■",""))</f>
        <v/>
      </c>
      <c r="X193" s="24" t="str">
        <f aca="false">IF($A193="","",IF(AND(X$2&gt;=09_ガント元データ!$G192,X$2&lt;=09_ガント元データ!$H192),"■",""))</f>
        <v/>
      </c>
      <c r="Y193" s="24" t="str">
        <f aca="false">IF($A193="","",IF(AND(Y$2&gt;=09_ガント元データ!$G192,Y$2&lt;=09_ガント元データ!$H192),"■",""))</f>
        <v/>
      </c>
      <c r="Z193" s="24" t="str">
        <f aca="false">IF($A193="","",IF(AND(Z$2&gt;=09_ガント元データ!$G192,Z$2&lt;=09_ガント元データ!$H192),"■",""))</f>
        <v/>
      </c>
      <c r="AA193" s="24" t="str">
        <f aca="false">IF($A193="","",IF(AND(AA$2&gt;=09_ガント元データ!$G192,AA$2&lt;=09_ガント元データ!$H192),"■",""))</f>
        <v/>
      </c>
      <c r="AB193" s="24" t="str">
        <f aca="false">IF($A193="","",IF(AND(AB$2&gt;=09_ガント元データ!$G192,AB$2&lt;=09_ガント元データ!$H192),"■",""))</f>
        <v/>
      </c>
      <c r="AC193" s="24" t="str">
        <f aca="false">IF($A193="","",IF(AND(AC$2&gt;=09_ガント元データ!$G192,AC$2&lt;=09_ガント元データ!$H192),"■",""))</f>
        <v/>
      </c>
      <c r="AD193" s="24" t="str">
        <f aca="false">IF($A193="","",IF(AND(AD$2&gt;=09_ガント元データ!$G192,AD$2&lt;=09_ガント元データ!$H192),"■",""))</f>
        <v/>
      </c>
      <c r="AE193" s="24" t="str">
        <f aca="false">IF($A193="","",IF(AND(AE$2&gt;=09_ガント元データ!$G192,AE$2&lt;=09_ガント元データ!$H192),"■",""))</f>
        <v/>
      </c>
      <c r="AF193" s="24" t="str">
        <f aca="false">IF($A193="","",IF(AND(AF$2&gt;=09_ガント元データ!$G192,AF$2&lt;=09_ガント元データ!$H192),"■",""))</f>
        <v/>
      </c>
      <c r="AG193" s="24" t="str">
        <f aca="false">IF($A193="","",IF(AND(AG$2&gt;=09_ガント元データ!$G192,AG$2&lt;=09_ガント元データ!$H192),"■",""))</f>
        <v/>
      </c>
      <c r="AH193" s="24" t="str">
        <f aca="false">IF($A193="","",IF(AND(AH$2&gt;=09_ガント元データ!$G192,AH$2&lt;=09_ガント元データ!$H192),"■",""))</f>
        <v/>
      </c>
      <c r="AI193" s="24" t="str">
        <f aca="false">IF($A193="","",IF(AND(AI$2&gt;=09_ガント元データ!$G192,AI$2&lt;=09_ガント元データ!$H192),"■",""))</f>
        <v/>
      </c>
      <c r="AJ193" s="24" t="str">
        <f aca="false">IF($A193="","",IF(AND(AJ$2&gt;=09_ガント元データ!$G192,AJ$2&lt;=09_ガント元データ!$H192),"■",""))</f>
        <v/>
      </c>
      <c r="AK193" s="24" t="str">
        <f aca="false">IF($A193="","",IF(AND(AK$2&gt;=09_ガント元データ!$G192,AK$2&lt;=09_ガント元データ!$H192),"■",""))</f>
        <v/>
      </c>
      <c r="AL193" s="24" t="str">
        <f aca="false">IF($A193="","",IF(AND(AL$2&gt;=09_ガント元データ!$G192,AL$2&lt;=09_ガント元データ!$H192),"■",""))</f>
        <v/>
      </c>
      <c r="AM193" s="24" t="str">
        <f aca="false">IF($A193="","",IF(AND(AM$2&gt;=09_ガント元データ!$G192,AM$2&lt;=09_ガント元データ!$H192),"■",""))</f>
        <v/>
      </c>
    </row>
    <row r="194" customFormat="false" ht="15" hidden="false" customHeight="false" outlineLevel="0" collapsed="false">
      <c r="A194" s="22" t="str">
        <f aca="false">09_ガント元データ!A193</f>
        <v/>
      </c>
      <c r="B194" s="22" t="str">
        <f aca="false">09_ガント元データ!B193</f>
        <v/>
      </c>
      <c r="C194" s="23" t="str">
        <f aca="false">09_ガント元データ!C193</f>
        <v/>
      </c>
      <c r="D194" s="24" t="str">
        <f aca="false">IF($A194="","",IF(AND(D$2&gt;=09_ガント元データ!$G193,D$2&lt;=09_ガント元データ!$H193),"■",""))</f>
        <v/>
      </c>
      <c r="E194" s="24" t="str">
        <f aca="false">IF($A194="","",IF(AND(E$2&gt;=09_ガント元データ!$G193,E$2&lt;=09_ガント元データ!$H193),"■",""))</f>
        <v/>
      </c>
      <c r="F194" s="24" t="str">
        <f aca="false">IF($A194="","",IF(AND(F$2&gt;=09_ガント元データ!$G193,F$2&lt;=09_ガント元データ!$H193),"■",""))</f>
        <v/>
      </c>
      <c r="G194" s="24" t="str">
        <f aca="false">IF($A194="","",IF(AND(G$2&gt;=09_ガント元データ!$G193,G$2&lt;=09_ガント元データ!$H193),"■",""))</f>
        <v/>
      </c>
      <c r="H194" s="24" t="str">
        <f aca="false">IF($A194="","",IF(AND(H$2&gt;=09_ガント元データ!$G193,H$2&lt;=09_ガント元データ!$H193),"■",""))</f>
        <v/>
      </c>
      <c r="I194" s="24" t="str">
        <f aca="false">IF($A194="","",IF(AND(I$2&gt;=09_ガント元データ!$G193,I$2&lt;=09_ガント元データ!$H193),"■",""))</f>
        <v/>
      </c>
      <c r="J194" s="24" t="str">
        <f aca="false">IF($A194="","",IF(AND(J$2&gt;=09_ガント元データ!$G193,J$2&lt;=09_ガント元データ!$H193),"■",""))</f>
        <v/>
      </c>
      <c r="K194" s="24" t="str">
        <f aca="false">IF($A194="","",IF(AND(K$2&gt;=09_ガント元データ!$G193,K$2&lt;=09_ガント元データ!$H193),"■",""))</f>
        <v/>
      </c>
      <c r="L194" s="24" t="str">
        <f aca="false">IF($A194="","",IF(AND(L$2&gt;=09_ガント元データ!$G193,L$2&lt;=09_ガント元データ!$H193),"■",""))</f>
        <v/>
      </c>
      <c r="M194" s="24" t="str">
        <f aca="false">IF($A194="","",IF(AND(M$2&gt;=09_ガント元データ!$G193,M$2&lt;=09_ガント元データ!$H193),"■",""))</f>
        <v/>
      </c>
      <c r="N194" s="24" t="str">
        <f aca="false">IF($A194="","",IF(AND(N$2&gt;=09_ガント元データ!$G193,N$2&lt;=09_ガント元データ!$H193),"■",""))</f>
        <v/>
      </c>
      <c r="O194" s="24" t="str">
        <f aca="false">IF($A194="","",IF(AND(O$2&gt;=09_ガント元データ!$G193,O$2&lt;=09_ガント元データ!$H193),"■",""))</f>
        <v/>
      </c>
      <c r="P194" s="24" t="str">
        <f aca="false">IF($A194="","",IF(AND(P$2&gt;=09_ガント元データ!$G193,P$2&lt;=09_ガント元データ!$H193),"■",""))</f>
        <v/>
      </c>
      <c r="Q194" s="24" t="str">
        <f aca="false">IF($A194="","",IF(AND(Q$2&gt;=09_ガント元データ!$G193,Q$2&lt;=09_ガント元データ!$H193),"■",""))</f>
        <v/>
      </c>
      <c r="R194" s="24" t="str">
        <f aca="false">IF($A194="","",IF(AND(R$2&gt;=09_ガント元データ!$G193,R$2&lt;=09_ガント元データ!$H193),"■",""))</f>
        <v/>
      </c>
      <c r="S194" s="24" t="str">
        <f aca="false">IF($A194="","",IF(AND(S$2&gt;=09_ガント元データ!$G193,S$2&lt;=09_ガント元データ!$H193),"■",""))</f>
        <v/>
      </c>
      <c r="T194" s="24" t="str">
        <f aca="false">IF($A194="","",IF(AND(T$2&gt;=09_ガント元データ!$G193,T$2&lt;=09_ガント元データ!$H193),"■",""))</f>
        <v/>
      </c>
      <c r="U194" s="24" t="str">
        <f aca="false">IF($A194="","",IF(AND(U$2&gt;=09_ガント元データ!$G193,U$2&lt;=09_ガント元データ!$H193),"■",""))</f>
        <v/>
      </c>
      <c r="V194" s="24" t="str">
        <f aca="false">IF($A194="","",IF(AND(V$2&gt;=09_ガント元データ!$G193,V$2&lt;=09_ガント元データ!$H193),"■",""))</f>
        <v/>
      </c>
      <c r="W194" s="24" t="str">
        <f aca="false">IF($A194="","",IF(AND(W$2&gt;=09_ガント元データ!$G193,W$2&lt;=09_ガント元データ!$H193),"■",""))</f>
        <v/>
      </c>
      <c r="X194" s="24" t="str">
        <f aca="false">IF($A194="","",IF(AND(X$2&gt;=09_ガント元データ!$G193,X$2&lt;=09_ガント元データ!$H193),"■",""))</f>
        <v/>
      </c>
      <c r="Y194" s="24" t="str">
        <f aca="false">IF($A194="","",IF(AND(Y$2&gt;=09_ガント元データ!$G193,Y$2&lt;=09_ガント元データ!$H193),"■",""))</f>
        <v/>
      </c>
      <c r="Z194" s="24" t="str">
        <f aca="false">IF($A194="","",IF(AND(Z$2&gt;=09_ガント元データ!$G193,Z$2&lt;=09_ガント元データ!$H193),"■",""))</f>
        <v/>
      </c>
      <c r="AA194" s="24" t="str">
        <f aca="false">IF($A194="","",IF(AND(AA$2&gt;=09_ガント元データ!$G193,AA$2&lt;=09_ガント元データ!$H193),"■",""))</f>
        <v/>
      </c>
      <c r="AB194" s="24" t="str">
        <f aca="false">IF($A194="","",IF(AND(AB$2&gt;=09_ガント元データ!$G193,AB$2&lt;=09_ガント元データ!$H193),"■",""))</f>
        <v/>
      </c>
      <c r="AC194" s="24" t="str">
        <f aca="false">IF($A194="","",IF(AND(AC$2&gt;=09_ガント元データ!$G193,AC$2&lt;=09_ガント元データ!$H193),"■",""))</f>
        <v/>
      </c>
      <c r="AD194" s="24" t="str">
        <f aca="false">IF($A194="","",IF(AND(AD$2&gt;=09_ガント元データ!$G193,AD$2&lt;=09_ガント元データ!$H193),"■",""))</f>
        <v/>
      </c>
      <c r="AE194" s="24" t="str">
        <f aca="false">IF($A194="","",IF(AND(AE$2&gt;=09_ガント元データ!$G193,AE$2&lt;=09_ガント元データ!$H193),"■",""))</f>
        <v/>
      </c>
      <c r="AF194" s="24" t="str">
        <f aca="false">IF($A194="","",IF(AND(AF$2&gt;=09_ガント元データ!$G193,AF$2&lt;=09_ガント元データ!$H193),"■",""))</f>
        <v/>
      </c>
      <c r="AG194" s="24" t="str">
        <f aca="false">IF($A194="","",IF(AND(AG$2&gt;=09_ガント元データ!$G193,AG$2&lt;=09_ガント元データ!$H193),"■",""))</f>
        <v/>
      </c>
      <c r="AH194" s="24" t="str">
        <f aca="false">IF($A194="","",IF(AND(AH$2&gt;=09_ガント元データ!$G193,AH$2&lt;=09_ガント元データ!$H193),"■",""))</f>
        <v/>
      </c>
      <c r="AI194" s="24" t="str">
        <f aca="false">IF($A194="","",IF(AND(AI$2&gt;=09_ガント元データ!$G193,AI$2&lt;=09_ガント元データ!$H193),"■",""))</f>
        <v/>
      </c>
      <c r="AJ194" s="24" t="str">
        <f aca="false">IF($A194="","",IF(AND(AJ$2&gt;=09_ガント元データ!$G193,AJ$2&lt;=09_ガント元データ!$H193),"■",""))</f>
        <v/>
      </c>
      <c r="AK194" s="24" t="str">
        <f aca="false">IF($A194="","",IF(AND(AK$2&gt;=09_ガント元データ!$G193,AK$2&lt;=09_ガント元データ!$H193),"■",""))</f>
        <v/>
      </c>
      <c r="AL194" s="24" t="str">
        <f aca="false">IF($A194="","",IF(AND(AL$2&gt;=09_ガント元データ!$G193,AL$2&lt;=09_ガント元データ!$H193),"■",""))</f>
        <v/>
      </c>
      <c r="AM194" s="24" t="str">
        <f aca="false">IF($A194="","",IF(AND(AM$2&gt;=09_ガント元データ!$G193,AM$2&lt;=09_ガント元データ!$H193),"■",""))</f>
        <v/>
      </c>
    </row>
    <row r="195" customFormat="false" ht="15" hidden="false" customHeight="false" outlineLevel="0" collapsed="false">
      <c r="A195" s="22" t="str">
        <f aca="false">09_ガント元データ!A194</f>
        <v/>
      </c>
      <c r="B195" s="22" t="str">
        <f aca="false">09_ガント元データ!B194</f>
        <v/>
      </c>
      <c r="C195" s="23" t="str">
        <f aca="false">09_ガント元データ!C194</f>
        <v/>
      </c>
      <c r="D195" s="24" t="str">
        <f aca="false">IF($A195="","",IF(AND(D$2&gt;=09_ガント元データ!$G194,D$2&lt;=09_ガント元データ!$H194),"■",""))</f>
        <v/>
      </c>
      <c r="E195" s="24" t="str">
        <f aca="false">IF($A195="","",IF(AND(E$2&gt;=09_ガント元データ!$G194,E$2&lt;=09_ガント元データ!$H194),"■",""))</f>
        <v/>
      </c>
      <c r="F195" s="24" t="str">
        <f aca="false">IF($A195="","",IF(AND(F$2&gt;=09_ガント元データ!$G194,F$2&lt;=09_ガント元データ!$H194),"■",""))</f>
        <v/>
      </c>
      <c r="G195" s="24" t="str">
        <f aca="false">IF($A195="","",IF(AND(G$2&gt;=09_ガント元データ!$G194,G$2&lt;=09_ガント元データ!$H194),"■",""))</f>
        <v/>
      </c>
      <c r="H195" s="24" t="str">
        <f aca="false">IF($A195="","",IF(AND(H$2&gt;=09_ガント元データ!$G194,H$2&lt;=09_ガント元データ!$H194),"■",""))</f>
        <v/>
      </c>
      <c r="I195" s="24" t="str">
        <f aca="false">IF($A195="","",IF(AND(I$2&gt;=09_ガント元データ!$G194,I$2&lt;=09_ガント元データ!$H194),"■",""))</f>
        <v/>
      </c>
      <c r="J195" s="24" t="str">
        <f aca="false">IF($A195="","",IF(AND(J$2&gt;=09_ガント元データ!$G194,J$2&lt;=09_ガント元データ!$H194),"■",""))</f>
        <v/>
      </c>
      <c r="K195" s="24" t="str">
        <f aca="false">IF($A195="","",IF(AND(K$2&gt;=09_ガント元データ!$G194,K$2&lt;=09_ガント元データ!$H194),"■",""))</f>
        <v/>
      </c>
      <c r="L195" s="24" t="str">
        <f aca="false">IF($A195="","",IF(AND(L$2&gt;=09_ガント元データ!$G194,L$2&lt;=09_ガント元データ!$H194),"■",""))</f>
        <v/>
      </c>
      <c r="M195" s="24" t="str">
        <f aca="false">IF($A195="","",IF(AND(M$2&gt;=09_ガント元データ!$G194,M$2&lt;=09_ガント元データ!$H194),"■",""))</f>
        <v/>
      </c>
      <c r="N195" s="24" t="str">
        <f aca="false">IF($A195="","",IF(AND(N$2&gt;=09_ガント元データ!$G194,N$2&lt;=09_ガント元データ!$H194),"■",""))</f>
        <v/>
      </c>
      <c r="O195" s="24" t="str">
        <f aca="false">IF($A195="","",IF(AND(O$2&gt;=09_ガント元データ!$G194,O$2&lt;=09_ガント元データ!$H194),"■",""))</f>
        <v/>
      </c>
      <c r="P195" s="24" t="str">
        <f aca="false">IF($A195="","",IF(AND(P$2&gt;=09_ガント元データ!$G194,P$2&lt;=09_ガント元データ!$H194),"■",""))</f>
        <v/>
      </c>
      <c r="Q195" s="24" t="str">
        <f aca="false">IF($A195="","",IF(AND(Q$2&gt;=09_ガント元データ!$G194,Q$2&lt;=09_ガント元データ!$H194),"■",""))</f>
        <v/>
      </c>
      <c r="R195" s="24" t="str">
        <f aca="false">IF($A195="","",IF(AND(R$2&gt;=09_ガント元データ!$G194,R$2&lt;=09_ガント元データ!$H194),"■",""))</f>
        <v/>
      </c>
      <c r="S195" s="24" t="str">
        <f aca="false">IF($A195="","",IF(AND(S$2&gt;=09_ガント元データ!$G194,S$2&lt;=09_ガント元データ!$H194),"■",""))</f>
        <v/>
      </c>
      <c r="T195" s="24" t="str">
        <f aca="false">IF($A195="","",IF(AND(T$2&gt;=09_ガント元データ!$G194,T$2&lt;=09_ガント元データ!$H194),"■",""))</f>
        <v/>
      </c>
      <c r="U195" s="24" t="str">
        <f aca="false">IF($A195="","",IF(AND(U$2&gt;=09_ガント元データ!$G194,U$2&lt;=09_ガント元データ!$H194),"■",""))</f>
        <v/>
      </c>
      <c r="V195" s="24" t="str">
        <f aca="false">IF($A195="","",IF(AND(V$2&gt;=09_ガント元データ!$G194,V$2&lt;=09_ガント元データ!$H194),"■",""))</f>
        <v/>
      </c>
      <c r="W195" s="24" t="str">
        <f aca="false">IF($A195="","",IF(AND(W$2&gt;=09_ガント元データ!$G194,W$2&lt;=09_ガント元データ!$H194),"■",""))</f>
        <v/>
      </c>
      <c r="X195" s="24" t="str">
        <f aca="false">IF($A195="","",IF(AND(X$2&gt;=09_ガント元データ!$G194,X$2&lt;=09_ガント元データ!$H194),"■",""))</f>
        <v/>
      </c>
      <c r="Y195" s="24" t="str">
        <f aca="false">IF($A195="","",IF(AND(Y$2&gt;=09_ガント元データ!$G194,Y$2&lt;=09_ガント元データ!$H194),"■",""))</f>
        <v/>
      </c>
      <c r="Z195" s="24" t="str">
        <f aca="false">IF($A195="","",IF(AND(Z$2&gt;=09_ガント元データ!$G194,Z$2&lt;=09_ガント元データ!$H194),"■",""))</f>
        <v/>
      </c>
      <c r="AA195" s="24" t="str">
        <f aca="false">IF($A195="","",IF(AND(AA$2&gt;=09_ガント元データ!$G194,AA$2&lt;=09_ガント元データ!$H194),"■",""))</f>
        <v/>
      </c>
      <c r="AB195" s="24" t="str">
        <f aca="false">IF($A195="","",IF(AND(AB$2&gt;=09_ガント元データ!$G194,AB$2&lt;=09_ガント元データ!$H194),"■",""))</f>
        <v/>
      </c>
      <c r="AC195" s="24" t="str">
        <f aca="false">IF($A195="","",IF(AND(AC$2&gt;=09_ガント元データ!$G194,AC$2&lt;=09_ガント元データ!$H194),"■",""))</f>
        <v/>
      </c>
      <c r="AD195" s="24" t="str">
        <f aca="false">IF($A195="","",IF(AND(AD$2&gt;=09_ガント元データ!$G194,AD$2&lt;=09_ガント元データ!$H194),"■",""))</f>
        <v/>
      </c>
      <c r="AE195" s="24" t="str">
        <f aca="false">IF($A195="","",IF(AND(AE$2&gt;=09_ガント元データ!$G194,AE$2&lt;=09_ガント元データ!$H194),"■",""))</f>
        <v/>
      </c>
      <c r="AF195" s="24" t="str">
        <f aca="false">IF($A195="","",IF(AND(AF$2&gt;=09_ガント元データ!$G194,AF$2&lt;=09_ガント元データ!$H194),"■",""))</f>
        <v/>
      </c>
      <c r="AG195" s="24" t="str">
        <f aca="false">IF($A195="","",IF(AND(AG$2&gt;=09_ガント元データ!$G194,AG$2&lt;=09_ガント元データ!$H194),"■",""))</f>
        <v/>
      </c>
      <c r="AH195" s="24" t="str">
        <f aca="false">IF($A195="","",IF(AND(AH$2&gt;=09_ガント元データ!$G194,AH$2&lt;=09_ガント元データ!$H194),"■",""))</f>
        <v/>
      </c>
      <c r="AI195" s="24" t="str">
        <f aca="false">IF($A195="","",IF(AND(AI$2&gt;=09_ガント元データ!$G194,AI$2&lt;=09_ガント元データ!$H194),"■",""))</f>
        <v/>
      </c>
      <c r="AJ195" s="24" t="str">
        <f aca="false">IF($A195="","",IF(AND(AJ$2&gt;=09_ガント元データ!$G194,AJ$2&lt;=09_ガント元データ!$H194),"■",""))</f>
        <v/>
      </c>
      <c r="AK195" s="24" t="str">
        <f aca="false">IF($A195="","",IF(AND(AK$2&gt;=09_ガント元データ!$G194,AK$2&lt;=09_ガント元データ!$H194),"■",""))</f>
        <v/>
      </c>
      <c r="AL195" s="24" t="str">
        <f aca="false">IF($A195="","",IF(AND(AL$2&gt;=09_ガント元データ!$G194,AL$2&lt;=09_ガント元データ!$H194),"■",""))</f>
        <v/>
      </c>
      <c r="AM195" s="24" t="str">
        <f aca="false">IF($A195="","",IF(AND(AM$2&gt;=09_ガント元データ!$G194,AM$2&lt;=09_ガント元データ!$H194),"■",""))</f>
        <v/>
      </c>
    </row>
    <row r="196" customFormat="false" ht="15" hidden="false" customHeight="false" outlineLevel="0" collapsed="false">
      <c r="A196" s="22" t="str">
        <f aca="false">09_ガント元データ!A195</f>
        <v/>
      </c>
      <c r="B196" s="22" t="str">
        <f aca="false">09_ガント元データ!B195</f>
        <v/>
      </c>
      <c r="C196" s="23" t="str">
        <f aca="false">09_ガント元データ!C195</f>
        <v/>
      </c>
      <c r="D196" s="24" t="str">
        <f aca="false">IF($A196="","",IF(AND(D$2&gt;=09_ガント元データ!$G195,D$2&lt;=09_ガント元データ!$H195),"■",""))</f>
        <v/>
      </c>
      <c r="E196" s="24" t="str">
        <f aca="false">IF($A196="","",IF(AND(E$2&gt;=09_ガント元データ!$G195,E$2&lt;=09_ガント元データ!$H195),"■",""))</f>
        <v/>
      </c>
      <c r="F196" s="24" t="str">
        <f aca="false">IF($A196="","",IF(AND(F$2&gt;=09_ガント元データ!$G195,F$2&lt;=09_ガント元データ!$H195),"■",""))</f>
        <v/>
      </c>
      <c r="G196" s="24" t="str">
        <f aca="false">IF($A196="","",IF(AND(G$2&gt;=09_ガント元データ!$G195,G$2&lt;=09_ガント元データ!$H195),"■",""))</f>
        <v/>
      </c>
      <c r="H196" s="24" t="str">
        <f aca="false">IF($A196="","",IF(AND(H$2&gt;=09_ガント元データ!$G195,H$2&lt;=09_ガント元データ!$H195),"■",""))</f>
        <v/>
      </c>
      <c r="I196" s="24" t="str">
        <f aca="false">IF($A196="","",IF(AND(I$2&gt;=09_ガント元データ!$G195,I$2&lt;=09_ガント元データ!$H195),"■",""))</f>
        <v/>
      </c>
      <c r="J196" s="24" t="str">
        <f aca="false">IF($A196="","",IF(AND(J$2&gt;=09_ガント元データ!$G195,J$2&lt;=09_ガント元データ!$H195),"■",""))</f>
        <v/>
      </c>
      <c r="K196" s="24" t="str">
        <f aca="false">IF($A196="","",IF(AND(K$2&gt;=09_ガント元データ!$G195,K$2&lt;=09_ガント元データ!$H195),"■",""))</f>
        <v/>
      </c>
      <c r="L196" s="24" t="str">
        <f aca="false">IF($A196="","",IF(AND(L$2&gt;=09_ガント元データ!$G195,L$2&lt;=09_ガント元データ!$H195),"■",""))</f>
        <v/>
      </c>
      <c r="M196" s="24" t="str">
        <f aca="false">IF($A196="","",IF(AND(M$2&gt;=09_ガント元データ!$G195,M$2&lt;=09_ガント元データ!$H195),"■",""))</f>
        <v/>
      </c>
      <c r="N196" s="24" t="str">
        <f aca="false">IF($A196="","",IF(AND(N$2&gt;=09_ガント元データ!$G195,N$2&lt;=09_ガント元データ!$H195),"■",""))</f>
        <v/>
      </c>
      <c r="O196" s="24" t="str">
        <f aca="false">IF($A196="","",IF(AND(O$2&gt;=09_ガント元データ!$G195,O$2&lt;=09_ガント元データ!$H195),"■",""))</f>
        <v/>
      </c>
      <c r="P196" s="24" t="str">
        <f aca="false">IF($A196="","",IF(AND(P$2&gt;=09_ガント元データ!$G195,P$2&lt;=09_ガント元データ!$H195),"■",""))</f>
        <v/>
      </c>
      <c r="Q196" s="24" t="str">
        <f aca="false">IF($A196="","",IF(AND(Q$2&gt;=09_ガント元データ!$G195,Q$2&lt;=09_ガント元データ!$H195),"■",""))</f>
        <v/>
      </c>
      <c r="R196" s="24" t="str">
        <f aca="false">IF($A196="","",IF(AND(R$2&gt;=09_ガント元データ!$G195,R$2&lt;=09_ガント元データ!$H195),"■",""))</f>
        <v/>
      </c>
      <c r="S196" s="24" t="str">
        <f aca="false">IF($A196="","",IF(AND(S$2&gt;=09_ガント元データ!$G195,S$2&lt;=09_ガント元データ!$H195),"■",""))</f>
        <v/>
      </c>
      <c r="T196" s="24" t="str">
        <f aca="false">IF($A196="","",IF(AND(T$2&gt;=09_ガント元データ!$G195,T$2&lt;=09_ガント元データ!$H195),"■",""))</f>
        <v/>
      </c>
      <c r="U196" s="24" t="str">
        <f aca="false">IF($A196="","",IF(AND(U$2&gt;=09_ガント元データ!$G195,U$2&lt;=09_ガント元データ!$H195),"■",""))</f>
        <v/>
      </c>
      <c r="V196" s="24" t="str">
        <f aca="false">IF($A196="","",IF(AND(V$2&gt;=09_ガント元データ!$G195,V$2&lt;=09_ガント元データ!$H195),"■",""))</f>
        <v/>
      </c>
      <c r="W196" s="24" t="str">
        <f aca="false">IF($A196="","",IF(AND(W$2&gt;=09_ガント元データ!$G195,W$2&lt;=09_ガント元データ!$H195),"■",""))</f>
        <v/>
      </c>
      <c r="X196" s="24" t="str">
        <f aca="false">IF($A196="","",IF(AND(X$2&gt;=09_ガント元データ!$G195,X$2&lt;=09_ガント元データ!$H195),"■",""))</f>
        <v/>
      </c>
      <c r="Y196" s="24" t="str">
        <f aca="false">IF($A196="","",IF(AND(Y$2&gt;=09_ガント元データ!$G195,Y$2&lt;=09_ガント元データ!$H195),"■",""))</f>
        <v/>
      </c>
      <c r="Z196" s="24" t="str">
        <f aca="false">IF($A196="","",IF(AND(Z$2&gt;=09_ガント元データ!$G195,Z$2&lt;=09_ガント元データ!$H195),"■",""))</f>
        <v/>
      </c>
      <c r="AA196" s="24" t="str">
        <f aca="false">IF($A196="","",IF(AND(AA$2&gt;=09_ガント元データ!$G195,AA$2&lt;=09_ガント元データ!$H195),"■",""))</f>
        <v/>
      </c>
      <c r="AB196" s="24" t="str">
        <f aca="false">IF($A196="","",IF(AND(AB$2&gt;=09_ガント元データ!$G195,AB$2&lt;=09_ガント元データ!$H195),"■",""))</f>
        <v/>
      </c>
      <c r="AC196" s="24" t="str">
        <f aca="false">IF($A196="","",IF(AND(AC$2&gt;=09_ガント元データ!$G195,AC$2&lt;=09_ガント元データ!$H195),"■",""))</f>
        <v/>
      </c>
      <c r="AD196" s="24" t="str">
        <f aca="false">IF($A196="","",IF(AND(AD$2&gt;=09_ガント元データ!$G195,AD$2&lt;=09_ガント元データ!$H195),"■",""))</f>
        <v/>
      </c>
      <c r="AE196" s="24" t="str">
        <f aca="false">IF($A196="","",IF(AND(AE$2&gt;=09_ガント元データ!$G195,AE$2&lt;=09_ガント元データ!$H195),"■",""))</f>
        <v/>
      </c>
      <c r="AF196" s="24" t="str">
        <f aca="false">IF($A196="","",IF(AND(AF$2&gt;=09_ガント元データ!$G195,AF$2&lt;=09_ガント元データ!$H195),"■",""))</f>
        <v/>
      </c>
      <c r="AG196" s="24" t="str">
        <f aca="false">IF($A196="","",IF(AND(AG$2&gt;=09_ガント元データ!$G195,AG$2&lt;=09_ガント元データ!$H195),"■",""))</f>
        <v/>
      </c>
      <c r="AH196" s="24" t="str">
        <f aca="false">IF($A196="","",IF(AND(AH$2&gt;=09_ガント元データ!$G195,AH$2&lt;=09_ガント元データ!$H195),"■",""))</f>
        <v/>
      </c>
      <c r="AI196" s="24" t="str">
        <f aca="false">IF($A196="","",IF(AND(AI$2&gt;=09_ガント元データ!$G195,AI$2&lt;=09_ガント元データ!$H195),"■",""))</f>
        <v/>
      </c>
      <c r="AJ196" s="24" t="str">
        <f aca="false">IF($A196="","",IF(AND(AJ$2&gt;=09_ガント元データ!$G195,AJ$2&lt;=09_ガント元データ!$H195),"■",""))</f>
        <v/>
      </c>
      <c r="AK196" s="24" t="str">
        <f aca="false">IF($A196="","",IF(AND(AK$2&gt;=09_ガント元データ!$G195,AK$2&lt;=09_ガント元データ!$H195),"■",""))</f>
        <v/>
      </c>
      <c r="AL196" s="24" t="str">
        <f aca="false">IF($A196="","",IF(AND(AL$2&gt;=09_ガント元データ!$G195,AL$2&lt;=09_ガント元データ!$H195),"■",""))</f>
        <v/>
      </c>
      <c r="AM196" s="24" t="str">
        <f aca="false">IF($A196="","",IF(AND(AM$2&gt;=09_ガント元データ!$G195,AM$2&lt;=09_ガント元データ!$H195),"■",""))</f>
        <v/>
      </c>
    </row>
    <row r="197" customFormat="false" ht="15" hidden="false" customHeight="false" outlineLevel="0" collapsed="false">
      <c r="A197" s="22" t="str">
        <f aca="false">09_ガント元データ!A196</f>
        <v/>
      </c>
      <c r="B197" s="22" t="str">
        <f aca="false">09_ガント元データ!B196</f>
        <v/>
      </c>
      <c r="C197" s="23" t="str">
        <f aca="false">09_ガント元データ!C196</f>
        <v/>
      </c>
      <c r="D197" s="24" t="str">
        <f aca="false">IF($A197="","",IF(AND(D$2&gt;=09_ガント元データ!$G196,D$2&lt;=09_ガント元データ!$H196),"■",""))</f>
        <v/>
      </c>
      <c r="E197" s="24" t="str">
        <f aca="false">IF($A197="","",IF(AND(E$2&gt;=09_ガント元データ!$G196,E$2&lt;=09_ガント元データ!$H196),"■",""))</f>
        <v/>
      </c>
      <c r="F197" s="24" t="str">
        <f aca="false">IF($A197="","",IF(AND(F$2&gt;=09_ガント元データ!$G196,F$2&lt;=09_ガント元データ!$H196),"■",""))</f>
        <v/>
      </c>
      <c r="G197" s="24" t="str">
        <f aca="false">IF($A197="","",IF(AND(G$2&gt;=09_ガント元データ!$G196,G$2&lt;=09_ガント元データ!$H196),"■",""))</f>
        <v/>
      </c>
      <c r="H197" s="24" t="str">
        <f aca="false">IF($A197="","",IF(AND(H$2&gt;=09_ガント元データ!$G196,H$2&lt;=09_ガント元データ!$H196),"■",""))</f>
        <v/>
      </c>
      <c r="I197" s="24" t="str">
        <f aca="false">IF($A197="","",IF(AND(I$2&gt;=09_ガント元データ!$G196,I$2&lt;=09_ガント元データ!$H196),"■",""))</f>
        <v/>
      </c>
      <c r="J197" s="24" t="str">
        <f aca="false">IF($A197="","",IF(AND(J$2&gt;=09_ガント元データ!$G196,J$2&lt;=09_ガント元データ!$H196),"■",""))</f>
        <v/>
      </c>
      <c r="K197" s="24" t="str">
        <f aca="false">IF($A197="","",IF(AND(K$2&gt;=09_ガント元データ!$G196,K$2&lt;=09_ガント元データ!$H196),"■",""))</f>
        <v/>
      </c>
      <c r="L197" s="24" t="str">
        <f aca="false">IF($A197="","",IF(AND(L$2&gt;=09_ガント元データ!$G196,L$2&lt;=09_ガント元データ!$H196),"■",""))</f>
        <v/>
      </c>
      <c r="M197" s="24" t="str">
        <f aca="false">IF($A197="","",IF(AND(M$2&gt;=09_ガント元データ!$G196,M$2&lt;=09_ガント元データ!$H196),"■",""))</f>
        <v/>
      </c>
      <c r="N197" s="24" t="str">
        <f aca="false">IF($A197="","",IF(AND(N$2&gt;=09_ガント元データ!$G196,N$2&lt;=09_ガント元データ!$H196),"■",""))</f>
        <v/>
      </c>
      <c r="O197" s="24" t="str">
        <f aca="false">IF($A197="","",IF(AND(O$2&gt;=09_ガント元データ!$G196,O$2&lt;=09_ガント元データ!$H196),"■",""))</f>
        <v/>
      </c>
      <c r="P197" s="24" t="str">
        <f aca="false">IF($A197="","",IF(AND(P$2&gt;=09_ガント元データ!$G196,P$2&lt;=09_ガント元データ!$H196),"■",""))</f>
        <v/>
      </c>
      <c r="Q197" s="24" t="str">
        <f aca="false">IF($A197="","",IF(AND(Q$2&gt;=09_ガント元データ!$G196,Q$2&lt;=09_ガント元データ!$H196),"■",""))</f>
        <v/>
      </c>
      <c r="R197" s="24" t="str">
        <f aca="false">IF($A197="","",IF(AND(R$2&gt;=09_ガント元データ!$G196,R$2&lt;=09_ガント元データ!$H196),"■",""))</f>
        <v/>
      </c>
      <c r="S197" s="24" t="str">
        <f aca="false">IF($A197="","",IF(AND(S$2&gt;=09_ガント元データ!$G196,S$2&lt;=09_ガント元データ!$H196),"■",""))</f>
        <v/>
      </c>
      <c r="T197" s="24" t="str">
        <f aca="false">IF($A197="","",IF(AND(T$2&gt;=09_ガント元データ!$G196,T$2&lt;=09_ガント元データ!$H196),"■",""))</f>
        <v/>
      </c>
      <c r="U197" s="24" t="str">
        <f aca="false">IF($A197="","",IF(AND(U$2&gt;=09_ガント元データ!$G196,U$2&lt;=09_ガント元データ!$H196),"■",""))</f>
        <v/>
      </c>
      <c r="V197" s="24" t="str">
        <f aca="false">IF($A197="","",IF(AND(V$2&gt;=09_ガント元データ!$G196,V$2&lt;=09_ガント元データ!$H196),"■",""))</f>
        <v/>
      </c>
      <c r="W197" s="24" t="str">
        <f aca="false">IF($A197="","",IF(AND(W$2&gt;=09_ガント元データ!$G196,W$2&lt;=09_ガント元データ!$H196),"■",""))</f>
        <v/>
      </c>
      <c r="X197" s="24" t="str">
        <f aca="false">IF($A197="","",IF(AND(X$2&gt;=09_ガント元データ!$G196,X$2&lt;=09_ガント元データ!$H196),"■",""))</f>
        <v/>
      </c>
      <c r="Y197" s="24" t="str">
        <f aca="false">IF($A197="","",IF(AND(Y$2&gt;=09_ガント元データ!$G196,Y$2&lt;=09_ガント元データ!$H196),"■",""))</f>
        <v/>
      </c>
      <c r="Z197" s="24" t="str">
        <f aca="false">IF($A197="","",IF(AND(Z$2&gt;=09_ガント元データ!$G196,Z$2&lt;=09_ガント元データ!$H196),"■",""))</f>
        <v/>
      </c>
      <c r="AA197" s="24" t="str">
        <f aca="false">IF($A197="","",IF(AND(AA$2&gt;=09_ガント元データ!$G196,AA$2&lt;=09_ガント元データ!$H196),"■",""))</f>
        <v/>
      </c>
      <c r="AB197" s="24" t="str">
        <f aca="false">IF($A197="","",IF(AND(AB$2&gt;=09_ガント元データ!$G196,AB$2&lt;=09_ガント元データ!$H196),"■",""))</f>
        <v/>
      </c>
      <c r="AC197" s="24" t="str">
        <f aca="false">IF($A197="","",IF(AND(AC$2&gt;=09_ガント元データ!$G196,AC$2&lt;=09_ガント元データ!$H196),"■",""))</f>
        <v/>
      </c>
      <c r="AD197" s="24" t="str">
        <f aca="false">IF($A197="","",IF(AND(AD$2&gt;=09_ガント元データ!$G196,AD$2&lt;=09_ガント元データ!$H196),"■",""))</f>
        <v/>
      </c>
      <c r="AE197" s="24" t="str">
        <f aca="false">IF($A197="","",IF(AND(AE$2&gt;=09_ガント元データ!$G196,AE$2&lt;=09_ガント元データ!$H196),"■",""))</f>
        <v/>
      </c>
      <c r="AF197" s="24" t="str">
        <f aca="false">IF($A197="","",IF(AND(AF$2&gt;=09_ガント元データ!$G196,AF$2&lt;=09_ガント元データ!$H196),"■",""))</f>
        <v/>
      </c>
      <c r="AG197" s="24" t="str">
        <f aca="false">IF($A197="","",IF(AND(AG$2&gt;=09_ガント元データ!$G196,AG$2&lt;=09_ガント元データ!$H196),"■",""))</f>
        <v/>
      </c>
      <c r="AH197" s="24" t="str">
        <f aca="false">IF($A197="","",IF(AND(AH$2&gt;=09_ガント元データ!$G196,AH$2&lt;=09_ガント元データ!$H196),"■",""))</f>
        <v/>
      </c>
      <c r="AI197" s="24" t="str">
        <f aca="false">IF($A197="","",IF(AND(AI$2&gt;=09_ガント元データ!$G196,AI$2&lt;=09_ガント元データ!$H196),"■",""))</f>
        <v/>
      </c>
      <c r="AJ197" s="24" t="str">
        <f aca="false">IF($A197="","",IF(AND(AJ$2&gt;=09_ガント元データ!$G196,AJ$2&lt;=09_ガント元データ!$H196),"■",""))</f>
        <v/>
      </c>
      <c r="AK197" s="24" t="str">
        <f aca="false">IF($A197="","",IF(AND(AK$2&gt;=09_ガント元データ!$G196,AK$2&lt;=09_ガント元データ!$H196),"■",""))</f>
        <v/>
      </c>
      <c r="AL197" s="24" t="str">
        <f aca="false">IF($A197="","",IF(AND(AL$2&gt;=09_ガント元データ!$G196,AL$2&lt;=09_ガント元データ!$H196),"■",""))</f>
        <v/>
      </c>
      <c r="AM197" s="24" t="str">
        <f aca="false">IF($A197="","",IF(AND(AM$2&gt;=09_ガント元データ!$G196,AM$2&lt;=09_ガント元データ!$H196),"■",""))</f>
        <v/>
      </c>
    </row>
    <row r="198" customFormat="false" ht="15" hidden="false" customHeight="false" outlineLevel="0" collapsed="false">
      <c r="A198" s="22" t="str">
        <f aca="false">09_ガント元データ!A197</f>
        <v/>
      </c>
      <c r="B198" s="22" t="str">
        <f aca="false">09_ガント元データ!B197</f>
        <v/>
      </c>
      <c r="C198" s="23" t="str">
        <f aca="false">09_ガント元データ!C197</f>
        <v/>
      </c>
      <c r="D198" s="24" t="str">
        <f aca="false">IF($A198="","",IF(AND(D$2&gt;=09_ガント元データ!$G197,D$2&lt;=09_ガント元データ!$H197),"■",""))</f>
        <v/>
      </c>
      <c r="E198" s="24" t="str">
        <f aca="false">IF($A198="","",IF(AND(E$2&gt;=09_ガント元データ!$G197,E$2&lt;=09_ガント元データ!$H197),"■",""))</f>
        <v/>
      </c>
      <c r="F198" s="24" t="str">
        <f aca="false">IF($A198="","",IF(AND(F$2&gt;=09_ガント元データ!$G197,F$2&lt;=09_ガント元データ!$H197),"■",""))</f>
        <v/>
      </c>
      <c r="G198" s="24" t="str">
        <f aca="false">IF($A198="","",IF(AND(G$2&gt;=09_ガント元データ!$G197,G$2&lt;=09_ガント元データ!$H197),"■",""))</f>
        <v/>
      </c>
      <c r="H198" s="24" t="str">
        <f aca="false">IF($A198="","",IF(AND(H$2&gt;=09_ガント元データ!$G197,H$2&lt;=09_ガント元データ!$H197),"■",""))</f>
        <v/>
      </c>
      <c r="I198" s="24" t="str">
        <f aca="false">IF($A198="","",IF(AND(I$2&gt;=09_ガント元データ!$G197,I$2&lt;=09_ガント元データ!$H197),"■",""))</f>
        <v/>
      </c>
      <c r="J198" s="24" t="str">
        <f aca="false">IF($A198="","",IF(AND(J$2&gt;=09_ガント元データ!$G197,J$2&lt;=09_ガント元データ!$H197),"■",""))</f>
        <v/>
      </c>
      <c r="K198" s="24" t="str">
        <f aca="false">IF($A198="","",IF(AND(K$2&gt;=09_ガント元データ!$G197,K$2&lt;=09_ガント元データ!$H197),"■",""))</f>
        <v/>
      </c>
      <c r="L198" s="24" t="str">
        <f aca="false">IF($A198="","",IF(AND(L$2&gt;=09_ガント元データ!$G197,L$2&lt;=09_ガント元データ!$H197),"■",""))</f>
        <v/>
      </c>
      <c r="M198" s="24" t="str">
        <f aca="false">IF($A198="","",IF(AND(M$2&gt;=09_ガント元データ!$G197,M$2&lt;=09_ガント元データ!$H197),"■",""))</f>
        <v/>
      </c>
      <c r="N198" s="24" t="str">
        <f aca="false">IF($A198="","",IF(AND(N$2&gt;=09_ガント元データ!$G197,N$2&lt;=09_ガント元データ!$H197),"■",""))</f>
        <v/>
      </c>
      <c r="O198" s="24" t="str">
        <f aca="false">IF($A198="","",IF(AND(O$2&gt;=09_ガント元データ!$G197,O$2&lt;=09_ガント元データ!$H197),"■",""))</f>
        <v/>
      </c>
      <c r="P198" s="24" t="str">
        <f aca="false">IF($A198="","",IF(AND(P$2&gt;=09_ガント元データ!$G197,P$2&lt;=09_ガント元データ!$H197),"■",""))</f>
        <v/>
      </c>
      <c r="Q198" s="24" t="str">
        <f aca="false">IF($A198="","",IF(AND(Q$2&gt;=09_ガント元データ!$G197,Q$2&lt;=09_ガント元データ!$H197),"■",""))</f>
        <v/>
      </c>
      <c r="R198" s="24" t="str">
        <f aca="false">IF($A198="","",IF(AND(R$2&gt;=09_ガント元データ!$G197,R$2&lt;=09_ガント元データ!$H197),"■",""))</f>
        <v/>
      </c>
      <c r="S198" s="24" t="str">
        <f aca="false">IF($A198="","",IF(AND(S$2&gt;=09_ガント元データ!$G197,S$2&lt;=09_ガント元データ!$H197),"■",""))</f>
        <v/>
      </c>
      <c r="T198" s="24" t="str">
        <f aca="false">IF($A198="","",IF(AND(T$2&gt;=09_ガント元データ!$G197,T$2&lt;=09_ガント元データ!$H197),"■",""))</f>
        <v/>
      </c>
      <c r="U198" s="24" t="str">
        <f aca="false">IF($A198="","",IF(AND(U$2&gt;=09_ガント元データ!$G197,U$2&lt;=09_ガント元データ!$H197),"■",""))</f>
        <v/>
      </c>
      <c r="V198" s="24" t="str">
        <f aca="false">IF($A198="","",IF(AND(V$2&gt;=09_ガント元データ!$G197,V$2&lt;=09_ガント元データ!$H197),"■",""))</f>
        <v/>
      </c>
      <c r="W198" s="24" t="str">
        <f aca="false">IF($A198="","",IF(AND(W$2&gt;=09_ガント元データ!$G197,W$2&lt;=09_ガント元データ!$H197),"■",""))</f>
        <v/>
      </c>
      <c r="X198" s="24" t="str">
        <f aca="false">IF($A198="","",IF(AND(X$2&gt;=09_ガント元データ!$G197,X$2&lt;=09_ガント元データ!$H197),"■",""))</f>
        <v/>
      </c>
      <c r="Y198" s="24" t="str">
        <f aca="false">IF($A198="","",IF(AND(Y$2&gt;=09_ガント元データ!$G197,Y$2&lt;=09_ガント元データ!$H197),"■",""))</f>
        <v/>
      </c>
      <c r="Z198" s="24" t="str">
        <f aca="false">IF($A198="","",IF(AND(Z$2&gt;=09_ガント元データ!$G197,Z$2&lt;=09_ガント元データ!$H197),"■",""))</f>
        <v/>
      </c>
      <c r="AA198" s="24" t="str">
        <f aca="false">IF($A198="","",IF(AND(AA$2&gt;=09_ガント元データ!$G197,AA$2&lt;=09_ガント元データ!$H197),"■",""))</f>
        <v/>
      </c>
      <c r="AB198" s="24" t="str">
        <f aca="false">IF($A198="","",IF(AND(AB$2&gt;=09_ガント元データ!$G197,AB$2&lt;=09_ガント元データ!$H197),"■",""))</f>
        <v/>
      </c>
      <c r="AC198" s="24" t="str">
        <f aca="false">IF($A198="","",IF(AND(AC$2&gt;=09_ガント元データ!$G197,AC$2&lt;=09_ガント元データ!$H197),"■",""))</f>
        <v/>
      </c>
      <c r="AD198" s="24" t="str">
        <f aca="false">IF($A198="","",IF(AND(AD$2&gt;=09_ガント元データ!$G197,AD$2&lt;=09_ガント元データ!$H197),"■",""))</f>
        <v/>
      </c>
      <c r="AE198" s="24" t="str">
        <f aca="false">IF($A198="","",IF(AND(AE$2&gt;=09_ガント元データ!$G197,AE$2&lt;=09_ガント元データ!$H197),"■",""))</f>
        <v/>
      </c>
      <c r="AF198" s="24" t="str">
        <f aca="false">IF($A198="","",IF(AND(AF$2&gt;=09_ガント元データ!$G197,AF$2&lt;=09_ガント元データ!$H197),"■",""))</f>
        <v/>
      </c>
      <c r="AG198" s="24" t="str">
        <f aca="false">IF($A198="","",IF(AND(AG$2&gt;=09_ガント元データ!$G197,AG$2&lt;=09_ガント元データ!$H197),"■",""))</f>
        <v/>
      </c>
      <c r="AH198" s="24" t="str">
        <f aca="false">IF($A198="","",IF(AND(AH$2&gt;=09_ガント元データ!$G197,AH$2&lt;=09_ガント元データ!$H197),"■",""))</f>
        <v/>
      </c>
      <c r="AI198" s="24" t="str">
        <f aca="false">IF($A198="","",IF(AND(AI$2&gt;=09_ガント元データ!$G197,AI$2&lt;=09_ガント元データ!$H197),"■",""))</f>
        <v/>
      </c>
      <c r="AJ198" s="24" t="str">
        <f aca="false">IF($A198="","",IF(AND(AJ$2&gt;=09_ガント元データ!$G197,AJ$2&lt;=09_ガント元データ!$H197),"■",""))</f>
        <v/>
      </c>
      <c r="AK198" s="24" t="str">
        <f aca="false">IF($A198="","",IF(AND(AK$2&gt;=09_ガント元データ!$G197,AK$2&lt;=09_ガント元データ!$H197),"■",""))</f>
        <v/>
      </c>
      <c r="AL198" s="24" t="str">
        <f aca="false">IF($A198="","",IF(AND(AL$2&gt;=09_ガント元データ!$G197,AL$2&lt;=09_ガント元データ!$H197),"■",""))</f>
        <v/>
      </c>
      <c r="AM198" s="24" t="str">
        <f aca="false">IF($A198="","",IF(AND(AM$2&gt;=09_ガント元データ!$G197,AM$2&lt;=09_ガント元データ!$H197),"■",""))</f>
        <v/>
      </c>
    </row>
    <row r="199" customFormat="false" ht="15" hidden="false" customHeight="false" outlineLevel="0" collapsed="false">
      <c r="A199" s="22" t="str">
        <f aca="false">09_ガント元データ!A198</f>
        <v/>
      </c>
      <c r="B199" s="22" t="str">
        <f aca="false">09_ガント元データ!B198</f>
        <v/>
      </c>
      <c r="C199" s="23" t="str">
        <f aca="false">09_ガント元データ!C198</f>
        <v/>
      </c>
      <c r="D199" s="24" t="str">
        <f aca="false">IF($A199="","",IF(AND(D$2&gt;=09_ガント元データ!$G198,D$2&lt;=09_ガント元データ!$H198),"■",""))</f>
        <v/>
      </c>
      <c r="E199" s="24" t="str">
        <f aca="false">IF($A199="","",IF(AND(E$2&gt;=09_ガント元データ!$G198,E$2&lt;=09_ガント元データ!$H198),"■",""))</f>
        <v/>
      </c>
      <c r="F199" s="24" t="str">
        <f aca="false">IF($A199="","",IF(AND(F$2&gt;=09_ガント元データ!$G198,F$2&lt;=09_ガント元データ!$H198),"■",""))</f>
        <v/>
      </c>
      <c r="G199" s="24" t="str">
        <f aca="false">IF($A199="","",IF(AND(G$2&gt;=09_ガント元データ!$G198,G$2&lt;=09_ガント元データ!$H198),"■",""))</f>
        <v/>
      </c>
      <c r="H199" s="24" t="str">
        <f aca="false">IF($A199="","",IF(AND(H$2&gt;=09_ガント元データ!$G198,H$2&lt;=09_ガント元データ!$H198),"■",""))</f>
        <v/>
      </c>
      <c r="I199" s="24" t="str">
        <f aca="false">IF($A199="","",IF(AND(I$2&gt;=09_ガント元データ!$G198,I$2&lt;=09_ガント元データ!$H198),"■",""))</f>
        <v/>
      </c>
      <c r="J199" s="24" t="str">
        <f aca="false">IF($A199="","",IF(AND(J$2&gt;=09_ガント元データ!$G198,J$2&lt;=09_ガント元データ!$H198),"■",""))</f>
        <v/>
      </c>
      <c r="K199" s="24" t="str">
        <f aca="false">IF($A199="","",IF(AND(K$2&gt;=09_ガント元データ!$G198,K$2&lt;=09_ガント元データ!$H198),"■",""))</f>
        <v/>
      </c>
      <c r="L199" s="24" t="str">
        <f aca="false">IF($A199="","",IF(AND(L$2&gt;=09_ガント元データ!$G198,L$2&lt;=09_ガント元データ!$H198),"■",""))</f>
        <v/>
      </c>
      <c r="M199" s="24" t="str">
        <f aca="false">IF($A199="","",IF(AND(M$2&gt;=09_ガント元データ!$G198,M$2&lt;=09_ガント元データ!$H198),"■",""))</f>
        <v/>
      </c>
      <c r="N199" s="24" t="str">
        <f aca="false">IF($A199="","",IF(AND(N$2&gt;=09_ガント元データ!$G198,N$2&lt;=09_ガント元データ!$H198),"■",""))</f>
        <v/>
      </c>
      <c r="O199" s="24" t="str">
        <f aca="false">IF($A199="","",IF(AND(O$2&gt;=09_ガント元データ!$G198,O$2&lt;=09_ガント元データ!$H198),"■",""))</f>
        <v/>
      </c>
      <c r="P199" s="24" t="str">
        <f aca="false">IF($A199="","",IF(AND(P$2&gt;=09_ガント元データ!$G198,P$2&lt;=09_ガント元データ!$H198),"■",""))</f>
        <v/>
      </c>
      <c r="Q199" s="24" t="str">
        <f aca="false">IF($A199="","",IF(AND(Q$2&gt;=09_ガント元データ!$G198,Q$2&lt;=09_ガント元データ!$H198),"■",""))</f>
        <v/>
      </c>
      <c r="R199" s="24" t="str">
        <f aca="false">IF($A199="","",IF(AND(R$2&gt;=09_ガント元データ!$G198,R$2&lt;=09_ガント元データ!$H198),"■",""))</f>
        <v/>
      </c>
      <c r="S199" s="24" t="str">
        <f aca="false">IF($A199="","",IF(AND(S$2&gt;=09_ガント元データ!$G198,S$2&lt;=09_ガント元データ!$H198),"■",""))</f>
        <v/>
      </c>
      <c r="T199" s="24" t="str">
        <f aca="false">IF($A199="","",IF(AND(T$2&gt;=09_ガント元データ!$G198,T$2&lt;=09_ガント元データ!$H198),"■",""))</f>
        <v/>
      </c>
      <c r="U199" s="24" t="str">
        <f aca="false">IF($A199="","",IF(AND(U$2&gt;=09_ガント元データ!$G198,U$2&lt;=09_ガント元データ!$H198),"■",""))</f>
        <v/>
      </c>
      <c r="V199" s="24" t="str">
        <f aca="false">IF($A199="","",IF(AND(V$2&gt;=09_ガント元データ!$G198,V$2&lt;=09_ガント元データ!$H198),"■",""))</f>
        <v/>
      </c>
      <c r="W199" s="24" t="str">
        <f aca="false">IF($A199="","",IF(AND(W$2&gt;=09_ガント元データ!$G198,W$2&lt;=09_ガント元データ!$H198),"■",""))</f>
        <v/>
      </c>
      <c r="X199" s="24" t="str">
        <f aca="false">IF($A199="","",IF(AND(X$2&gt;=09_ガント元データ!$G198,X$2&lt;=09_ガント元データ!$H198),"■",""))</f>
        <v/>
      </c>
      <c r="Y199" s="24" t="str">
        <f aca="false">IF($A199="","",IF(AND(Y$2&gt;=09_ガント元データ!$G198,Y$2&lt;=09_ガント元データ!$H198),"■",""))</f>
        <v/>
      </c>
      <c r="Z199" s="24" t="str">
        <f aca="false">IF($A199="","",IF(AND(Z$2&gt;=09_ガント元データ!$G198,Z$2&lt;=09_ガント元データ!$H198),"■",""))</f>
        <v/>
      </c>
      <c r="AA199" s="24" t="str">
        <f aca="false">IF($A199="","",IF(AND(AA$2&gt;=09_ガント元データ!$G198,AA$2&lt;=09_ガント元データ!$H198),"■",""))</f>
        <v/>
      </c>
      <c r="AB199" s="24" t="str">
        <f aca="false">IF($A199="","",IF(AND(AB$2&gt;=09_ガント元データ!$G198,AB$2&lt;=09_ガント元データ!$H198),"■",""))</f>
        <v/>
      </c>
      <c r="AC199" s="24" t="str">
        <f aca="false">IF($A199="","",IF(AND(AC$2&gt;=09_ガント元データ!$G198,AC$2&lt;=09_ガント元データ!$H198),"■",""))</f>
        <v/>
      </c>
      <c r="AD199" s="24" t="str">
        <f aca="false">IF($A199="","",IF(AND(AD$2&gt;=09_ガント元データ!$G198,AD$2&lt;=09_ガント元データ!$H198),"■",""))</f>
        <v/>
      </c>
      <c r="AE199" s="24" t="str">
        <f aca="false">IF($A199="","",IF(AND(AE$2&gt;=09_ガント元データ!$G198,AE$2&lt;=09_ガント元データ!$H198),"■",""))</f>
        <v/>
      </c>
      <c r="AF199" s="24" t="str">
        <f aca="false">IF($A199="","",IF(AND(AF$2&gt;=09_ガント元データ!$G198,AF$2&lt;=09_ガント元データ!$H198),"■",""))</f>
        <v/>
      </c>
      <c r="AG199" s="24" t="str">
        <f aca="false">IF($A199="","",IF(AND(AG$2&gt;=09_ガント元データ!$G198,AG$2&lt;=09_ガント元データ!$H198),"■",""))</f>
        <v/>
      </c>
      <c r="AH199" s="24" t="str">
        <f aca="false">IF($A199="","",IF(AND(AH$2&gt;=09_ガント元データ!$G198,AH$2&lt;=09_ガント元データ!$H198),"■",""))</f>
        <v/>
      </c>
      <c r="AI199" s="24" t="str">
        <f aca="false">IF($A199="","",IF(AND(AI$2&gt;=09_ガント元データ!$G198,AI$2&lt;=09_ガント元データ!$H198),"■",""))</f>
        <v/>
      </c>
      <c r="AJ199" s="24" t="str">
        <f aca="false">IF($A199="","",IF(AND(AJ$2&gt;=09_ガント元データ!$G198,AJ$2&lt;=09_ガント元データ!$H198),"■",""))</f>
        <v/>
      </c>
      <c r="AK199" s="24" t="str">
        <f aca="false">IF($A199="","",IF(AND(AK$2&gt;=09_ガント元データ!$G198,AK$2&lt;=09_ガント元データ!$H198),"■",""))</f>
        <v/>
      </c>
      <c r="AL199" s="24" t="str">
        <f aca="false">IF($A199="","",IF(AND(AL$2&gt;=09_ガント元データ!$G198,AL$2&lt;=09_ガント元データ!$H198),"■",""))</f>
        <v/>
      </c>
      <c r="AM199" s="24" t="str">
        <f aca="false">IF($A199="","",IF(AND(AM$2&gt;=09_ガント元データ!$G198,AM$2&lt;=09_ガント元データ!$H198),"■",""))</f>
        <v/>
      </c>
    </row>
    <row r="200" customFormat="false" ht="15" hidden="false" customHeight="false" outlineLevel="0" collapsed="false">
      <c r="A200" s="22" t="str">
        <f aca="false">09_ガント元データ!A199</f>
        <v/>
      </c>
      <c r="B200" s="22" t="str">
        <f aca="false">09_ガント元データ!B199</f>
        <v/>
      </c>
      <c r="C200" s="23" t="str">
        <f aca="false">09_ガント元データ!C199</f>
        <v/>
      </c>
      <c r="D200" s="24" t="str">
        <f aca="false">IF($A200="","",IF(AND(D$2&gt;=09_ガント元データ!$G199,D$2&lt;=09_ガント元データ!$H199),"■",""))</f>
        <v/>
      </c>
      <c r="E200" s="24" t="str">
        <f aca="false">IF($A200="","",IF(AND(E$2&gt;=09_ガント元データ!$G199,E$2&lt;=09_ガント元データ!$H199),"■",""))</f>
        <v/>
      </c>
      <c r="F200" s="24" t="str">
        <f aca="false">IF($A200="","",IF(AND(F$2&gt;=09_ガント元データ!$G199,F$2&lt;=09_ガント元データ!$H199),"■",""))</f>
        <v/>
      </c>
      <c r="G200" s="24" t="str">
        <f aca="false">IF($A200="","",IF(AND(G$2&gt;=09_ガント元データ!$G199,G$2&lt;=09_ガント元データ!$H199),"■",""))</f>
        <v/>
      </c>
      <c r="H200" s="24" t="str">
        <f aca="false">IF($A200="","",IF(AND(H$2&gt;=09_ガント元データ!$G199,H$2&lt;=09_ガント元データ!$H199),"■",""))</f>
        <v/>
      </c>
      <c r="I200" s="24" t="str">
        <f aca="false">IF($A200="","",IF(AND(I$2&gt;=09_ガント元データ!$G199,I$2&lt;=09_ガント元データ!$H199),"■",""))</f>
        <v/>
      </c>
      <c r="J200" s="24" t="str">
        <f aca="false">IF($A200="","",IF(AND(J$2&gt;=09_ガント元データ!$G199,J$2&lt;=09_ガント元データ!$H199),"■",""))</f>
        <v/>
      </c>
      <c r="K200" s="24" t="str">
        <f aca="false">IF($A200="","",IF(AND(K$2&gt;=09_ガント元データ!$G199,K$2&lt;=09_ガント元データ!$H199),"■",""))</f>
        <v/>
      </c>
      <c r="L200" s="24" t="str">
        <f aca="false">IF($A200="","",IF(AND(L$2&gt;=09_ガント元データ!$G199,L$2&lt;=09_ガント元データ!$H199),"■",""))</f>
        <v/>
      </c>
      <c r="M200" s="24" t="str">
        <f aca="false">IF($A200="","",IF(AND(M$2&gt;=09_ガント元データ!$G199,M$2&lt;=09_ガント元データ!$H199),"■",""))</f>
        <v/>
      </c>
      <c r="N200" s="24" t="str">
        <f aca="false">IF($A200="","",IF(AND(N$2&gt;=09_ガント元データ!$G199,N$2&lt;=09_ガント元データ!$H199),"■",""))</f>
        <v/>
      </c>
      <c r="O200" s="24" t="str">
        <f aca="false">IF($A200="","",IF(AND(O$2&gt;=09_ガント元データ!$G199,O$2&lt;=09_ガント元データ!$H199),"■",""))</f>
        <v/>
      </c>
      <c r="P200" s="24" t="str">
        <f aca="false">IF($A200="","",IF(AND(P$2&gt;=09_ガント元データ!$G199,P$2&lt;=09_ガント元データ!$H199),"■",""))</f>
        <v/>
      </c>
      <c r="Q200" s="24" t="str">
        <f aca="false">IF($A200="","",IF(AND(Q$2&gt;=09_ガント元データ!$G199,Q$2&lt;=09_ガント元データ!$H199),"■",""))</f>
        <v/>
      </c>
      <c r="R200" s="24" t="str">
        <f aca="false">IF($A200="","",IF(AND(R$2&gt;=09_ガント元データ!$G199,R$2&lt;=09_ガント元データ!$H199),"■",""))</f>
        <v/>
      </c>
      <c r="S200" s="24" t="str">
        <f aca="false">IF($A200="","",IF(AND(S$2&gt;=09_ガント元データ!$G199,S$2&lt;=09_ガント元データ!$H199),"■",""))</f>
        <v/>
      </c>
      <c r="T200" s="24" t="str">
        <f aca="false">IF($A200="","",IF(AND(T$2&gt;=09_ガント元データ!$G199,T$2&lt;=09_ガント元データ!$H199),"■",""))</f>
        <v/>
      </c>
      <c r="U200" s="24" t="str">
        <f aca="false">IF($A200="","",IF(AND(U$2&gt;=09_ガント元データ!$G199,U$2&lt;=09_ガント元データ!$H199),"■",""))</f>
        <v/>
      </c>
      <c r="V200" s="24" t="str">
        <f aca="false">IF($A200="","",IF(AND(V$2&gt;=09_ガント元データ!$G199,V$2&lt;=09_ガント元データ!$H199),"■",""))</f>
        <v/>
      </c>
      <c r="W200" s="24" t="str">
        <f aca="false">IF($A200="","",IF(AND(W$2&gt;=09_ガント元データ!$G199,W$2&lt;=09_ガント元データ!$H199),"■",""))</f>
        <v/>
      </c>
      <c r="X200" s="24" t="str">
        <f aca="false">IF($A200="","",IF(AND(X$2&gt;=09_ガント元データ!$G199,X$2&lt;=09_ガント元データ!$H199),"■",""))</f>
        <v/>
      </c>
      <c r="Y200" s="24" t="str">
        <f aca="false">IF($A200="","",IF(AND(Y$2&gt;=09_ガント元データ!$G199,Y$2&lt;=09_ガント元データ!$H199),"■",""))</f>
        <v/>
      </c>
      <c r="Z200" s="24" t="str">
        <f aca="false">IF($A200="","",IF(AND(Z$2&gt;=09_ガント元データ!$G199,Z$2&lt;=09_ガント元データ!$H199),"■",""))</f>
        <v/>
      </c>
      <c r="AA200" s="24" t="str">
        <f aca="false">IF($A200="","",IF(AND(AA$2&gt;=09_ガント元データ!$G199,AA$2&lt;=09_ガント元データ!$H199),"■",""))</f>
        <v/>
      </c>
      <c r="AB200" s="24" t="str">
        <f aca="false">IF($A200="","",IF(AND(AB$2&gt;=09_ガント元データ!$G199,AB$2&lt;=09_ガント元データ!$H199),"■",""))</f>
        <v/>
      </c>
      <c r="AC200" s="24" t="str">
        <f aca="false">IF($A200="","",IF(AND(AC$2&gt;=09_ガント元データ!$G199,AC$2&lt;=09_ガント元データ!$H199),"■",""))</f>
        <v/>
      </c>
      <c r="AD200" s="24" t="str">
        <f aca="false">IF($A200="","",IF(AND(AD$2&gt;=09_ガント元データ!$G199,AD$2&lt;=09_ガント元データ!$H199),"■",""))</f>
        <v/>
      </c>
      <c r="AE200" s="24" t="str">
        <f aca="false">IF($A200="","",IF(AND(AE$2&gt;=09_ガント元データ!$G199,AE$2&lt;=09_ガント元データ!$H199),"■",""))</f>
        <v/>
      </c>
      <c r="AF200" s="24" t="str">
        <f aca="false">IF($A200="","",IF(AND(AF$2&gt;=09_ガント元データ!$G199,AF$2&lt;=09_ガント元データ!$H199),"■",""))</f>
        <v/>
      </c>
      <c r="AG200" s="24" t="str">
        <f aca="false">IF($A200="","",IF(AND(AG$2&gt;=09_ガント元データ!$G199,AG$2&lt;=09_ガント元データ!$H199),"■",""))</f>
        <v/>
      </c>
      <c r="AH200" s="24" t="str">
        <f aca="false">IF($A200="","",IF(AND(AH$2&gt;=09_ガント元データ!$G199,AH$2&lt;=09_ガント元データ!$H199),"■",""))</f>
        <v/>
      </c>
      <c r="AI200" s="24" t="str">
        <f aca="false">IF($A200="","",IF(AND(AI$2&gt;=09_ガント元データ!$G199,AI$2&lt;=09_ガント元データ!$H199),"■",""))</f>
        <v/>
      </c>
      <c r="AJ200" s="24" t="str">
        <f aca="false">IF($A200="","",IF(AND(AJ$2&gt;=09_ガント元データ!$G199,AJ$2&lt;=09_ガント元データ!$H199),"■",""))</f>
        <v/>
      </c>
      <c r="AK200" s="24" t="str">
        <f aca="false">IF($A200="","",IF(AND(AK$2&gt;=09_ガント元データ!$G199,AK$2&lt;=09_ガント元データ!$H199),"■",""))</f>
        <v/>
      </c>
      <c r="AL200" s="24" t="str">
        <f aca="false">IF($A200="","",IF(AND(AL$2&gt;=09_ガント元データ!$G199,AL$2&lt;=09_ガント元データ!$H199),"■",""))</f>
        <v/>
      </c>
      <c r="AM200" s="24" t="str">
        <f aca="false">IF($A200="","",IF(AND(AM$2&gt;=09_ガント元データ!$G199,AM$2&lt;=09_ガント元データ!$H199),"■",""))</f>
        <v/>
      </c>
    </row>
    <row r="201" customFormat="false" ht="15" hidden="false" customHeight="false" outlineLevel="0" collapsed="false">
      <c r="A201" s="22" t="str">
        <f aca="false">09_ガント元データ!A200</f>
        <v/>
      </c>
      <c r="B201" s="22" t="str">
        <f aca="false">09_ガント元データ!B200</f>
        <v/>
      </c>
      <c r="C201" s="23" t="str">
        <f aca="false">09_ガント元データ!C200</f>
        <v/>
      </c>
      <c r="D201" s="24" t="str">
        <f aca="false">IF($A201="","",IF(AND(D$2&gt;=09_ガント元データ!$G200,D$2&lt;=09_ガント元データ!$H200),"■",""))</f>
        <v/>
      </c>
      <c r="E201" s="24" t="str">
        <f aca="false">IF($A201="","",IF(AND(E$2&gt;=09_ガント元データ!$G200,E$2&lt;=09_ガント元データ!$H200),"■",""))</f>
        <v/>
      </c>
      <c r="F201" s="24" t="str">
        <f aca="false">IF($A201="","",IF(AND(F$2&gt;=09_ガント元データ!$G200,F$2&lt;=09_ガント元データ!$H200),"■",""))</f>
        <v/>
      </c>
      <c r="G201" s="24" t="str">
        <f aca="false">IF($A201="","",IF(AND(G$2&gt;=09_ガント元データ!$G200,G$2&lt;=09_ガント元データ!$H200),"■",""))</f>
        <v/>
      </c>
      <c r="H201" s="24" t="str">
        <f aca="false">IF($A201="","",IF(AND(H$2&gt;=09_ガント元データ!$G200,H$2&lt;=09_ガント元データ!$H200),"■",""))</f>
        <v/>
      </c>
      <c r="I201" s="24" t="str">
        <f aca="false">IF($A201="","",IF(AND(I$2&gt;=09_ガント元データ!$G200,I$2&lt;=09_ガント元データ!$H200),"■",""))</f>
        <v/>
      </c>
      <c r="J201" s="24" t="str">
        <f aca="false">IF($A201="","",IF(AND(J$2&gt;=09_ガント元データ!$G200,J$2&lt;=09_ガント元データ!$H200),"■",""))</f>
        <v/>
      </c>
      <c r="K201" s="24" t="str">
        <f aca="false">IF($A201="","",IF(AND(K$2&gt;=09_ガント元データ!$G200,K$2&lt;=09_ガント元データ!$H200),"■",""))</f>
        <v/>
      </c>
      <c r="L201" s="24" t="str">
        <f aca="false">IF($A201="","",IF(AND(L$2&gt;=09_ガント元データ!$G200,L$2&lt;=09_ガント元データ!$H200),"■",""))</f>
        <v/>
      </c>
      <c r="M201" s="24" t="str">
        <f aca="false">IF($A201="","",IF(AND(M$2&gt;=09_ガント元データ!$G200,M$2&lt;=09_ガント元データ!$H200),"■",""))</f>
        <v/>
      </c>
      <c r="N201" s="24" t="str">
        <f aca="false">IF($A201="","",IF(AND(N$2&gt;=09_ガント元データ!$G200,N$2&lt;=09_ガント元データ!$H200),"■",""))</f>
        <v/>
      </c>
      <c r="O201" s="24" t="str">
        <f aca="false">IF($A201="","",IF(AND(O$2&gt;=09_ガント元データ!$G200,O$2&lt;=09_ガント元データ!$H200),"■",""))</f>
        <v/>
      </c>
      <c r="P201" s="24" t="str">
        <f aca="false">IF($A201="","",IF(AND(P$2&gt;=09_ガント元データ!$G200,P$2&lt;=09_ガント元データ!$H200),"■",""))</f>
        <v/>
      </c>
      <c r="Q201" s="24" t="str">
        <f aca="false">IF($A201="","",IF(AND(Q$2&gt;=09_ガント元データ!$G200,Q$2&lt;=09_ガント元データ!$H200),"■",""))</f>
        <v/>
      </c>
      <c r="R201" s="24" t="str">
        <f aca="false">IF($A201="","",IF(AND(R$2&gt;=09_ガント元データ!$G200,R$2&lt;=09_ガント元データ!$H200),"■",""))</f>
        <v/>
      </c>
      <c r="S201" s="24" t="str">
        <f aca="false">IF($A201="","",IF(AND(S$2&gt;=09_ガント元データ!$G200,S$2&lt;=09_ガント元データ!$H200),"■",""))</f>
        <v/>
      </c>
      <c r="T201" s="24" t="str">
        <f aca="false">IF($A201="","",IF(AND(T$2&gt;=09_ガント元データ!$G200,T$2&lt;=09_ガント元データ!$H200),"■",""))</f>
        <v/>
      </c>
      <c r="U201" s="24" t="str">
        <f aca="false">IF($A201="","",IF(AND(U$2&gt;=09_ガント元データ!$G200,U$2&lt;=09_ガント元データ!$H200),"■",""))</f>
        <v/>
      </c>
      <c r="V201" s="24" t="str">
        <f aca="false">IF($A201="","",IF(AND(V$2&gt;=09_ガント元データ!$G200,V$2&lt;=09_ガント元データ!$H200),"■",""))</f>
        <v/>
      </c>
      <c r="W201" s="24" t="str">
        <f aca="false">IF($A201="","",IF(AND(W$2&gt;=09_ガント元データ!$G200,W$2&lt;=09_ガント元データ!$H200),"■",""))</f>
        <v/>
      </c>
      <c r="X201" s="24" t="str">
        <f aca="false">IF($A201="","",IF(AND(X$2&gt;=09_ガント元データ!$G200,X$2&lt;=09_ガント元データ!$H200),"■",""))</f>
        <v/>
      </c>
      <c r="Y201" s="24" t="str">
        <f aca="false">IF($A201="","",IF(AND(Y$2&gt;=09_ガント元データ!$G200,Y$2&lt;=09_ガント元データ!$H200),"■",""))</f>
        <v/>
      </c>
      <c r="Z201" s="24" t="str">
        <f aca="false">IF($A201="","",IF(AND(Z$2&gt;=09_ガント元データ!$G200,Z$2&lt;=09_ガント元データ!$H200),"■",""))</f>
        <v/>
      </c>
      <c r="AA201" s="24" t="str">
        <f aca="false">IF($A201="","",IF(AND(AA$2&gt;=09_ガント元データ!$G200,AA$2&lt;=09_ガント元データ!$H200),"■",""))</f>
        <v/>
      </c>
      <c r="AB201" s="24" t="str">
        <f aca="false">IF($A201="","",IF(AND(AB$2&gt;=09_ガント元データ!$G200,AB$2&lt;=09_ガント元データ!$H200),"■",""))</f>
        <v/>
      </c>
      <c r="AC201" s="24" t="str">
        <f aca="false">IF($A201="","",IF(AND(AC$2&gt;=09_ガント元データ!$G200,AC$2&lt;=09_ガント元データ!$H200),"■",""))</f>
        <v/>
      </c>
      <c r="AD201" s="24" t="str">
        <f aca="false">IF($A201="","",IF(AND(AD$2&gt;=09_ガント元データ!$G200,AD$2&lt;=09_ガント元データ!$H200),"■",""))</f>
        <v/>
      </c>
      <c r="AE201" s="24" t="str">
        <f aca="false">IF($A201="","",IF(AND(AE$2&gt;=09_ガント元データ!$G200,AE$2&lt;=09_ガント元データ!$H200),"■",""))</f>
        <v/>
      </c>
      <c r="AF201" s="24" t="str">
        <f aca="false">IF($A201="","",IF(AND(AF$2&gt;=09_ガント元データ!$G200,AF$2&lt;=09_ガント元データ!$H200),"■",""))</f>
        <v/>
      </c>
      <c r="AG201" s="24" t="str">
        <f aca="false">IF($A201="","",IF(AND(AG$2&gt;=09_ガント元データ!$G200,AG$2&lt;=09_ガント元データ!$H200),"■",""))</f>
        <v/>
      </c>
      <c r="AH201" s="24" t="str">
        <f aca="false">IF($A201="","",IF(AND(AH$2&gt;=09_ガント元データ!$G200,AH$2&lt;=09_ガント元データ!$H200),"■",""))</f>
        <v/>
      </c>
      <c r="AI201" s="24" t="str">
        <f aca="false">IF($A201="","",IF(AND(AI$2&gt;=09_ガント元データ!$G200,AI$2&lt;=09_ガント元データ!$H200),"■",""))</f>
        <v/>
      </c>
      <c r="AJ201" s="24" t="str">
        <f aca="false">IF($A201="","",IF(AND(AJ$2&gt;=09_ガント元データ!$G200,AJ$2&lt;=09_ガント元データ!$H200),"■",""))</f>
        <v/>
      </c>
      <c r="AK201" s="24" t="str">
        <f aca="false">IF($A201="","",IF(AND(AK$2&gt;=09_ガント元データ!$G200,AK$2&lt;=09_ガント元データ!$H200),"■",""))</f>
        <v/>
      </c>
      <c r="AL201" s="24" t="str">
        <f aca="false">IF($A201="","",IF(AND(AL$2&gt;=09_ガント元データ!$G200,AL$2&lt;=09_ガント元データ!$H200),"■",""))</f>
        <v/>
      </c>
      <c r="AM201" s="24" t="str">
        <f aca="false">IF($A201="","",IF(AND(AM$2&gt;=09_ガント元データ!$G200,AM$2&lt;=09_ガント元データ!$H200),"■",""))</f>
        <v/>
      </c>
    </row>
    <row r="202" customFormat="false" ht="15" hidden="false" customHeight="false" outlineLevel="0" collapsed="false">
      <c r="A202" s="22" t="str">
        <f aca="false">09_ガント元データ!A201</f>
        <v/>
      </c>
      <c r="B202" s="22" t="str">
        <f aca="false">09_ガント元データ!B201</f>
        <v/>
      </c>
      <c r="C202" s="23" t="str">
        <f aca="false">09_ガント元データ!C201</f>
        <v/>
      </c>
      <c r="D202" s="24" t="str">
        <f aca="false">IF($A202="","",IF(AND(D$2&gt;=09_ガント元データ!$G201,D$2&lt;=09_ガント元データ!$H201),"■",""))</f>
        <v/>
      </c>
      <c r="E202" s="24" t="str">
        <f aca="false">IF($A202="","",IF(AND(E$2&gt;=09_ガント元データ!$G201,E$2&lt;=09_ガント元データ!$H201),"■",""))</f>
        <v/>
      </c>
      <c r="F202" s="24" t="str">
        <f aca="false">IF($A202="","",IF(AND(F$2&gt;=09_ガント元データ!$G201,F$2&lt;=09_ガント元データ!$H201),"■",""))</f>
        <v/>
      </c>
      <c r="G202" s="24" t="str">
        <f aca="false">IF($A202="","",IF(AND(G$2&gt;=09_ガント元データ!$G201,G$2&lt;=09_ガント元データ!$H201),"■",""))</f>
        <v/>
      </c>
      <c r="H202" s="24" t="str">
        <f aca="false">IF($A202="","",IF(AND(H$2&gt;=09_ガント元データ!$G201,H$2&lt;=09_ガント元データ!$H201),"■",""))</f>
        <v/>
      </c>
      <c r="I202" s="24" t="str">
        <f aca="false">IF($A202="","",IF(AND(I$2&gt;=09_ガント元データ!$G201,I$2&lt;=09_ガント元データ!$H201),"■",""))</f>
        <v/>
      </c>
      <c r="J202" s="24" t="str">
        <f aca="false">IF($A202="","",IF(AND(J$2&gt;=09_ガント元データ!$G201,J$2&lt;=09_ガント元データ!$H201),"■",""))</f>
        <v/>
      </c>
      <c r="K202" s="24" t="str">
        <f aca="false">IF($A202="","",IF(AND(K$2&gt;=09_ガント元データ!$G201,K$2&lt;=09_ガント元データ!$H201),"■",""))</f>
        <v/>
      </c>
      <c r="L202" s="24" t="str">
        <f aca="false">IF($A202="","",IF(AND(L$2&gt;=09_ガント元データ!$G201,L$2&lt;=09_ガント元データ!$H201),"■",""))</f>
        <v/>
      </c>
      <c r="M202" s="24" t="str">
        <f aca="false">IF($A202="","",IF(AND(M$2&gt;=09_ガント元データ!$G201,M$2&lt;=09_ガント元データ!$H201),"■",""))</f>
        <v/>
      </c>
      <c r="N202" s="24" t="str">
        <f aca="false">IF($A202="","",IF(AND(N$2&gt;=09_ガント元データ!$G201,N$2&lt;=09_ガント元データ!$H201),"■",""))</f>
        <v/>
      </c>
      <c r="O202" s="24" t="str">
        <f aca="false">IF($A202="","",IF(AND(O$2&gt;=09_ガント元データ!$G201,O$2&lt;=09_ガント元データ!$H201),"■",""))</f>
        <v/>
      </c>
      <c r="P202" s="24" t="str">
        <f aca="false">IF($A202="","",IF(AND(P$2&gt;=09_ガント元データ!$G201,P$2&lt;=09_ガント元データ!$H201),"■",""))</f>
        <v/>
      </c>
      <c r="Q202" s="24" t="str">
        <f aca="false">IF($A202="","",IF(AND(Q$2&gt;=09_ガント元データ!$G201,Q$2&lt;=09_ガント元データ!$H201),"■",""))</f>
        <v/>
      </c>
      <c r="R202" s="24" t="str">
        <f aca="false">IF($A202="","",IF(AND(R$2&gt;=09_ガント元データ!$G201,R$2&lt;=09_ガント元データ!$H201),"■",""))</f>
        <v/>
      </c>
      <c r="S202" s="24" t="str">
        <f aca="false">IF($A202="","",IF(AND(S$2&gt;=09_ガント元データ!$G201,S$2&lt;=09_ガント元データ!$H201),"■",""))</f>
        <v/>
      </c>
      <c r="T202" s="24" t="str">
        <f aca="false">IF($A202="","",IF(AND(T$2&gt;=09_ガント元データ!$G201,T$2&lt;=09_ガント元データ!$H201),"■",""))</f>
        <v/>
      </c>
      <c r="U202" s="24" t="str">
        <f aca="false">IF($A202="","",IF(AND(U$2&gt;=09_ガント元データ!$G201,U$2&lt;=09_ガント元データ!$H201),"■",""))</f>
        <v/>
      </c>
      <c r="V202" s="24" t="str">
        <f aca="false">IF($A202="","",IF(AND(V$2&gt;=09_ガント元データ!$G201,V$2&lt;=09_ガント元データ!$H201),"■",""))</f>
        <v/>
      </c>
      <c r="W202" s="24" t="str">
        <f aca="false">IF($A202="","",IF(AND(W$2&gt;=09_ガント元データ!$G201,W$2&lt;=09_ガント元データ!$H201),"■",""))</f>
        <v/>
      </c>
      <c r="X202" s="24" t="str">
        <f aca="false">IF($A202="","",IF(AND(X$2&gt;=09_ガント元データ!$G201,X$2&lt;=09_ガント元データ!$H201),"■",""))</f>
        <v/>
      </c>
      <c r="Y202" s="24" t="str">
        <f aca="false">IF($A202="","",IF(AND(Y$2&gt;=09_ガント元データ!$G201,Y$2&lt;=09_ガント元データ!$H201),"■",""))</f>
        <v/>
      </c>
      <c r="Z202" s="24" t="str">
        <f aca="false">IF($A202="","",IF(AND(Z$2&gt;=09_ガント元データ!$G201,Z$2&lt;=09_ガント元データ!$H201),"■",""))</f>
        <v/>
      </c>
      <c r="AA202" s="24" t="str">
        <f aca="false">IF($A202="","",IF(AND(AA$2&gt;=09_ガント元データ!$G201,AA$2&lt;=09_ガント元データ!$H201),"■",""))</f>
        <v/>
      </c>
      <c r="AB202" s="24" t="str">
        <f aca="false">IF($A202="","",IF(AND(AB$2&gt;=09_ガント元データ!$G201,AB$2&lt;=09_ガント元データ!$H201),"■",""))</f>
        <v/>
      </c>
      <c r="AC202" s="24" t="str">
        <f aca="false">IF($A202="","",IF(AND(AC$2&gt;=09_ガント元データ!$G201,AC$2&lt;=09_ガント元データ!$H201),"■",""))</f>
        <v/>
      </c>
      <c r="AD202" s="24" t="str">
        <f aca="false">IF($A202="","",IF(AND(AD$2&gt;=09_ガント元データ!$G201,AD$2&lt;=09_ガント元データ!$H201),"■",""))</f>
        <v/>
      </c>
      <c r="AE202" s="24" t="str">
        <f aca="false">IF($A202="","",IF(AND(AE$2&gt;=09_ガント元データ!$G201,AE$2&lt;=09_ガント元データ!$H201),"■",""))</f>
        <v/>
      </c>
      <c r="AF202" s="24" t="str">
        <f aca="false">IF($A202="","",IF(AND(AF$2&gt;=09_ガント元データ!$G201,AF$2&lt;=09_ガント元データ!$H201),"■",""))</f>
        <v/>
      </c>
      <c r="AG202" s="24" t="str">
        <f aca="false">IF($A202="","",IF(AND(AG$2&gt;=09_ガント元データ!$G201,AG$2&lt;=09_ガント元データ!$H201),"■",""))</f>
        <v/>
      </c>
      <c r="AH202" s="24" t="str">
        <f aca="false">IF($A202="","",IF(AND(AH$2&gt;=09_ガント元データ!$G201,AH$2&lt;=09_ガント元データ!$H201),"■",""))</f>
        <v/>
      </c>
      <c r="AI202" s="24" t="str">
        <f aca="false">IF($A202="","",IF(AND(AI$2&gt;=09_ガント元データ!$G201,AI$2&lt;=09_ガント元データ!$H201),"■",""))</f>
        <v/>
      </c>
      <c r="AJ202" s="24" t="str">
        <f aca="false">IF($A202="","",IF(AND(AJ$2&gt;=09_ガント元データ!$G201,AJ$2&lt;=09_ガント元データ!$H201),"■",""))</f>
        <v/>
      </c>
      <c r="AK202" s="24" t="str">
        <f aca="false">IF($A202="","",IF(AND(AK$2&gt;=09_ガント元データ!$G201,AK$2&lt;=09_ガント元データ!$H201),"■",""))</f>
        <v/>
      </c>
      <c r="AL202" s="24" t="str">
        <f aca="false">IF($A202="","",IF(AND(AL$2&gt;=09_ガント元データ!$G201,AL$2&lt;=09_ガント元データ!$H201),"■",""))</f>
        <v/>
      </c>
      <c r="AM202" s="24" t="str">
        <f aca="false">IF($A202="","",IF(AND(AM$2&gt;=09_ガント元データ!$G201,AM$2&lt;=09_ガント元データ!$H201),"■",""))</f>
        <v/>
      </c>
    </row>
    <row r="203" customFormat="false" ht="15" hidden="false" customHeight="false" outlineLevel="0" collapsed="false">
      <c r="A203" s="22" t="str">
        <f aca="false">09_ガント元データ!A202</f>
        <v/>
      </c>
      <c r="B203" s="22" t="str">
        <f aca="false">09_ガント元データ!B202</f>
        <v/>
      </c>
      <c r="C203" s="23" t="str">
        <f aca="false">09_ガント元データ!C202</f>
        <v/>
      </c>
      <c r="D203" s="24" t="str">
        <f aca="false">IF($A203="","",IF(AND(D$2&gt;=09_ガント元データ!$G202,D$2&lt;=09_ガント元データ!$H202),"■",""))</f>
        <v/>
      </c>
      <c r="E203" s="24" t="str">
        <f aca="false">IF($A203="","",IF(AND(E$2&gt;=09_ガント元データ!$G202,E$2&lt;=09_ガント元データ!$H202),"■",""))</f>
        <v/>
      </c>
      <c r="F203" s="24" t="str">
        <f aca="false">IF($A203="","",IF(AND(F$2&gt;=09_ガント元データ!$G202,F$2&lt;=09_ガント元データ!$H202),"■",""))</f>
        <v/>
      </c>
      <c r="G203" s="24" t="str">
        <f aca="false">IF($A203="","",IF(AND(G$2&gt;=09_ガント元データ!$G202,G$2&lt;=09_ガント元データ!$H202),"■",""))</f>
        <v/>
      </c>
      <c r="H203" s="24" t="str">
        <f aca="false">IF($A203="","",IF(AND(H$2&gt;=09_ガント元データ!$G202,H$2&lt;=09_ガント元データ!$H202),"■",""))</f>
        <v/>
      </c>
      <c r="I203" s="24" t="str">
        <f aca="false">IF($A203="","",IF(AND(I$2&gt;=09_ガント元データ!$G202,I$2&lt;=09_ガント元データ!$H202),"■",""))</f>
        <v/>
      </c>
      <c r="J203" s="24" t="str">
        <f aca="false">IF($A203="","",IF(AND(J$2&gt;=09_ガント元データ!$G202,J$2&lt;=09_ガント元データ!$H202),"■",""))</f>
        <v/>
      </c>
      <c r="K203" s="24" t="str">
        <f aca="false">IF($A203="","",IF(AND(K$2&gt;=09_ガント元データ!$G202,K$2&lt;=09_ガント元データ!$H202),"■",""))</f>
        <v/>
      </c>
      <c r="L203" s="24" t="str">
        <f aca="false">IF($A203="","",IF(AND(L$2&gt;=09_ガント元データ!$G202,L$2&lt;=09_ガント元データ!$H202),"■",""))</f>
        <v/>
      </c>
      <c r="M203" s="24" t="str">
        <f aca="false">IF($A203="","",IF(AND(M$2&gt;=09_ガント元データ!$G202,M$2&lt;=09_ガント元データ!$H202),"■",""))</f>
        <v/>
      </c>
      <c r="N203" s="24" t="str">
        <f aca="false">IF($A203="","",IF(AND(N$2&gt;=09_ガント元データ!$G202,N$2&lt;=09_ガント元データ!$H202),"■",""))</f>
        <v/>
      </c>
      <c r="O203" s="24" t="str">
        <f aca="false">IF($A203="","",IF(AND(O$2&gt;=09_ガント元データ!$G202,O$2&lt;=09_ガント元データ!$H202),"■",""))</f>
        <v/>
      </c>
      <c r="P203" s="24" t="str">
        <f aca="false">IF($A203="","",IF(AND(P$2&gt;=09_ガント元データ!$G202,P$2&lt;=09_ガント元データ!$H202),"■",""))</f>
        <v/>
      </c>
      <c r="Q203" s="24" t="str">
        <f aca="false">IF($A203="","",IF(AND(Q$2&gt;=09_ガント元データ!$G202,Q$2&lt;=09_ガント元データ!$H202),"■",""))</f>
        <v/>
      </c>
      <c r="R203" s="24" t="str">
        <f aca="false">IF($A203="","",IF(AND(R$2&gt;=09_ガント元データ!$G202,R$2&lt;=09_ガント元データ!$H202),"■",""))</f>
        <v/>
      </c>
      <c r="S203" s="24" t="str">
        <f aca="false">IF($A203="","",IF(AND(S$2&gt;=09_ガント元データ!$G202,S$2&lt;=09_ガント元データ!$H202),"■",""))</f>
        <v/>
      </c>
      <c r="T203" s="24" t="str">
        <f aca="false">IF($A203="","",IF(AND(T$2&gt;=09_ガント元データ!$G202,T$2&lt;=09_ガント元データ!$H202),"■",""))</f>
        <v/>
      </c>
      <c r="U203" s="24" t="str">
        <f aca="false">IF($A203="","",IF(AND(U$2&gt;=09_ガント元データ!$G202,U$2&lt;=09_ガント元データ!$H202),"■",""))</f>
        <v/>
      </c>
      <c r="V203" s="24" t="str">
        <f aca="false">IF($A203="","",IF(AND(V$2&gt;=09_ガント元データ!$G202,V$2&lt;=09_ガント元データ!$H202),"■",""))</f>
        <v/>
      </c>
      <c r="W203" s="24" t="str">
        <f aca="false">IF($A203="","",IF(AND(W$2&gt;=09_ガント元データ!$G202,W$2&lt;=09_ガント元データ!$H202),"■",""))</f>
        <v/>
      </c>
      <c r="X203" s="24" t="str">
        <f aca="false">IF($A203="","",IF(AND(X$2&gt;=09_ガント元データ!$G202,X$2&lt;=09_ガント元データ!$H202),"■",""))</f>
        <v/>
      </c>
      <c r="Y203" s="24" t="str">
        <f aca="false">IF($A203="","",IF(AND(Y$2&gt;=09_ガント元データ!$G202,Y$2&lt;=09_ガント元データ!$H202),"■",""))</f>
        <v/>
      </c>
      <c r="Z203" s="24" t="str">
        <f aca="false">IF($A203="","",IF(AND(Z$2&gt;=09_ガント元データ!$G202,Z$2&lt;=09_ガント元データ!$H202),"■",""))</f>
        <v/>
      </c>
      <c r="AA203" s="24" t="str">
        <f aca="false">IF($A203="","",IF(AND(AA$2&gt;=09_ガント元データ!$G202,AA$2&lt;=09_ガント元データ!$H202),"■",""))</f>
        <v/>
      </c>
      <c r="AB203" s="24" t="str">
        <f aca="false">IF($A203="","",IF(AND(AB$2&gt;=09_ガント元データ!$G202,AB$2&lt;=09_ガント元データ!$H202),"■",""))</f>
        <v/>
      </c>
      <c r="AC203" s="24" t="str">
        <f aca="false">IF($A203="","",IF(AND(AC$2&gt;=09_ガント元データ!$G202,AC$2&lt;=09_ガント元データ!$H202),"■",""))</f>
        <v/>
      </c>
      <c r="AD203" s="24" t="str">
        <f aca="false">IF($A203="","",IF(AND(AD$2&gt;=09_ガント元データ!$G202,AD$2&lt;=09_ガント元データ!$H202),"■",""))</f>
        <v/>
      </c>
      <c r="AE203" s="24" t="str">
        <f aca="false">IF($A203="","",IF(AND(AE$2&gt;=09_ガント元データ!$G202,AE$2&lt;=09_ガント元データ!$H202),"■",""))</f>
        <v/>
      </c>
      <c r="AF203" s="24" t="str">
        <f aca="false">IF($A203="","",IF(AND(AF$2&gt;=09_ガント元データ!$G202,AF$2&lt;=09_ガント元データ!$H202),"■",""))</f>
        <v/>
      </c>
      <c r="AG203" s="24" t="str">
        <f aca="false">IF($A203="","",IF(AND(AG$2&gt;=09_ガント元データ!$G202,AG$2&lt;=09_ガント元データ!$H202),"■",""))</f>
        <v/>
      </c>
      <c r="AH203" s="24" t="str">
        <f aca="false">IF($A203="","",IF(AND(AH$2&gt;=09_ガント元データ!$G202,AH$2&lt;=09_ガント元データ!$H202),"■",""))</f>
        <v/>
      </c>
      <c r="AI203" s="24" t="str">
        <f aca="false">IF($A203="","",IF(AND(AI$2&gt;=09_ガント元データ!$G202,AI$2&lt;=09_ガント元データ!$H202),"■",""))</f>
        <v/>
      </c>
      <c r="AJ203" s="24" t="str">
        <f aca="false">IF($A203="","",IF(AND(AJ$2&gt;=09_ガント元データ!$G202,AJ$2&lt;=09_ガント元データ!$H202),"■",""))</f>
        <v/>
      </c>
      <c r="AK203" s="24" t="str">
        <f aca="false">IF($A203="","",IF(AND(AK$2&gt;=09_ガント元データ!$G202,AK$2&lt;=09_ガント元データ!$H202),"■",""))</f>
        <v/>
      </c>
      <c r="AL203" s="24" t="str">
        <f aca="false">IF($A203="","",IF(AND(AL$2&gt;=09_ガント元データ!$G202,AL$2&lt;=09_ガント元データ!$H202),"■",""))</f>
        <v/>
      </c>
      <c r="AM203" s="24" t="str">
        <f aca="false">IF($A203="","",IF(AND(AM$2&gt;=09_ガント元データ!$G202,AM$2&lt;=09_ガント元データ!$H202),"■",""))</f>
        <v/>
      </c>
    </row>
    <row r="204" customFormat="false" ht="15" hidden="false" customHeight="false" outlineLevel="0" collapsed="false">
      <c r="A204" s="22" t="str">
        <f aca="false">09_ガント元データ!A203</f>
        <v/>
      </c>
      <c r="B204" s="22" t="str">
        <f aca="false">09_ガント元データ!B203</f>
        <v/>
      </c>
      <c r="C204" s="23" t="str">
        <f aca="false">09_ガント元データ!C203</f>
        <v/>
      </c>
      <c r="D204" s="24" t="str">
        <f aca="false">IF($A204="","",IF(AND(D$2&gt;=09_ガント元データ!$G203,D$2&lt;=09_ガント元データ!$H203),"■",""))</f>
        <v/>
      </c>
      <c r="E204" s="24" t="str">
        <f aca="false">IF($A204="","",IF(AND(E$2&gt;=09_ガント元データ!$G203,E$2&lt;=09_ガント元データ!$H203),"■",""))</f>
        <v/>
      </c>
      <c r="F204" s="24" t="str">
        <f aca="false">IF($A204="","",IF(AND(F$2&gt;=09_ガント元データ!$G203,F$2&lt;=09_ガント元データ!$H203),"■",""))</f>
        <v/>
      </c>
      <c r="G204" s="24" t="str">
        <f aca="false">IF($A204="","",IF(AND(G$2&gt;=09_ガント元データ!$G203,G$2&lt;=09_ガント元データ!$H203),"■",""))</f>
        <v/>
      </c>
      <c r="H204" s="24" t="str">
        <f aca="false">IF($A204="","",IF(AND(H$2&gt;=09_ガント元データ!$G203,H$2&lt;=09_ガント元データ!$H203),"■",""))</f>
        <v/>
      </c>
      <c r="I204" s="24" t="str">
        <f aca="false">IF($A204="","",IF(AND(I$2&gt;=09_ガント元データ!$G203,I$2&lt;=09_ガント元データ!$H203),"■",""))</f>
        <v/>
      </c>
      <c r="J204" s="24" t="str">
        <f aca="false">IF($A204="","",IF(AND(J$2&gt;=09_ガント元データ!$G203,J$2&lt;=09_ガント元データ!$H203),"■",""))</f>
        <v/>
      </c>
      <c r="K204" s="24" t="str">
        <f aca="false">IF($A204="","",IF(AND(K$2&gt;=09_ガント元データ!$G203,K$2&lt;=09_ガント元データ!$H203),"■",""))</f>
        <v/>
      </c>
      <c r="L204" s="24" t="str">
        <f aca="false">IF($A204="","",IF(AND(L$2&gt;=09_ガント元データ!$G203,L$2&lt;=09_ガント元データ!$H203),"■",""))</f>
        <v/>
      </c>
      <c r="M204" s="24" t="str">
        <f aca="false">IF($A204="","",IF(AND(M$2&gt;=09_ガント元データ!$G203,M$2&lt;=09_ガント元データ!$H203),"■",""))</f>
        <v/>
      </c>
      <c r="N204" s="24" t="str">
        <f aca="false">IF($A204="","",IF(AND(N$2&gt;=09_ガント元データ!$G203,N$2&lt;=09_ガント元データ!$H203),"■",""))</f>
        <v/>
      </c>
      <c r="O204" s="24" t="str">
        <f aca="false">IF($A204="","",IF(AND(O$2&gt;=09_ガント元データ!$G203,O$2&lt;=09_ガント元データ!$H203),"■",""))</f>
        <v/>
      </c>
      <c r="P204" s="24" t="str">
        <f aca="false">IF($A204="","",IF(AND(P$2&gt;=09_ガント元データ!$G203,P$2&lt;=09_ガント元データ!$H203),"■",""))</f>
        <v/>
      </c>
      <c r="Q204" s="24" t="str">
        <f aca="false">IF($A204="","",IF(AND(Q$2&gt;=09_ガント元データ!$G203,Q$2&lt;=09_ガント元データ!$H203),"■",""))</f>
        <v/>
      </c>
      <c r="R204" s="24" t="str">
        <f aca="false">IF($A204="","",IF(AND(R$2&gt;=09_ガント元データ!$G203,R$2&lt;=09_ガント元データ!$H203),"■",""))</f>
        <v/>
      </c>
      <c r="S204" s="24" t="str">
        <f aca="false">IF($A204="","",IF(AND(S$2&gt;=09_ガント元データ!$G203,S$2&lt;=09_ガント元データ!$H203),"■",""))</f>
        <v/>
      </c>
      <c r="T204" s="24" t="str">
        <f aca="false">IF($A204="","",IF(AND(T$2&gt;=09_ガント元データ!$G203,T$2&lt;=09_ガント元データ!$H203),"■",""))</f>
        <v/>
      </c>
      <c r="U204" s="24" t="str">
        <f aca="false">IF($A204="","",IF(AND(U$2&gt;=09_ガント元データ!$G203,U$2&lt;=09_ガント元データ!$H203),"■",""))</f>
        <v/>
      </c>
      <c r="V204" s="24" t="str">
        <f aca="false">IF($A204="","",IF(AND(V$2&gt;=09_ガント元データ!$G203,V$2&lt;=09_ガント元データ!$H203),"■",""))</f>
        <v/>
      </c>
      <c r="W204" s="24" t="str">
        <f aca="false">IF($A204="","",IF(AND(W$2&gt;=09_ガント元データ!$G203,W$2&lt;=09_ガント元データ!$H203),"■",""))</f>
        <v/>
      </c>
      <c r="X204" s="24" t="str">
        <f aca="false">IF($A204="","",IF(AND(X$2&gt;=09_ガント元データ!$G203,X$2&lt;=09_ガント元データ!$H203),"■",""))</f>
        <v/>
      </c>
      <c r="Y204" s="24" t="str">
        <f aca="false">IF($A204="","",IF(AND(Y$2&gt;=09_ガント元データ!$G203,Y$2&lt;=09_ガント元データ!$H203),"■",""))</f>
        <v/>
      </c>
      <c r="Z204" s="24" t="str">
        <f aca="false">IF($A204="","",IF(AND(Z$2&gt;=09_ガント元データ!$G203,Z$2&lt;=09_ガント元データ!$H203),"■",""))</f>
        <v/>
      </c>
      <c r="AA204" s="24" t="str">
        <f aca="false">IF($A204="","",IF(AND(AA$2&gt;=09_ガント元データ!$G203,AA$2&lt;=09_ガント元データ!$H203),"■",""))</f>
        <v/>
      </c>
      <c r="AB204" s="24" t="str">
        <f aca="false">IF($A204="","",IF(AND(AB$2&gt;=09_ガント元データ!$G203,AB$2&lt;=09_ガント元データ!$H203),"■",""))</f>
        <v/>
      </c>
      <c r="AC204" s="24" t="str">
        <f aca="false">IF($A204="","",IF(AND(AC$2&gt;=09_ガント元データ!$G203,AC$2&lt;=09_ガント元データ!$H203),"■",""))</f>
        <v/>
      </c>
      <c r="AD204" s="24" t="str">
        <f aca="false">IF($A204="","",IF(AND(AD$2&gt;=09_ガント元データ!$G203,AD$2&lt;=09_ガント元データ!$H203),"■",""))</f>
        <v/>
      </c>
      <c r="AE204" s="24" t="str">
        <f aca="false">IF($A204="","",IF(AND(AE$2&gt;=09_ガント元データ!$G203,AE$2&lt;=09_ガント元データ!$H203),"■",""))</f>
        <v/>
      </c>
      <c r="AF204" s="24" t="str">
        <f aca="false">IF($A204="","",IF(AND(AF$2&gt;=09_ガント元データ!$G203,AF$2&lt;=09_ガント元データ!$H203),"■",""))</f>
        <v/>
      </c>
      <c r="AG204" s="24" t="str">
        <f aca="false">IF($A204="","",IF(AND(AG$2&gt;=09_ガント元データ!$G203,AG$2&lt;=09_ガント元データ!$H203),"■",""))</f>
        <v/>
      </c>
      <c r="AH204" s="24" t="str">
        <f aca="false">IF($A204="","",IF(AND(AH$2&gt;=09_ガント元データ!$G203,AH$2&lt;=09_ガント元データ!$H203),"■",""))</f>
        <v/>
      </c>
      <c r="AI204" s="24" t="str">
        <f aca="false">IF($A204="","",IF(AND(AI$2&gt;=09_ガント元データ!$G203,AI$2&lt;=09_ガント元データ!$H203),"■",""))</f>
        <v/>
      </c>
      <c r="AJ204" s="24" t="str">
        <f aca="false">IF($A204="","",IF(AND(AJ$2&gt;=09_ガント元データ!$G203,AJ$2&lt;=09_ガント元データ!$H203),"■",""))</f>
        <v/>
      </c>
      <c r="AK204" s="24" t="str">
        <f aca="false">IF($A204="","",IF(AND(AK$2&gt;=09_ガント元データ!$G203,AK$2&lt;=09_ガント元データ!$H203),"■",""))</f>
        <v/>
      </c>
      <c r="AL204" s="24" t="str">
        <f aca="false">IF($A204="","",IF(AND(AL$2&gt;=09_ガント元データ!$G203,AL$2&lt;=09_ガント元データ!$H203),"■",""))</f>
        <v/>
      </c>
      <c r="AM204" s="24" t="str">
        <f aca="false">IF($A204="","",IF(AND(AM$2&gt;=09_ガント元データ!$G203,AM$2&lt;=09_ガント元データ!$H203),"■",""))</f>
        <v/>
      </c>
    </row>
    <row r="205" customFormat="false" ht="15" hidden="false" customHeight="false" outlineLevel="0" collapsed="false">
      <c r="A205" s="22" t="str">
        <f aca="false">09_ガント元データ!A204</f>
        <v/>
      </c>
      <c r="B205" s="22" t="str">
        <f aca="false">09_ガント元データ!B204</f>
        <v/>
      </c>
      <c r="C205" s="23" t="str">
        <f aca="false">09_ガント元データ!C204</f>
        <v/>
      </c>
      <c r="D205" s="24" t="str">
        <f aca="false">IF($A205="","",IF(AND(D$2&gt;=09_ガント元データ!$G204,D$2&lt;=09_ガント元データ!$H204),"■",""))</f>
        <v/>
      </c>
      <c r="E205" s="24" t="str">
        <f aca="false">IF($A205="","",IF(AND(E$2&gt;=09_ガント元データ!$G204,E$2&lt;=09_ガント元データ!$H204),"■",""))</f>
        <v/>
      </c>
      <c r="F205" s="24" t="str">
        <f aca="false">IF($A205="","",IF(AND(F$2&gt;=09_ガント元データ!$G204,F$2&lt;=09_ガント元データ!$H204),"■",""))</f>
        <v/>
      </c>
      <c r="G205" s="24" t="str">
        <f aca="false">IF($A205="","",IF(AND(G$2&gt;=09_ガント元データ!$G204,G$2&lt;=09_ガント元データ!$H204),"■",""))</f>
        <v/>
      </c>
      <c r="H205" s="24" t="str">
        <f aca="false">IF($A205="","",IF(AND(H$2&gt;=09_ガント元データ!$G204,H$2&lt;=09_ガント元データ!$H204),"■",""))</f>
        <v/>
      </c>
      <c r="I205" s="24" t="str">
        <f aca="false">IF($A205="","",IF(AND(I$2&gt;=09_ガント元データ!$G204,I$2&lt;=09_ガント元データ!$H204),"■",""))</f>
        <v/>
      </c>
      <c r="J205" s="24" t="str">
        <f aca="false">IF($A205="","",IF(AND(J$2&gt;=09_ガント元データ!$G204,J$2&lt;=09_ガント元データ!$H204),"■",""))</f>
        <v/>
      </c>
      <c r="K205" s="24" t="str">
        <f aca="false">IF($A205="","",IF(AND(K$2&gt;=09_ガント元データ!$G204,K$2&lt;=09_ガント元データ!$H204),"■",""))</f>
        <v/>
      </c>
      <c r="L205" s="24" t="str">
        <f aca="false">IF($A205="","",IF(AND(L$2&gt;=09_ガント元データ!$G204,L$2&lt;=09_ガント元データ!$H204),"■",""))</f>
        <v/>
      </c>
      <c r="M205" s="24" t="str">
        <f aca="false">IF($A205="","",IF(AND(M$2&gt;=09_ガント元データ!$G204,M$2&lt;=09_ガント元データ!$H204),"■",""))</f>
        <v/>
      </c>
      <c r="N205" s="24" t="str">
        <f aca="false">IF($A205="","",IF(AND(N$2&gt;=09_ガント元データ!$G204,N$2&lt;=09_ガント元データ!$H204),"■",""))</f>
        <v/>
      </c>
      <c r="O205" s="24" t="str">
        <f aca="false">IF($A205="","",IF(AND(O$2&gt;=09_ガント元データ!$G204,O$2&lt;=09_ガント元データ!$H204),"■",""))</f>
        <v/>
      </c>
      <c r="P205" s="24" t="str">
        <f aca="false">IF($A205="","",IF(AND(P$2&gt;=09_ガント元データ!$G204,P$2&lt;=09_ガント元データ!$H204),"■",""))</f>
        <v/>
      </c>
      <c r="Q205" s="24" t="str">
        <f aca="false">IF($A205="","",IF(AND(Q$2&gt;=09_ガント元データ!$G204,Q$2&lt;=09_ガント元データ!$H204),"■",""))</f>
        <v/>
      </c>
      <c r="R205" s="24" t="str">
        <f aca="false">IF($A205="","",IF(AND(R$2&gt;=09_ガント元データ!$G204,R$2&lt;=09_ガント元データ!$H204),"■",""))</f>
        <v/>
      </c>
      <c r="S205" s="24" t="str">
        <f aca="false">IF($A205="","",IF(AND(S$2&gt;=09_ガント元データ!$G204,S$2&lt;=09_ガント元データ!$H204),"■",""))</f>
        <v/>
      </c>
      <c r="T205" s="24" t="str">
        <f aca="false">IF($A205="","",IF(AND(T$2&gt;=09_ガント元データ!$G204,T$2&lt;=09_ガント元データ!$H204),"■",""))</f>
        <v/>
      </c>
      <c r="U205" s="24" t="str">
        <f aca="false">IF($A205="","",IF(AND(U$2&gt;=09_ガント元データ!$G204,U$2&lt;=09_ガント元データ!$H204),"■",""))</f>
        <v/>
      </c>
      <c r="V205" s="24" t="str">
        <f aca="false">IF($A205="","",IF(AND(V$2&gt;=09_ガント元データ!$G204,V$2&lt;=09_ガント元データ!$H204),"■",""))</f>
        <v/>
      </c>
      <c r="W205" s="24" t="str">
        <f aca="false">IF($A205="","",IF(AND(W$2&gt;=09_ガント元データ!$G204,W$2&lt;=09_ガント元データ!$H204),"■",""))</f>
        <v/>
      </c>
      <c r="X205" s="24" t="str">
        <f aca="false">IF($A205="","",IF(AND(X$2&gt;=09_ガント元データ!$G204,X$2&lt;=09_ガント元データ!$H204),"■",""))</f>
        <v/>
      </c>
      <c r="Y205" s="24" t="str">
        <f aca="false">IF($A205="","",IF(AND(Y$2&gt;=09_ガント元データ!$G204,Y$2&lt;=09_ガント元データ!$H204),"■",""))</f>
        <v/>
      </c>
      <c r="Z205" s="24" t="str">
        <f aca="false">IF($A205="","",IF(AND(Z$2&gt;=09_ガント元データ!$G204,Z$2&lt;=09_ガント元データ!$H204),"■",""))</f>
        <v/>
      </c>
      <c r="AA205" s="24" t="str">
        <f aca="false">IF($A205="","",IF(AND(AA$2&gt;=09_ガント元データ!$G204,AA$2&lt;=09_ガント元データ!$H204),"■",""))</f>
        <v/>
      </c>
      <c r="AB205" s="24" t="str">
        <f aca="false">IF($A205="","",IF(AND(AB$2&gt;=09_ガント元データ!$G204,AB$2&lt;=09_ガント元データ!$H204),"■",""))</f>
        <v/>
      </c>
      <c r="AC205" s="24" t="str">
        <f aca="false">IF($A205="","",IF(AND(AC$2&gt;=09_ガント元データ!$G204,AC$2&lt;=09_ガント元データ!$H204),"■",""))</f>
        <v/>
      </c>
      <c r="AD205" s="24" t="str">
        <f aca="false">IF($A205="","",IF(AND(AD$2&gt;=09_ガント元データ!$G204,AD$2&lt;=09_ガント元データ!$H204),"■",""))</f>
        <v/>
      </c>
      <c r="AE205" s="24" t="str">
        <f aca="false">IF($A205="","",IF(AND(AE$2&gt;=09_ガント元データ!$G204,AE$2&lt;=09_ガント元データ!$H204),"■",""))</f>
        <v/>
      </c>
      <c r="AF205" s="24" t="str">
        <f aca="false">IF($A205="","",IF(AND(AF$2&gt;=09_ガント元データ!$G204,AF$2&lt;=09_ガント元データ!$H204),"■",""))</f>
        <v/>
      </c>
      <c r="AG205" s="24" t="str">
        <f aca="false">IF($A205="","",IF(AND(AG$2&gt;=09_ガント元データ!$G204,AG$2&lt;=09_ガント元データ!$H204),"■",""))</f>
        <v/>
      </c>
      <c r="AH205" s="24" t="str">
        <f aca="false">IF($A205="","",IF(AND(AH$2&gt;=09_ガント元データ!$G204,AH$2&lt;=09_ガント元データ!$H204),"■",""))</f>
        <v/>
      </c>
      <c r="AI205" s="24" t="str">
        <f aca="false">IF($A205="","",IF(AND(AI$2&gt;=09_ガント元データ!$G204,AI$2&lt;=09_ガント元データ!$H204),"■",""))</f>
        <v/>
      </c>
      <c r="AJ205" s="24" t="str">
        <f aca="false">IF($A205="","",IF(AND(AJ$2&gt;=09_ガント元データ!$G204,AJ$2&lt;=09_ガント元データ!$H204),"■",""))</f>
        <v/>
      </c>
      <c r="AK205" s="24" t="str">
        <f aca="false">IF($A205="","",IF(AND(AK$2&gt;=09_ガント元データ!$G204,AK$2&lt;=09_ガント元データ!$H204),"■",""))</f>
        <v/>
      </c>
      <c r="AL205" s="24" t="str">
        <f aca="false">IF($A205="","",IF(AND(AL$2&gt;=09_ガント元データ!$G204,AL$2&lt;=09_ガント元データ!$H204),"■",""))</f>
        <v/>
      </c>
      <c r="AM205" s="24" t="str">
        <f aca="false">IF($A205="","",IF(AND(AM$2&gt;=09_ガント元データ!$G204,AM$2&lt;=09_ガント元データ!$H204),"■",""))</f>
        <v/>
      </c>
    </row>
    <row r="206" customFormat="false" ht="15" hidden="false" customHeight="false" outlineLevel="0" collapsed="false">
      <c r="A206" s="22" t="str">
        <f aca="false">09_ガント元データ!A205</f>
        <v/>
      </c>
      <c r="B206" s="22" t="str">
        <f aca="false">09_ガント元データ!B205</f>
        <v/>
      </c>
      <c r="C206" s="23" t="str">
        <f aca="false">09_ガント元データ!C205</f>
        <v/>
      </c>
      <c r="D206" s="24" t="str">
        <f aca="false">IF($A206="","",IF(AND(D$2&gt;=09_ガント元データ!$G205,D$2&lt;=09_ガント元データ!$H205),"■",""))</f>
        <v/>
      </c>
      <c r="E206" s="24" t="str">
        <f aca="false">IF($A206="","",IF(AND(E$2&gt;=09_ガント元データ!$G205,E$2&lt;=09_ガント元データ!$H205),"■",""))</f>
        <v/>
      </c>
      <c r="F206" s="24" t="str">
        <f aca="false">IF($A206="","",IF(AND(F$2&gt;=09_ガント元データ!$G205,F$2&lt;=09_ガント元データ!$H205),"■",""))</f>
        <v/>
      </c>
      <c r="G206" s="24" t="str">
        <f aca="false">IF($A206="","",IF(AND(G$2&gt;=09_ガント元データ!$G205,G$2&lt;=09_ガント元データ!$H205),"■",""))</f>
        <v/>
      </c>
      <c r="H206" s="24" t="str">
        <f aca="false">IF($A206="","",IF(AND(H$2&gt;=09_ガント元データ!$G205,H$2&lt;=09_ガント元データ!$H205),"■",""))</f>
        <v/>
      </c>
      <c r="I206" s="24" t="str">
        <f aca="false">IF($A206="","",IF(AND(I$2&gt;=09_ガント元データ!$G205,I$2&lt;=09_ガント元データ!$H205),"■",""))</f>
        <v/>
      </c>
      <c r="J206" s="24" t="str">
        <f aca="false">IF($A206="","",IF(AND(J$2&gt;=09_ガント元データ!$G205,J$2&lt;=09_ガント元データ!$H205),"■",""))</f>
        <v/>
      </c>
      <c r="K206" s="24" t="str">
        <f aca="false">IF($A206="","",IF(AND(K$2&gt;=09_ガント元データ!$G205,K$2&lt;=09_ガント元データ!$H205),"■",""))</f>
        <v/>
      </c>
      <c r="L206" s="24" t="str">
        <f aca="false">IF($A206="","",IF(AND(L$2&gt;=09_ガント元データ!$G205,L$2&lt;=09_ガント元データ!$H205),"■",""))</f>
        <v/>
      </c>
      <c r="M206" s="24" t="str">
        <f aca="false">IF($A206="","",IF(AND(M$2&gt;=09_ガント元データ!$G205,M$2&lt;=09_ガント元データ!$H205),"■",""))</f>
        <v/>
      </c>
      <c r="N206" s="24" t="str">
        <f aca="false">IF($A206="","",IF(AND(N$2&gt;=09_ガント元データ!$G205,N$2&lt;=09_ガント元データ!$H205),"■",""))</f>
        <v/>
      </c>
      <c r="O206" s="24" t="str">
        <f aca="false">IF($A206="","",IF(AND(O$2&gt;=09_ガント元データ!$G205,O$2&lt;=09_ガント元データ!$H205),"■",""))</f>
        <v/>
      </c>
      <c r="P206" s="24" t="str">
        <f aca="false">IF($A206="","",IF(AND(P$2&gt;=09_ガント元データ!$G205,P$2&lt;=09_ガント元データ!$H205),"■",""))</f>
        <v/>
      </c>
      <c r="Q206" s="24" t="str">
        <f aca="false">IF($A206="","",IF(AND(Q$2&gt;=09_ガント元データ!$G205,Q$2&lt;=09_ガント元データ!$H205),"■",""))</f>
        <v/>
      </c>
      <c r="R206" s="24" t="str">
        <f aca="false">IF($A206="","",IF(AND(R$2&gt;=09_ガント元データ!$G205,R$2&lt;=09_ガント元データ!$H205),"■",""))</f>
        <v/>
      </c>
      <c r="S206" s="24" t="str">
        <f aca="false">IF($A206="","",IF(AND(S$2&gt;=09_ガント元データ!$G205,S$2&lt;=09_ガント元データ!$H205),"■",""))</f>
        <v/>
      </c>
      <c r="T206" s="24" t="str">
        <f aca="false">IF($A206="","",IF(AND(T$2&gt;=09_ガント元データ!$G205,T$2&lt;=09_ガント元データ!$H205),"■",""))</f>
        <v/>
      </c>
      <c r="U206" s="24" t="str">
        <f aca="false">IF($A206="","",IF(AND(U$2&gt;=09_ガント元データ!$G205,U$2&lt;=09_ガント元データ!$H205),"■",""))</f>
        <v/>
      </c>
      <c r="V206" s="24" t="str">
        <f aca="false">IF($A206="","",IF(AND(V$2&gt;=09_ガント元データ!$G205,V$2&lt;=09_ガント元データ!$H205),"■",""))</f>
        <v/>
      </c>
      <c r="W206" s="24" t="str">
        <f aca="false">IF($A206="","",IF(AND(W$2&gt;=09_ガント元データ!$G205,W$2&lt;=09_ガント元データ!$H205),"■",""))</f>
        <v/>
      </c>
      <c r="X206" s="24" t="str">
        <f aca="false">IF($A206="","",IF(AND(X$2&gt;=09_ガント元データ!$G205,X$2&lt;=09_ガント元データ!$H205),"■",""))</f>
        <v/>
      </c>
      <c r="Y206" s="24" t="str">
        <f aca="false">IF($A206="","",IF(AND(Y$2&gt;=09_ガント元データ!$G205,Y$2&lt;=09_ガント元データ!$H205),"■",""))</f>
        <v/>
      </c>
      <c r="Z206" s="24" t="str">
        <f aca="false">IF($A206="","",IF(AND(Z$2&gt;=09_ガント元データ!$G205,Z$2&lt;=09_ガント元データ!$H205),"■",""))</f>
        <v/>
      </c>
      <c r="AA206" s="24" t="str">
        <f aca="false">IF($A206="","",IF(AND(AA$2&gt;=09_ガント元データ!$G205,AA$2&lt;=09_ガント元データ!$H205),"■",""))</f>
        <v/>
      </c>
      <c r="AB206" s="24" t="str">
        <f aca="false">IF($A206="","",IF(AND(AB$2&gt;=09_ガント元データ!$G205,AB$2&lt;=09_ガント元データ!$H205),"■",""))</f>
        <v/>
      </c>
      <c r="AC206" s="24" t="str">
        <f aca="false">IF($A206="","",IF(AND(AC$2&gt;=09_ガント元データ!$G205,AC$2&lt;=09_ガント元データ!$H205),"■",""))</f>
        <v/>
      </c>
      <c r="AD206" s="24" t="str">
        <f aca="false">IF($A206="","",IF(AND(AD$2&gt;=09_ガント元データ!$G205,AD$2&lt;=09_ガント元データ!$H205),"■",""))</f>
        <v/>
      </c>
      <c r="AE206" s="24" t="str">
        <f aca="false">IF($A206="","",IF(AND(AE$2&gt;=09_ガント元データ!$G205,AE$2&lt;=09_ガント元データ!$H205),"■",""))</f>
        <v/>
      </c>
      <c r="AF206" s="24" t="str">
        <f aca="false">IF($A206="","",IF(AND(AF$2&gt;=09_ガント元データ!$G205,AF$2&lt;=09_ガント元データ!$H205),"■",""))</f>
        <v/>
      </c>
      <c r="AG206" s="24" t="str">
        <f aca="false">IF($A206="","",IF(AND(AG$2&gt;=09_ガント元データ!$G205,AG$2&lt;=09_ガント元データ!$H205),"■",""))</f>
        <v/>
      </c>
      <c r="AH206" s="24" t="str">
        <f aca="false">IF($A206="","",IF(AND(AH$2&gt;=09_ガント元データ!$G205,AH$2&lt;=09_ガント元データ!$H205),"■",""))</f>
        <v/>
      </c>
      <c r="AI206" s="24" t="str">
        <f aca="false">IF($A206="","",IF(AND(AI$2&gt;=09_ガント元データ!$G205,AI$2&lt;=09_ガント元データ!$H205),"■",""))</f>
        <v/>
      </c>
      <c r="AJ206" s="24" t="str">
        <f aca="false">IF($A206="","",IF(AND(AJ$2&gt;=09_ガント元データ!$G205,AJ$2&lt;=09_ガント元データ!$H205),"■",""))</f>
        <v/>
      </c>
      <c r="AK206" s="24" t="str">
        <f aca="false">IF($A206="","",IF(AND(AK$2&gt;=09_ガント元データ!$G205,AK$2&lt;=09_ガント元データ!$H205),"■",""))</f>
        <v/>
      </c>
      <c r="AL206" s="24" t="str">
        <f aca="false">IF($A206="","",IF(AND(AL$2&gt;=09_ガント元データ!$G205,AL$2&lt;=09_ガント元データ!$H205),"■",""))</f>
        <v/>
      </c>
      <c r="AM206" s="24" t="str">
        <f aca="false">IF($A206="","",IF(AND(AM$2&gt;=09_ガント元データ!$G205,AM$2&lt;=09_ガント元データ!$H205),"■",""))</f>
        <v/>
      </c>
    </row>
    <row r="207" customFormat="false" ht="15" hidden="false" customHeight="false" outlineLevel="0" collapsed="false">
      <c r="A207" s="22" t="str">
        <f aca="false">09_ガント元データ!A206</f>
        <v/>
      </c>
      <c r="B207" s="22" t="str">
        <f aca="false">09_ガント元データ!B206</f>
        <v/>
      </c>
      <c r="C207" s="23" t="str">
        <f aca="false">09_ガント元データ!C206</f>
        <v/>
      </c>
      <c r="D207" s="24" t="str">
        <f aca="false">IF($A207="","",IF(AND(D$2&gt;=09_ガント元データ!$G206,D$2&lt;=09_ガント元データ!$H206),"■",""))</f>
        <v/>
      </c>
      <c r="E207" s="24" t="str">
        <f aca="false">IF($A207="","",IF(AND(E$2&gt;=09_ガント元データ!$G206,E$2&lt;=09_ガント元データ!$H206),"■",""))</f>
        <v/>
      </c>
      <c r="F207" s="24" t="str">
        <f aca="false">IF($A207="","",IF(AND(F$2&gt;=09_ガント元データ!$G206,F$2&lt;=09_ガント元データ!$H206),"■",""))</f>
        <v/>
      </c>
      <c r="G207" s="24" t="str">
        <f aca="false">IF($A207="","",IF(AND(G$2&gt;=09_ガント元データ!$G206,G$2&lt;=09_ガント元データ!$H206),"■",""))</f>
        <v/>
      </c>
      <c r="H207" s="24" t="str">
        <f aca="false">IF($A207="","",IF(AND(H$2&gt;=09_ガント元データ!$G206,H$2&lt;=09_ガント元データ!$H206),"■",""))</f>
        <v/>
      </c>
      <c r="I207" s="24" t="str">
        <f aca="false">IF($A207="","",IF(AND(I$2&gt;=09_ガント元データ!$G206,I$2&lt;=09_ガント元データ!$H206),"■",""))</f>
        <v/>
      </c>
      <c r="J207" s="24" t="str">
        <f aca="false">IF($A207="","",IF(AND(J$2&gt;=09_ガント元データ!$G206,J$2&lt;=09_ガント元データ!$H206),"■",""))</f>
        <v/>
      </c>
      <c r="K207" s="24" t="str">
        <f aca="false">IF($A207="","",IF(AND(K$2&gt;=09_ガント元データ!$G206,K$2&lt;=09_ガント元データ!$H206),"■",""))</f>
        <v/>
      </c>
      <c r="L207" s="24" t="str">
        <f aca="false">IF($A207="","",IF(AND(L$2&gt;=09_ガント元データ!$G206,L$2&lt;=09_ガント元データ!$H206),"■",""))</f>
        <v/>
      </c>
      <c r="M207" s="24" t="str">
        <f aca="false">IF($A207="","",IF(AND(M$2&gt;=09_ガント元データ!$G206,M$2&lt;=09_ガント元データ!$H206),"■",""))</f>
        <v/>
      </c>
      <c r="N207" s="24" t="str">
        <f aca="false">IF($A207="","",IF(AND(N$2&gt;=09_ガント元データ!$G206,N$2&lt;=09_ガント元データ!$H206),"■",""))</f>
        <v/>
      </c>
      <c r="O207" s="24" t="str">
        <f aca="false">IF($A207="","",IF(AND(O$2&gt;=09_ガント元データ!$G206,O$2&lt;=09_ガント元データ!$H206),"■",""))</f>
        <v/>
      </c>
      <c r="P207" s="24" t="str">
        <f aca="false">IF($A207="","",IF(AND(P$2&gt;=09_ガント元データ!$G206,P$2&lt;=09_ガント元データ!$H206),"■",""))</f>
        <v/>
      </c>
      <c r="Q207" s="24" t="str">
        <f aca="false">IF($A207="","",IF(AND(Q$2&gt;=09_ガント元データ!$G206,Q$2&lt;=09_ガント元データ!$H206),"■",""))</f>
        <v/>
      </c>
      <c r="R207" s="24" t="str">
        <f aca="false">IF($A207="","",IF(AND(R$2&gt;=09_ガント元データ!$G206,R$2&lt;=09_ガント元データ!$H206),"■",""))</f>
        <v/>
      </c>
      <c r="S207" s="24" t="str">
        <f aca="false">IF($A207="","",IF(AND(S$2&gt;=09_ガント元データ!$G206,S$2&lt;=09_ガント元データ!$H206),"■",""))</f>
        <v/>
      </c>
      <c r="T207" s="24" t="str">
        <f aca="false">IF($A207="","",IF(AND(T$2&gt;=09_ガント元データ!$G206,T$2&lt;=09_ガント元データ!$H206),"■",""))</f>
        <v/>
      </c>
      <c r="U207" s="24" t="str">
        <f aca="false">IF($A207="","",IF(AND(U$2&gt;=09_ガント元データ!$G206,U$2&lt;=09_ガント元データ!$H206),"■",""))</f>
        <v/>
      </c>
      <c r="V207" s="24" t="str">
        <f aca="false">IF($A207="","",IF(AND(V$2&gt;=09_ガント元データ!$G206,V$2&lt;=09_ガント元データ!$H206),"■",""))</f>
        <v/>
      </c>
      <c r="W207" s="24" t="str">
        <f aca="false">IF($A207="","",IF(AND(W$2&gt;=09_ガント元データ!$G206,W$2&lt;=09_ガント元データ!$H206),"■",""))</f>
        <v/>
      </c>
      <c r="X207" s="24" t="str">
        <f aca="false">IF($A207="","",IF(AND(X$2&gt;=09_ガント元データ!$G206,X$2&lt;=09_ガント元データ!$H206),"■",""))</f>
        <v/>
      </c>
      <c r="Y207" s="24" t="str">
        <f aca="false">IF($A207="","",IF(AND(Y$2&gt;=09_ガント元データ!$G206,Y$2&lt;=09_ガント元データ!$H206),"■",""))</f>
        <v/>
      </c>
      <c r="Z207" s="24" t="str">
        <f aca="false">IF($A207="","",IF(AND(Z$2&gt;=09_ガント元データ!$G206,Z$2&lt;=09_ガント元データ!$H206),"■",""))</f>
        <v/>
      </c>
      <c r="AA207" s="24" t="str">
        <f aca="false">IF($A207="","",IF(AND(AA$2&gt;=09_ガント元データ!$G206,AA$2&lt;=09_ガント元データ!$H206),"■",""))</f>
        <v/>
      </c>
      <c r="AB207" s="24" t="str">
        <f aca="false">IF($A207="","",IF(AND(AB$2&gt;=09_ガント元データ!$G206,AB$2&lt;=09_ガント元データ!$H206),"■",""))</f>
        <v/>
      </c>
      <c r="AC207" s="24" t="str">
        <f aca="false">IF($A207="","",IF(AND(AC$2&gt;=09_ガント元データ!$G206,AC$2&lt;=09_ガント元データ!$H206),"■",""))</f>
        <v/>
      </c>
      <c r="AD207" s="24" t="str">
        <f aca="false">IF($A207="","",IF(AND(AD$2&gt;=09_ガント元データ!$G206,AD$2&lt;=09_ガント元データ!$H206),"■",""))</f>
        <v/>
      </c>
      <c r="AE207" s="24" t="str">
        <f aca="false">IF($A207="","",IF(AND(AE$2&gt;=09_ガント元データ!$G206,AE$2&lt;=09_ガント元データ!$H206),"■",""))</f>
        <v/>
      </c>
      <c r="AF207" s="24" t="str">
        <f aca="false">IF($A207="","",IF(AND(AF$2&gt;=09_ガント元データ!$G206,AF$2&lt;=09_ガント元データ!$H206),"■",""))</f>
        <v/>
      </c>
      <c r="AG207" s="24" t="str">
        <f aca="false">IF($A207="","",IF(AND(AG$2&gt;=09_ガント元データ!$G206,AG$2&lt;=09_ガント元データ!$H206),"■",""))</f>
        <v/>
      </c>
      <c r="AH207" s="24" t="str">
        <f aca="false">IF($A207="","",IF(AND(AH$2&gt;=09_ガント元データ!$G206,AH$2&lt;=09_ガント元データ!$H206),"■",""))</f>
        <v/>
      </c>
      <c r="AI207" s="24" t="str">
        <f aca="false">IF($A207="","",IF(AND(AI$2&gt;=09_ガント元データ!$G206,AI$2&lt;=09_ガント元データ!$H206),"■",""))</f>
        <v/>
      </c>
      <c r="AJ207" s="24" t="str">
        <f aca="false">IF($A207="","",IF(AND(AJ$2&gt;=09_ガント元データ!$G206,AJ$2&lt;=09_ガント元データ!$H206),"■",""))</f>
        <v/>
      </c>
      <c r="AK207" s="24" t="str">
        <f aca="false">IF($A207="","",IF(AND(AK$2&gt;=09_ガント元データ!$G206,AK$2&lt;=09_ガント元データ!$H206),"■",""))</f>
        <v/>
      </c>
      <c r="AL207" s="24" t="str">
        <f aca="false">IF($A207="","",IF(AND(AL$2&gt;=09_ガント元データ!$G206,AL$2&lt;=09_ガント元データ!$H206),"■",""))</f>
        <v/>
      </c>
      <c r="AM207" s="24" t="str">
        <f aca="false">IF($A207="","",IF(AND(AM$2&gt;=09_ガント元データ!$G206,AM$2&lt;=09_ガント元データ!$H206),"■",""))</f>
        <v/>
      </c>
    </row>
    <row r="208" customFormat="false" ht="15" hidden="false" customHeight="false" outlineLevel="0" collapsed="false">
      <c r="A208" s="22" t="str">
        <f aca="false">09_ガント元データ!A207</f>
        <v/>
      </c>
      <c r="B208" s="22" t="str">
        <f aca="false">09_ガント元データ!B207</f>
        <v/>
      </c>
      <c r="C208" s="23" t="str">
        <f aca="false">09_ガント元データ!C207</f>
        <v/>
      </c>
      <c r="D208" s="24" t="str">
        <f aca="false">IF($A208="","",IF(AND(D$2&gt;=09_ガント元データ!$G207,D$2&lt;=09_ガント元データ!$H207),"■",""))</f>
        <v/>
      </c>
      <c r="E208" s="24" t="str">
        <f aca="false">IF($A208="","",IF(AND(E$2&gt;=09_ガント元データ!$G207,E$2&lt;=09_ガント元データ!$H207),"■",""))</f>
        <v/>
      </c>
      <c r="F208" s="24" t="str">
        <f aca="false">IF($A208="","",IF(AND(F$2&gt;=09_ガント元データ!$G207,F$2&lt;=09_ガント元データ!$H207),"■",""))</f>
        <v/>
      </c>
      <c r="G208" s="24" t="str">
        <f aca="false">IF($A208="","",IF(AND(G$2&gt;=09_ガント元データ!$G207,G$2&lt;=09_ガント元データ!$H207),"■",""))</f>
        <v/>
      </c>
      <c r="H208" s="24" t="str">
        <f aca="false">IF($A208="","",IF(AND(H$2&gt;=09_ガント元データ!$G207,H$2&lt;=09_ガント元データ!$H207),"■",""))</f>
        <v/>
      </c>
      <c r="I208" s="24" t="str">
        <f aca="false">IF($A208="","",IF(AND(I$2&gt;=09_ガント元データ!$G207,I$2&lt;=09_ガント元データ!$H207),"■",""))</f>
        <v/>
      </c>
      <c r="J208" s="24" t="str">
        <f aca="false">IF($A208="","",IF(AND(J$2&gt;=09_ガント元データ!$G207,J$2&lt;=09_ガント元データ!$H207),"■",""))</f>
        <v/>
      </c>
      <c r="K208" s="24" t="str">
        <f aca="false">IF($A208="","",IF(AND(K$2&gt;=09_ガント元データ!$G207,K$2&lt;=09_ガント元データ!$H207),"■",""))</f>
        <v/>
      </c>
      <c r="L208" s="24" t="str">
        <f aca="false">IF($A208="","",IF(AND(L$2&gt;=09_ガント元データ!$G207,L$2&lt;=09_ガント元データ!$H207),"■",""))</f>
        <v/>
      </c>
      <c r="M208" s="24" t="str">
        <f aca="false">IF($A208="","",IF(AND(M$2&gt;=09_ガント元データ!$G207,M$2&lt;=09_ガント元データ!$H207),"■",""))</f>
        <v/>
      </c>
      <c r="N208" s="24" t="str">
        <f aca="false">IF($A208="","",IF(AND(N$2&gt;=09_ガント元データ!$G207,N$2&lt;=09_ガント元データ!$H207),"■",""))</f>
        <v/>
      </c>
      <c r="O208" s="24" t="str">
        <f aca="false">IF($A208="","",IF(AND(O$2&gt;=09_ガント元データ!$G207,O$2&lt;=09_ガント元データ!$H207),"■",""))</f>
        <v/>
      </c>
      <c r="P208" s="24" t="str">
        <f aca="false">IF($A208="","",IF(AND(P$2&gt;=09_ガント元データ!$G207,P$2&lt;=09_ガント元データ!$H207),"■",""))</f>
        <v/>
      </c>
      <c r="Q208" s="24" t="str">
        <f aca="false">IF($A208="","",IF(AND(Q$2&gt;=09_ガント元データ!$G207,Q$2&lt;=09_ガント元データ!$H207),"■",""))</f>
        <v/>
      </c>
      <c r="R208" s="24" t="str">
        <f aca="false">IF($A208="","",IF(AND(R$2&gt;=09_ガント元データ!$G207,R$2&lt;=09_ガント元データ!$H207),"■",""))</f>
        <v/>
      </c>
      <c r="S208" s="24" t="str">
        <f aca="false">IF($A208="","",IF(AND(S$2&gt;=09_ガント元データ!$G207,S$2&lt;=09_ガント元データ!$H207),"■",""))</f>
        <v/>
      </c>
      <c r="T208" s="24" t="str">
        <f aca="false">IF($A208="","",IF(AND(T$2&gt;=09_ガント元データ!$G207,T$2&lt;=09_ガント元データ!$H207),"■",""))</f>
        <v/>
      </c>
      <c r="U208" s="24" t="str">
        <f aca="false">IF($A208="","",IF(AND(U$2&gt;=09_ガント元データ!$G207,U$2&lt;=09_ガント元データ!$H207),"■",""))</f>
        <v/>
      </c>
      <c r="V208" s="24" t="str">
        <f aca="false">IF($A208="","",IF(AND(V$2&gt;=09_ガント元データ!$G207,V$2&lt;=09_ガント元データ!$H207),"■",""))</f>
        <v/>
      </c>
      <c r="W208" s="24" t="str">
        <f aca="false">IF($A208="","",IF(AND(W$2&gt;=09_ガント元データ!$G207,W$2&lt;=09_ガント元データ!$H207),"■",""))</f>
        <v/>
      </c>
      <c r="X208" s="24" t="str">
        <f aca="false">IF($A208="","",IF(AND(X$2&gt;=09_ガント元データ!$G207,X$2&lt;=09_ガント元データ!$H207),"■",""))</f>
        <v/>
      </c>
      <c r="Y208" s="24" t="str">
        <f aca="false">IF($A208="","",IF(AND(Y$2&gt;=09_ガント元データ!$G207,Y$2&lt;=09_ガント元データ!$H207),"■",""))</f>
        <v/>
      </c>
      <c r="Z208" s="24" t="str">
        <f aca="false">IF($A208="","",IF(AND(Z$2&gt;=09_ガント元データ!$G207,Z$2&lt;=09_ガント元データ!$H207),"■",""))</f>
        <v/>
      </c>
      <c r="AA208" s="24" t="str">
        <f aca="false">IF($A208="","",IF(AND(AA$2&gt;=09_ガント元データ!$G207,AA$2&lt;=09_ガント元データ!$H207),"■",""))</f>
        <v/>
      </c>
      <c r="AB208" s="24" t="str">
        <f aca="false">IF($A208="","",IF(AND(AB$2&gt;=09_ガント元データ!$G207,AB$2&lt;=09_ガント元データ!$H207),"■",""))</f>
        <v/>
      </c>
      <c r="AC208" s="24" t="str">
        <f aca="false">IF($A208="","",IF(AND(AC$2&gt;=09_ガント元データ!$G207,AC$2&lt;=09_ガント元データ!$H207),"■",""))</f>
        <v/>
      </c>
      <c r="AD208" s="24" t="str">
        <f aca="false">IF($A208="","",IF(AND(AD$2&gt;=09_ガント元データ!$G207,AD$2&lt;=09_ガント元データ!$H207),"■",""))</f>
        <v/>
      </c>
      <c r="AE208" s="24" t="str">
        <f aca="false">IF($A208="","",IF(AND(AE$2&gt;=09_ガント元データ!$G207,AE$2&lt;=09_ガント元データ!$H207),"■",""))</f>
        <v/>
      </c>
      <c r="AF208" s="24" t="str">
        <f aca="false">IF($A208="","",IF(AND(AF$2&gt;=09_ガント元データ!$G207,AF$2&lt;=09_ガント元データ!$H207),"■",""))</f>
        <v/>
      </c>
      <c r="AG208" s="24" t="str">
        <f aca="false">IF($A208="","",IF(AND(AG$2&gt;=09_ガント元データ!$G207,AG$2&lt;=09_ガント元データ!$H207),"■",""))</f>
        <v/>
      </c>
      <c r="AH208" s="24" t="str">
        <f aca="false">IF($A208="","",IF(AND(AH$2&gt;=09_ガント元データ!$G207,AH$2&lt;=09_ガント元データ!$H207),"■",""))</f>
        <v/>
      </c>
      <c r="AI208" s="24" t="str">
        <f aca="false">IF($A208="","",IF(AND(AI$2&gt;=09_ガント元データ!$G207,AI$2&lt;=09_ガント元データ!$H207),"■",""))</f>
        <v/>
      </c>
      <c r="AJ208" s="24" t="str">
        <f aca="false">IF($A208="","",IF(AND(AJ$2&gt;=09_ガント元データ!$G207,AJ$2&lt;=09_ガント元データ!$H207),"■",""))</f>
        <v/>
      </c>
      <c r="AK208" s="24" t="str">
        <f aca="false">IF($A208="","",IF(AND(AK$2&gt;=09_ガント元データ!$G207,AK$2&lt;=09_ガント元データ!$H207),"■",""))</f>
        <v/>
      </c>
      <c r="AL208" s="24" t="str">
        <f aca="false">IF($A208="","",IF(AND(AL$2&gt;=09_ガント元データ!$G207,AL$2&lt;=09_ガント元データ!$H207),"■",""))</f>
        <v/>
      </c>
      <c r="AM208" s="24" t="str">
        <f aca="false">IF($A208="","",IF(AND(AM$2&gt;=09_ガント元データ!$G207,AM$2&lt;=09_ガント元データ!$H207),"■",""))</f>
        <v/>
      </c>
    </row>
    <row r="209" customFormat="false" ht="15" hidden="false" customHeight="false" outlineLevel="0" collapsed="false">
      <c r="A209" s="22" t="str">
        <f aca="false">09_ガント元データ!A208</f>
        <v/>
      </c>
      <c r="B209" s="22" t="str">
        <f aca="false">09_ガント元データ!B208</f>
        <v/>
      </c>
      <c r="C209" s="23" t="str">
        <f aca="false">09_ガント元データ!C208</f>
        <v/>
      </c>
      <c r="D209" s="24" t="str">
        <f aca="false">IF($A209="","",IF(AND(D$2&gt;=09_ガント元データ!$G208,D$2&lt;=09_ガント元データ!$H208),"■",""))</f>
        <v/>
      </c>
      <c r="E209" s="24" t="str">
        <f aca="false">IF($A209="","",IF(AND(E$2&gt;=09_ガント元データ!$G208,E$2&lt;=09_ガント元データ!$H208),"■",""))</f>
        <v/>
      </c>
      <c r="F209" s="24" t="str">
        <f aca="false">IF($A209="","",IF(AND(F$2&gt;=09_ガント元データ!$G208,F$2&lt;=09_ガント元データ!$H208),"■",""))</f>
        <v/>
      </c>
      <c r="G209" s="24" t="str">
        <f aca="false">IF($A209="","",IF(AND(G$2&gt;=09_ガント元データ!$G208,G$2&lt;=09_ガント元データ!$H208),"■",""))</f>
        <v/>
      </c>
      <c r="H209" s="24" t="str">
        <f aca="false">IF($A209="","",IF(AND(H$2&gt;=09_ガント元データ!$G208,H$2&lt;=09_ガント元データ!$H208),"■",""))</f>
        <v/>
      </c>
      <c r="I209" s="24" t="str">
        <f aca="false">IF($A209="","",IF(AND(I$2&gt;=09_ガント元データ!$G208,I$2&lt;=09_ガント元データ!$H208),"■",""))</f>
        <v/>
      </c>
      <c r="J209" s="24" t="str">
        <f aca="false">IF($A209="","",IF(AND(J$2&gt;=09_ガント元データ!$G208,J$2&lt;=09_ガント元データ!$H208),"■",""))</f>
        <v/>
      </c>
      <c r="K209" s="24" t="str">
        <f aca="false">IF($A209="","",IF(AND(K$2&gt;=09_ガント元データ!$G208,K$2&lt;=09_ガント元データ!$H208),"■",""))</f>
        <v/>
      </c>
      <c r="L209" s="24" t="str">
        <f aca="false">IF($A209="","",IF(AND(L$2&gt;=09_ガント元データ!$G208,L$2&lt;=09_ガント元データ!$H208),"■",""))</f>
        <v/>
      </c>
      <c r="M209" s="24" t="str">
        <f aca="false">IF($A209="","",IF(AND(M$2&gt;=09_ガント元データ!$G208,M$2&lt;=09_ガント元データ!$H208),"■",""))</f>
        <v/>
      </c>
      <c r="N209" s="24" t="str">
        <f aca="false">IF($A209="","",IF(AND(N$2&gt;=09_ガント元データ!$G208,N$2&lt;=09_ガント元データ!$H208),"■",""))</f>
        <v/>
      </c>
      <c r="O209" s="24" t="str">
        <f aca="false">IF($A209="","",IF(AND(O$2&gt;=09_ガント元データ!$G208,O$2&lt;=09_ガント元データ!$H208),"■",""))</f>
        <v/>
      </c>
      <c r="P209" s="24" t="str">
        <f aca="false">IF($A209="","",IF(AND(P$2&gt;=09_ガント元データ!$G208,P$2&lt;=09_ガント元データ!$H208),"■",""))</f>
        <v/>
      </c>
      <c r="Q209" s="24" t="str">
        <f aca="false">IF($A209="","",IF(AND(Q$2&gt;=09_ガント元データ!$G208,Q$2&lt;=09_ガント元データ!$H208),"■",""))</f>
        <v/>
      </c>
      <c r="R209" s="24" t="str">
        <f aca="false">IF($A209="","",IF(AND(R$2&gt;=09_ガント元データ!$G208,R$2&lt;=09_ガント元データ!$H208),"■",""))</f>
        <v/>
      </c>
      <c r="S209" s="24" t="str">
        <f aca="false">IF($A209="","",IF(AND(S$2&gt;=09_ガント元データ!$G208,S$2&lt;=09_ガント元データ!$H208),"■",""))</f>
        <v/>
      </c>
      <c r="T209" s="24" t="str">
        <f aca="false">IF($A209="","",IF(AND(T$2&gt;=09_ガント元データ!$G208,T$2&lt;=09_ガント元データ!$H208),"■",""))</f>
        <v/>
      </c>
      <c r="U209" s="24" t="str">
        <f aca="false">IF($A209="","",IF(AND(U$2&gt;=09_ガント元データ!$G208,U$2&lt;=09_ガント元データ!$H208),"■",""))</f>
        <v/>
      </c>
      <c r="V209" s="24" t="str">
        <f aca="false">IF($A209="","",IF(AND(V$2&gt;=09_ガント元データ!$G208,V$2&lt;=09_ガント元データ!$H208),"■",""))</f>
        <v/>
      </c>
      <c r="W209" s="24" t="str">
        <f aca="false">IF($A209="","",IF(AND(W$2&gt;=09_ガント元データ!$G208,W$2&lt;=09_ガント元データ!$H208),"■",""))</f>
        <v/>
      </c>
      <c r="X209" s="24" t="str">
        <f aca="false">IF($A209="","",IF(AND(X$2&gt;=09_ガント元データ!$G208,X$2&lt;=09_ガント元データ!$H208),"■",""))</f>
        <v/>
      </c>
      <c r="Y209" s="24" t="str">
        <f aca="false">IF($A209="","",IF(AND(Y$2&gt;=09_ガント元データ!$G208,Y$2&lt;=09_ガント元データ!$H208),"■",""))</f>
        <v/>
      </c>
      <c r="Z209" s="24" t="str">
        <f aca="false">IF($A209="","",IF(AND(Z$2&gt;=09_ガント元データ!$G208,Z$2&lt;=09_ガント元データ!$H208),"■",""))</f>
        <v/>
      </c>
      <c r="AA209" s="24" t="str">
        <f aca="false">IF($A209="","",IF(AND(AA$2&gt;=09_ガント元データ!$G208,AA$2&lt;=09_ガント元データ!$H208),"■",""))</f>
        <v/>
      </c>
      <c r="AB209" s="24" t="str">
        <f aca="false">IF($A209="","",IF(AND(AB$2&gt;=09_ガント元データ!$G208,AB$2&lt;=09_ガント元データ!$H208),"■",""))</f>
        <v/>
      </c>
      <c r="AC209" s="24" t="str">
        <f aca="false">IF($A209="","",IF(AND(AC$2&gt;=09_ガント元データ!$G208,AC$2&lt;=09_ガント元データ!$H208),"■",""))</f>
        <v/>
      </c>
      <c r="AD209" s="24" t="str">
        <f aca="false">IF($A209="","",IF(AND(AD$2&gt;=09_ガント元データ!$G208,AD$2&lt;=09_ガント元データ!$H208),"■",""))</f>
        <v/>
      </c>
      <c r="AE209" s="24" t="str">
        <f aca="false">IF($A209="","",IF(AND(AE$2&gt;=09_ガント元データ!$G208,AE$2&lt;=09_ガント元データ!$H208),"■",""))</f>
        <v/>
      </c>
      <c r="AF209" s="24" t="str">
        <f aca="false">IF($A209="","",IF(AND(AF$2&gt;=09_ガント元データ!$G208,AF$2&lt;=09_ガント元データ!$H208),"■",""))</f>
        <v/>
      </c>
      <c r="AG209" s="24" t="str">
        <f aca="false">IF($A209="","",IF(AND(AG$2&gt;=09_ガント元データ!$G208,AG$2&lt;=09_ガント元データ!$H208),"■",""))</f>
        <v/>
      </c>
      <c r="AH209" s="24" t="str">
        <f aca="false">IF($A209="","",IF(AND(AH$2&gt;=09_ガント元データ!$G208,AH$2&lt;=09_ガント元データ!$H208),"■",""))</f>
        <v/>
      </c>
      <c r="AI209" s="24" t="str">
        <f aca="false">IF($A209="","",IF(AND(AI$2&gt;=09_ガント元データ!$G208,AI$2&lt;=09_ガント元データ!$H208),"■",""))</f>
        <v/>
      </c>
      <c r="AJ209" s="24" t="str">
        <f aca="false">IF($A209="","",IF(AND(AJ$2&gt;=09_ガント元データ!$G208,AJ$2&lt;=09_ガント元データ!$H208),"■",""))</f>
        <v/>
      </c>
      <c r="AK209" s="24" t="str">
        <f aca="false">IF($A209="","",IF(AND(AK$2&gt;=09_ガント元データ!$G208,AK$2&lt;=09_ガント元データ!$H208),"■",""))</f>
        <v/>
      </c>
      <c r="AL209" s="24" t="str">
        <f aca="false">IF($A209="","",IF(AND(AL$2&gt;=09_ガント元データ!$G208,AL$2&lt;=09_ガント元データ!$H208),"■",""))</f>
        <v/>
      </c>
      <c r="AM209" s="24" t="str">
        <f aca="false">IF($A209="","",IF(AND(AM$2&gt;=09_ガント元データ!$G208,AM$2&lt;=09_ガント元データ!$H208),"■",""))</f>
        <v/>
      </c>
    </row>
  </sheetData>
  <conditionalFormatting sqref="D3:AM209">
    <cfRule type="cellIs" priority="2" operator="equal" aboveAverage="0" equalAverage="0" bottom="0" percent="0" rank="0" text="" dxfId="2">
      <formul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9"/>
    <col collapsed="false" customWidth="true" hidden="false" outlineLevel="0" max="4" min="4" style="0" width="14"/>
    <col collapsed="false" customWidth="true" hidden="false" outlineLevel="0" max="5" min="5" style="0" width="52"/>
    <col collapsed="false" customWidth="true" hidden="false" outlineLevel="0" max="7" min="6" style="0" width="7"/>
    <col collapsed="false" customWidth="true" hidden="false" outlineLevel="0" max="8" min="8" style="0" width="10"/>
    <col collapsed="false" customWidth="true" hidden="false" outlineLevel="0" max="10" min="10" style="0" width="5"/>
    <col collapsed="false" customWidth="true" hidden="false" outlineLevel="0" max="11" min="11" style="0" width="7"/>
    <col collapsed="false" customWidth="true" hidden="false" outlineLevel="0" max="12" min="12" style="0" width="30"/>
    <col collapsed="false" customWidth="true" hidden="false" outlineLevel="0" max="14" min="13" style="0" width="9"/>
  </cols>
  <sheetData>
    <row r="1" customFormat="false" ht="23.1" hidden="false" customHeight="false" outlineLevel="0" collapsed="false">
      <c r="A1" s="25" t="s">
        <v>1497</v>
      </c>
    </row>
    <row r="3" customFormat="false" ht="19.4" hidden="false" customHeight="false" outlineLevel="0" collapsed="false">
      <c r="A3" s="26" t="s">
        <v>1498</v>
      </c>
    </row>
    <row r="4" customFormat="false" ht="44" hidden="false" customHeight="false" outlineLevel="0" collapsed="false">
      <c r="A4" s="8" t="s">
        <v>1499</v>
      </c>
      <c r="B4" s="8" t="s">
        <v>1500</v>
      </c>
      <c r="C4" s="8" t="s">
        <v>1501</v>
      </c>
      <c r="D4" s="8" t="s">
        <v>1502</v>
      </c>
      <c r="E4" s="8" t="s">
        <v>1503</v>
      </c>
      <c r="F4" s="8" t="s">
        <v>1504</v>
      </c>
    </row>
    <row r="5" customFormat="false" ht="15" hidden="false" customHeight="false" outlineLevel="0" collapsed="false">
      <c r="A5" s="27" t="n">
        <f aca="false">COUNTIF(01_評価入力!$H$2:$H$208,"○")</f>
        <v>207</v>
      </c>
      <c r="B5" s="27" t="n">
        <f aca="false">COUNTIF(01_評価入力!$H$2:$H$208,"対象外")</f>
        <v>0</v>
      </c>
      <c r="C5" s="27" t="n">
        <f aca="false">COUNTIFS(01_評価入力!$H$2:$H$208,"○",01_評価入力!$I$2:$I$208,"&lt;&gt;")</f>
        <v>0</v>
      </c>
      <c r="D5" s="28" t="n">
        <f aca="false">IF($A5=0,0,$C5/$A5)</f>
        <v>0</v>
      </c>
      <c r="E5" s="27" t="str">
        <f aca="false">COUNTIFS(01_評価入力!$H$2:$H$208,"○",01_評価入力!$I$2:$I$208,"&lt;&gt;",01_評価入力!$X$2:$X$208,"baseline")&amp;" / "&amp;COUNTIFS(01_評価入力!$H$2:$H$208,"○",01_評価入力!$X$2:$X$208,"baseline")</f>
        <v>0 / 71</v>
      </c>
      <c r="F5" s="27" t="str">
        <f aca="false">COUNTIFS(01_評価入力!$H$2:$H$208,"○",01_評価入力!$I$2:$I$208,"&lt;&gt;",01_評価入力!$X$2:$X$208,"extended")&amp;" / "&amp;COUNTIFS(01_評価入力!$H$2:$H$208,"○",01_評価入力!$X$2:$X$208,"extended")</f>
        <v>0 / 136</v>
      </c>
    </row>
    <row r="7" customFormat="false" ht="19.4" hidden="false" customHeight="false" outlineLevel="0" collapsed="false">
      <c r="A7" s="26" t="s">
        <v>1505</v>
      </c>
    </row>
    <row r="8" customFormat="false" ht="29.85" hidden="false" customHeight="false" outlineLevel="0" collapsed="false">
      <c r="A8" s="8" t="s">
        <v>70</v>
      </c>
      <c r="B8" s="8" t="s">
        <v>1506</v>
      </c>
      <c r="C8" s="8" t="s">
        <v>1507</v>
      </c>
      <c r="D8" s="8" t="s">
        <v>1508</v>
      </c>
      <c r="E8" s="8" t="s">
        <v>1509</v>
      </c>
      <c r="F8" s="8" t="s">
        <v>1510</v>
      </c>
      <c r="G8" s="8" t="s">
        <v>1511</v>
      </c>
    </row>
    <row r="9" customFormat="false" ht="15" hidden="false" customHeight="false" outlineLevel="0" collapsed="false">
      <c r="A9" s="29" t="s">
        <v>94</v>
      </c>
      <c r="B9" s="27" t="n">
        <f aca="false">COUNTIFS(01_評価入力!$B:$B,$A9,01_評価入力!$H:$H,"○")</f>
        <v>36</v>
      </c>
      <c r="C9" s="30" t="n">
        <f aca="false">IFERROR(ROUND(AVERAGEIFS(01_評価入力!$I:$I,01_評価入力!$B:$B,$A9,01_評価入力!$H:$H,"○"),2),0)</f>
        <v>0</v>
      </c>
      <c r="D9" s="30" t="n">
        <f aca="false">IFERROR(ROUND(AVERAGEIFS(01_評価入力!$J:$J,01_評価入力!$B:$B,$A9,01_評価入力!$H:$H,"○"),2),0)</f>
        <v>3.39</v>
      </c>
      <c r="E9" s="30" t="n">
        <f aca="false">IF(OR($C9="",$D9=""),"",ROUND($D9-$C9,2))</f>
        <v>3.39</v>
      </c>
      <c r="F9" s="28" t="n">
        <f aca="false">IF(OR($D9=0,$C9=""),"",$C9/$D9)</f>
        <v>0</v>
      </c>
      <c r="G9" s="27" t="n">
        <f aca="false">COUNTIFS(06_重複排除後!$C:$C,$A9,06_重複排除後!$H:$H,"○")</f>
        <v>0</v>
      </c>
    </row>
    <row r="10" customFormat="false" ht="15" hidden="false" customHeight="false" outlineLevel="0" collapsed="false">
      <c r="A10" s="29" t="s">
        <v>217</v>
      </c>
      <c r="B10" s="27" t="n">
        <f aca="false">COUNTIFS(01_評価入力!$B:$B,$A10,01_評価入力!$H:$H,"○")</f>
        <v>29</v>
      </c>
      <c r="C10" s="30" t="n">
        <f aca="false">IFERROR(ROUND(AVERAGEIFS(01_評価入力!$I:$I,01_評価入力!$B:$B,$A10,01_評価入力!$H:$H,"○"),2),0)</f>
        <v>0</v>
      </c>
      <c r="D10" s="30" t="n">
        <f aca="false">IFERROR(ROUND(AVERAGEIFS(01_評価入力!$J:$J,01_評価入力!$B:$B,$A10,01_評価入力!$H:$H,"○"),2),0)</f>
        <v>3.28</v>
      </c>
      <c r="E10" s="30" t="n">
        <f aca="false">IF(OR($C10="",$D10=""),"",ROUND($D10-$C10,2))</f>
        <v>3.28</v>
      </c>
      <c r="F10" s="28" t="n">
        <f aca="false">IF(OR($D10=0,$C10=""),"",$C10/$D10)</f>
        <v>0</v>
      </c>
      <c r="G10" s="27" t="n">
        <f aca="false">COUNTIFS(06_重複排除後!$C:$C,$A10,06_重複排除後!$H:$H,"○")</f>
        <v>0</v>
      </c>
    </row>
    <row r="11" customFormat="false" ht="15" hidden="false" customHeight="false" outlineLevel="0" collapsed="false">
      <c r="A11" s="29" t="s">
        <v>312</v>
      </c>
      <c r="B11" s="27" t="n">
        <f aca="false">COUNTIFS(01_評価入力!$B:$B,$A11,01_評価入力!$H:$H,"○")</f>
        <v>74</v>
      </c>
      <c r="C11" s="30" t="n">
        <f aca="false">IFERROR(ROUND(AVERAGEIFS(01_評価入力!$I:$I,01_評価入力!$B:$B,$A11,01_評価入力!$H:$H,"○"),2),0)</f>
        <v>0</v>
      </c>
      <c r="D11" s="30" t="n">
        <f aca="false">IFERROR(ROUND(AVERAGEIFS(01_評価入力!$J:$J,01_評価入力!$B:$B,$A11,01_評価入力!$H:$H,"○"),2),0)</f>
        <v>3.35</v>
      </c>
      <c r="E11" s="30" t="n">
        <f aca="false">IF(OR($C11="",$D11=""),"",ROUND($D11-$C11,2))</f>
        <v>3.35</v>
      </c>
      <c r="F11" s="28" t="n">
        <f aca="false">IF(OR($D11=0,$C11=""),"",$C11/$D11)</f>
        <v>0</v>
      </c>
      <c r="G11" s="27" t="n">
        <f aca="false">COUNTIFS(06_重複排除後!$C:$C,$A11,06_重複排除後!$H:$H,"○")</f>
        <v>0</v>
      </c>
    </row>
    <row r="12" customFormat="false" ht="15" hidden="false" customHeight="false" outlineLevel="0" collapsed="false">
      <c r="A12" s="29" t="s">
        <v>549</v>
      </c>
      <c r="B12" s="27" t="n">
        <f aca="false">COUNTIFS(01_評価入力!$B:$B,$A12,01_評価入力!$H:$H,"○")</f>
        <v>32</v>
      </c>
      <c r="C12" s="30" t="n">
        <f aca="false">IFERROR(ROUND(AVERAGEIFS(01_評価入力!$I:$I,01_評価入力!$B:$B,$A12,01_評価入力!$H:$H,"○"),2),0)</f>
        <v>0</v>
      </c>
      <c r="D12" s="30" t="n">
        <f aca="false">IFERROR(ROUND(AVERAGEIFS(01_評価入力!$J:$J,01_評価入力!$B:$B,$A12,01_評価入力!$H:$H,"○"),2),0)</f>
        <v>3.25</v>
      </c>
      <c r="E12" s="30" t="n">
        <f aca="false">IF(OR($C12="",$D12=""),"",ROUND($D12-$C12,2))</f>
        <v>3.25</v>
      </c>
      <c r="F12" s="28" t="n">
        <f aca="false">IF(OR($D12=0,$C12=""),"",$C12/$D12)</f>
        <v>0</v>
      </c>
      <c r="G12" s="27" t="n">
        <f aca="false">COUNTIFS(06_重複排除後!$C:$C,$A12,06_重複排除後!$H:$H,"○")</f>
        <v>0</v>
      </c>
    </row>
    <row r="13" customFormat="false" ht="15" hidden="false" customHeight="false" outlineLevel="0" collapsed="false">
      <c r="A13" s="29" t="s">
        <v>651</v>
      </c>
      <c r="B13" s="27" t="n">
        <f aca="false">COUNTIFS(01_評価入力!$B:$B,$A13,01_評価入力!$H:$H,"○")</f>
        <v>20</v>
      </c>
      <c r="C13" s="30" t="n">
        <f aca="false">IFERROR(ROUND(AVERAGEIFS(01_評価入力!$I:$I,01_評価入力!$B:$B,$A13,01_評価入力!$H:$H,"○"),2),0)</f>
        <v>0</v>
      </c>
      <c r="D13" s="30" t="n">
        <f aca="false">IFERROR(ROUND(AVERAGEIFS(01_評価入力!$J:$J,01_評価入力!$B:$B,$A13,01_評価入力!$H:$H,"○"),2),0)</f>
        <v>3.3</v>
      </c>
      <c r="E13" s="30" t="n">
        <f aca="false">IF(OR($C13="",$D13=""),"",ROUND($D13-$C13,2))</f>
        <v>3.3</v>
      </c>
      <c r="F13" s="28" t="n">
        <f aca="false">IF(OR($D13=0,$C13=""),"",$C13/$D13)</f>
        <v>0</v>
      </c>
      <c r="G13" s="27" t="n">
        <f aca="false">COUNTIFS(06_重複排除後!$C:$C,$A13,06_重複排除後!$H:$H,"○")</f>
        <v>0</v>
      </c>
    </row>
    <row r="14" customFormat="false" ht="15" hidden="false" customHeight="false" outlineLevel="0" collapsed="false">
      <c r="A14" s="29" t="s">
        <v>716</v>
      </c>
      <c r="B14" s="27" t="n">
        <f aca="false">COUNTIFS(01_評価入力!$B:$B,$A14,01_評価入力!$H:$H,"○")</f>
        <v>16</v>
      </c>
      <c r="C14" s="30" t="n">
        <f aca="false">IFERROR(ROUND(AVERAGEIFS(01_評価入力!$I:$I,01_評価入力!$B:$B,$A14,01_評価入力!$H:$H,"○"),2),0)</f>
        <v>0</v>
      </c>
      <c r="D14" s="30" t="n">
        <f aca="false">IFERROR(ROUND(AVERAGEIFS(01_評価入力!$J:$J,01_評価入力!$B:$B,$A14,01_評価入力!$H:$H,"○"),2),0)</f>
        <v>3.56</v>
      </c>
      <c r="E14" s="30" t="n">
        <f aca="false">IF(OR($C14="",$D14=""),"",ROUND($D14-$C14,2))</f>
        <v>3.56</v>
      </c>
      <c r="F14" s="28" t="n">
        <f aca="false">IF(OR($D14=0,$C14=""),"",$C14/$D14)</f>
        <v>0</v>
      </c>
      <c r="G14" s="27" t="n">
        <f aca="false">COUNTIFS(06_重複排除後!$C:$C,$A14,06_重複排除後!$H:$H,"○")</f>
        <v>0</v>
      </c>
    </row>
    <row r="16" customFormat="false" ht="19.4" hidden="false" customHeight="false" outlineLevel="0" collapsed="false">
      <c r="A16" s="31" t="s">
        <v>1512</v>
      </c>
    </row>
    <row r="17" customFormat="false" ht="35.05" hidden="false" customHeight="false" outlineLevel="0" collapsed="false">
      <c r="A17" s="9" t="s">
        <v>61</v>
      </c>
      <c r="B17" s="8" t="s">
        <v>1506</v>
      </c>
      <c r="C17" s="8" t="s">
        <v>1507</v>
      </c>
      <c r="D17" s="8" t="s">
        <v>1508</v>
      </c>
      <c r="E17" s="8" t="s">
        <v>1509</v>
      </c>
      <c r="F17" s="8" t="s">
        <v>1513</v>
      </c>
    </row>
    <row r="18" customFormat="false" ht="185.8" hidden="false" customHeight="false" outlineLevel="0" collapsed="false">
      <c r="A18" s="32" t="s">
        <v>133</v>
      </c>
      <c r="B18" s="27" t="n">
        <f aca="false">COUNTIFS(01_評価入力!$F:$F,$A18,01_評価入力!$H:$H,"○")</f>
        <v>108</v>
      </c>
      <c r="C18" s="30" t="n">
        <f aca="false">IFERROR(ROUND(AVERAGEIFS(01_評価入力!$I:$I,01_評価入力!$F:$F,$A18,01_評価入力!$H:$H,"○"),2),0)</f>
        <v>0</v>
      </c>
      <c r="D18" s="30" t="n">
        <f aca="false">IFERROR(ROUND(AVERAGEIFS(01_評価入力!$J:$J,01_評価入力!$F:$F,$A18,01_評価入力!$H:$H,"○"),2),0)</f>
        <v>3.3</v>
      </c>
      <c r="E18" s="30" t="n">
        <f aca="false">IF(OR($C18="",$D18=""),"",ROUND($D18-$C18,2))</f>
        <v>3.3</v>
      </c>
      <c r="F18" s="33" t="s">
        <v>1514</v>
      </c>
    </row>
    <row r="19" customFormat="false" ht="214.15" hidden="false" customHeight="false" outlineLevel="0" collapsed="false">
      <c r="A19" s="32" t="s">
        <v>98</v>
      </c>
      <c r="B19" s="27" t="n">
        <f aca="false">COUNTIFS(01_評価入力!$F:$F,$A19,01_評価入力!$H:$H,"○")</f>
        <v>99</v>
      </c>
      <c r="C19" s="30" t="n">
        <f aca="false">IFERROR(ROUND(AVERAGEIFS(01_評価入力!$I:$I,01_評価入力!$F:$F,$A19,01_評価入力!$H:$H,"○"),2),0)</f>
        <v>0</v>
      </c>
      <c r="D19" s="30" t="n">
        <f aca="false">IFERROR(ROUND(AVERAGEIFS(01_評価入力!$J:$J,01_評価入力!$F:$F,$A19,01_評価入力!$H:$H,"○"),2),0)</f>
        <v>3.39</v>
      </c>
      <c r="E19" s="30" t="n">
        <f aca="false">IF(OR($C19="",$D19=""),"",ROUND($D19-$C19,2))</f>
        <v>3.39</v>
      </c>
      <c r="F19" s="34" t="s">
        <v>1515</v>
      </c>
    </row>
    <row r="21" customFormat="false" ht="19.4" hidden="false" customHeight="false" outlineLevel="0" collapsed="false">
      <c r="A21" s="31" t="s">
        <v>1516</v>
      </c>
    </row>
    <row r="22" customFormat="false" ht="29.85" hidden="false" customHeight="false" outlineLevel="0" collapsed="false">
      <c r="A22" s="9" t="s">
        <v>1517</v>
      </c>
      <c r="B22" s="8" t="s">
        <v>1518</v>
      </c>
      <c r="C22" s="8" t="s">
        <v>1519</v>
      </c>
      <c r="D22" s="8" t="s">
        <v>1507</v>
      </c>
      <c r="E22" s="8" t="s">
        <v>1508</v>
      </c>
    </row>
    <row r="23" customFormat="false" ht="26.85" hidden="false" customHeight="false" outlineLevel="0" collapsed="false">
      <c r="A23" s="35" t="s">
        <v>1520</v>
      </c>
      <c r="B23" s="27" t="str">
        <f aca="false">00_はじめに!$B$24</f>
        <v>Y</v>
      </c>
      <c r="C23" s="27" t="n">
        <f aca="false">COUNTIFS(01_評価入力!$G:$G,"*traditional*",01_評価入力!$H:$H,"○")+COUNTIFS(01_評価入力!$G:$G,"all",01_評価入力!$H:$H,"○")</f>
        <v>143</v>
      </c>
      <c r="D23" s="30" t="n">
        <f aca="false">IFERROR(ROUND((SUMIFS(01_評価入力!$I:$I,01_評価入力!$G:$G,"*traditional*")+SUMIFS(01_評価入力!$I:$I,01_評価入力!$G:$G,"all"))/(COUNTIFS(01_評価入力!$G:$G,"*traditional*",01_評価入力!$I:$I,"&lt;&gt;")+COUNTIFS(01_評価入力!$G:$G,"all",01_評価入力!$I:$I,"&lt;&gt;")),2),0)</f>
        <v>0</v>
      </c>
      <c r="E23" s="30" t="n">
        <f aca="false">IFERROR(ROUND((SUMIFS(01_評価入力!$J:$J,01_評価入力!$G:$G,"*traditional*",01_評価入力!$H:$H,"○")+SUMIFS(01_評価入力!$J:$J,01_評価入力!$G:$G,"all",01_評価入力!$H:$H,"○"))/(COUNTIFS(01_評価入力!$G:$G,"*traditional*",01_評価入力!$H:$H,"○")+COUNTIFS(01_評価入力!$G:$G,"all",01_評価入力!$H:$H,"○")),2),0)</f>
        <v>3.33</v>
      </c>
    </row>
    <row r="24" customFormat="false" ht="69.4" hidden="false" customHeight="false" outlineLevel="0" collapsed="false">
      <c r="A24" s="35" t="s">
        <v>1521</v>
      </c>
      <c r="B24" s="27" t="str">
        <f aca="false">00_はじめに!$B$25</f>
        <v>Y</v>
      </c>
      <c r="C24" s="27" t="n">
        <f aca="false">COUNTIFS(01_評価入力!$G:$G,"*generative*",01_評価入力!$H:$H,"○")+COUNTIFS(01_評価入力!$G:$G,"all",01_評価入力!$H:$H,"○")</f>
        <v>174</v>
      </c>
      <c r="D24" s="30" t="n">
        <f aca="false">IFERROR(ROUND((SUMIFS(01_評価入力!$I:$I,01_評価入力!$G:$G,"*generative*")+SUMIFS(01_評価入力!$I:$I,01_評価入力!$G:$G,"all"))/(COUNTIFS(01_評価入力!$G:$G,"*generative*",01_評価入力!$I:$I,"&lt;&gt;")+COUNTIFS(01_評価入力!$G:$G,"all",01_評価入力!$I:$I,"&lt;&gt;")),2),0)</f>
        <v>0</v>
      </c>
      <c r="E24" s="30" t="n">
        <f aca="false">IFERROR(ROUND((SUMIFS(01_評価入力!$J:$J,01_評価入力!$G:$G,"*generative*",01_評価入力!$H:$H,"○")+SUMIFS(01_評価入力!$J:$J,01_評価入力!$G:$G,"all",01_評価入力!$H:$H,"○"))/(COUNTIFS(01_評価入力!$G:$G,"*generative*",01_評価入力!$H:$H,"○")+COUNTIFS(01_評価入力!$G:$G,"all",01_評価入力!$H:$H,"○")),2),0)</f>
        <v>3.34</v>
      </c>
    </row>
    <row r="25" customFormat="false" ht="44" hidden="false" customHeight="false" outlineLevel="0" collapsed="false">
      <c r="A25" s="32" t="s">
        <v>1522</v>
      </c>
      <c r="B25" s="27" t="str">
        <f aca="false">00_はじめに!$B$26</f>
        <v>Y</v>
      </c>
      <c r="C25" s="27" t="n">
        <f aca="false">COUNTIFS(01_評価入力!$G:$G,"*ai-agent*",01_評価入力!$H:$H,"○")+COUNTIFS(01_評価入力!$G:$G,"all",01_評価入力!$H:$H,"○")</f>
        <v>181</v>
      </c>
      <c r="D25" s="30" t="n">
        <f aca="false">IFERROR(ROUND((SUMIFS(01_評価入力!$I:$I,01_評価入力!$G:$G,"*ai-agent*")+SUMIFS(01_評価入力!$I:$I,01_評価入力!$G:$G,"all"))/(COUNTIFS(01_評価入力!$G:$G,"*ai-agent*",01_評価入力!$I:$I,"&lt;&gt;")+COUNTIFS(01_評価入力!$G:$G,"all",01_評価入力!$I:$I,"&lt;&gt;")),2),0)</f>
        <v>0</v>
      </c>
      <c r="E25" s="30" t="n">
        <f aca="false">IFERROR(ROUND((SUMIFS(01_評価入力!$J:$J,01_評価入力!$G:$G,"*ai-agent*",01_評価入力!$H:$H,"○")+SUMIFS(01_評価入力!$J:$J,01_評価入力!$G:$G,"all",01_評価入力!$H:$H,"○"))/(COUNTIFS(01_評価入力!$G:$G,"*ai-agent*",01_評価入力!$H:$H,"○")+COUNTIFS(01_評価入力!$G:$G,"all",01_評価入力!$H:$H,"○")),2),0)</f>
        <v>3.33</v>
      </c>
    </row>
    <row r="26" customFormat="false" ht="44" hidden="false" customHeight="false" outlineLevel="0" collapsed="false">
      <c r="A26" s="35" t="s">
        <v>1523</v>
      </c>
      <c r="B26" s="27" t="str">
        <f aca="false">00_はじめに!$B$27</f>
        <v>Y</v>
      </c>
      <c r="C26" s="27" t="n">
        <f aca="false">COUNTIFS(01_評価入力!$G:$G,"*multi-agent*",01_評価入力!$H:$H,"○")+COUNTIFS(01_評価入力!$G:$G,"all",01_評価入力!$H:$H,"○")</f>
        <v>170</v>
      </c>
      <c r="D26" s="30" t="n">
        <f aca="false">IFERROR(ROUND((SUMIFS(01_評価入力!$I:$I,01_評価入力!$G:$G,"*multi-agent*")+SUMIFS(01_評価入力!$I:$I,01_評価入力!$G:$G,"all"))/(COUNTIFS(01_評価入力!$G:$G,"*multi-agent*",01_評価入力!$I:$I,"&lt;&gt;")+COUNTIFS(01_評価入力!$G:$G,"all",01_評価入力!$I:$I,"&lt;&gt;")),2),0)</f>
        <v>0</v>
      </c>
      <c r="E26" s="30" t="n">
        <f aca="false">IFERROR(ROUND((SUMIFS(01_評価入力!$J:$J,01_評価入力!$G:$G,"*multi-agent*",01_評価入力!$H:$H,"○")+SUMIFS(01_評価入力!$J:$J,01_評価入力!$G:$G,"all",01_評価入力!$H:$H,"○"))/(COUNTIFS(01_評価入力!$G:$G,"*multi-agent*",01_評価入力!$H:$H,"○")+COUNTIFS(01_評価入力!$G:$G,"all",01_評価入力!$H:$H,"○")),2),0)</f>
        <v>3.33</v>
      </c>
    </row>
    <row r="28" customFormat="false" ht="15" hidden="false" customHeight="false" outlineLevel="0" collapsed="false">
      <c r="A28" s="26" t="s">
        <v>1524</v>
      </c>
    </row>
    <row r="29" customFormat="false" ht="15" hidden="false" customHeight="false" outlineLevel="0" collapsed="false">
      <c r="A29" s="8" t="s">
        <v>70</v>
      </c>
      <c r="B29" s="8" t="s">
        <v>1511</v>
      </c>
    </row>
    <row r="30" customFormat="false" ht="15" hidden="false" customHeight="false" outlineLevel="0" collapsed="false">
      <c r="A30" s="36" t="s">
        <v>791</v>
      </c>
      <c r="B30" s="27" t="n">
        <f aca="false">COUNTIFS(06_重複排除後!$D:$D,$A30,06_重複排除後!$H:$H,"○")</f>
        <v>0</v>
      </c>
    </row>
    <row r="31" customFormat="false" ht="15" hidden="false" customHeight="false" outlineLevel="0" collapsed="false">
      <c r="A31" s="36" t="s">
        <v>827</v>
      </c>
      <c r="B31" s="27" t="n">
        <f aca="false">COUNTIFS(06_重複排除後!$D:$D,$A31,06_重複排除後!$H:$H,"○")</f>
        <v>0</v>
      </c>
    </row>
    <row r="32" customFormat="false" ht="15" hidden="false" customHeight="false" outlineLevel="0" collapsed="false">
      <c r="A32" s="36" t="s">
        <v>919</v>
      </c>
      <c r="B32" s="27" t="n">
        <f aca="false">COUNTIFS(06_重複排除後!$D:$D,$A32,06_重複排除後!$H:$H,"○")</f>
        <v>0</v>
      </c>
    </row>
    <row r="34" customFormat="false" ht="19.4" hidden="false" customHeight="false" outlineLevel="0" collapsed="false">
      <c r="A34" s="26" t="s">
        <v>1525</v>
      </c>
      <c r="J34" s="37" t="s">
        <v>1526</v>
      </c>
    </row>
    <row r="35" customFormat="false" ht="29.85" hidden="false" customHeight="false" outlineLevel="0" collapsed="false">
      <c r="A35" s="8" t="s">
        <v>1476</v>
      </c>
      <c r="B35" s="8" t="s">
        <v>70</v>
      </c>
      <c r="C35" s="8" t="s">
        <v>71</v>
      </c>
      <c r="D35" s="8" t="s">
        <v>1527</v>
      </c>
      <c r="E35" s="8" t="s">
        <v>1528</v>
      </c>
      <c r="F35" s="8" t="s">
        <v>1511</v>
      </c>
      <c r="J35" s="8" t="s">
        <v>70</v>
      </c>
      <c r="K35" s="8" t="s">
        <v>71</v>
      </c>
      <c r="L35" s="8" t="s">
        <v>1529</v>
      </c>
      <c r="M35" s="8" t="s">
        <v>1528</v>
      </c>
      <c r="N35" s="8" t="s">
        <v>1530</v>
      </c>
    </row>
    <row r="36" customFormat="false" ht="29.85" hidden="false" customHeight="false" outlineLevel="0" collapsed="false">
      <c r="A36" s="27" t="n">
        <v>1</v>
      </c>
      <c r="B36" s="27" t="str">
        <f aca="false">IFERROR(INDEX($J$36:$J$72,MATCH(LARGE($N$36:$N$72,$A36),$N$36:$N$72,0)),"")</f>
        <v/>
      </c>
      <c r="C36" s="27" t="str">
        <f aca="false">IFERROR(INDEX($K$36:$K$72,MATCH(LARGE($N$36:$N$72,$A36),$N$36:$N$72,0)),"")</f>
        <v/>
      </c>
      <c r="D36" s="33" t="str">
        <f aca="false">IFERROR(INDEX($L$36:$L$72,MATCH(LARGE($N$36:$N$72,$A36),$N$36:$N$72,0)),"")</f>
        <v/>
      </c>
      <c r="E36" s="30" t="str">
        <f aca="false">IFERROR(LARGE($M$36:$M$72,$A36),"")</f>
        <v/>
      </c>
      <c r="F36" s="27" t="str">
        <f aca="false">IF($B36="","",COUNTIFS(06_重複排除後!$C:$C,$B36,06_重複排除後!$H:$H,"○",06_重複排除後!$A:$A,"AIMF-"&amp;$B36&amp;"-"&amp;$C36&amp;"-*"))</f>
        <v/>
      </c>
      <c r="J36" s="33" t="s">
        <v>94</v>
      </c>
      <c r="K36" s="33" t="s">
        <v>95</v>
      </c>
      <c r="L36" s="34" t="s">
        <v>1531</v>
      </c>
      <c r="M36" s="30" t="str">
        <f aca="false">IFERROR(ROUND(AVERAGEIFS(01_評価入力!$K:$K,01_評価入力!$B:$B,$J36,01_評価入力!$C:$C,$K36),2),"")</f>
        <v/>
      </c>
      <c r="N36" s="27" t="str">
        <f aca="false">IF($M36="","",$M36+(500-ROW())/1000000)</f>
        <v/>
      </c>
    </row>
    <row r="37" customFormat="false" ht="15" hidden="false" customHeight="false" outlineLevel="0" collapsed="false">
      <c r="A37" s="27" t="n">
        <v>2</v>
      </c>
      <c r="B37" s="27" t="str">
        <f aca="false">IFERROR(INDEX($J$36:$J$72,MATCH(LARGE($N$36:$N$72,$A37),$N$36:$N$72,0)),"")</f>
        <v/>
      </c>
      <c r="C37" s="27" t="str">
        <f aca="false">IFERROR(INDEX($K$36:$K$72,MATCH(LARGE($N$36:$N$72,$A37),$N$36:$N$72,0)),"")</f>
        <v/>
      </c>
      <c r="D37" s="33" t="str">
        <f aca="false">IFERROR(INDEX($L$36:$L$72,MATCH(LARGE($N$36:$N$72,$A37),$N$36:$N$72,0)),"")</f>
        <v/>
      </c>
      <c r="E37" s="30" t="str">
        <f aca="false">IFERROR(LARGE($M$36:$M$72,$A37),"")</f>
        <v/>
      </c>
      <c r="F37" s="27" t="str">
        <f aca="false">IF($B37="","",COUNTIFS(06_重複排除後!$C:$C,$B37,06_重複排除後!$H:$H,"○",06_重複排除後!$A:$A,"AIMF-"&amp;$B37&amp;"-"&amp;$C37&amp;"-*"))</f>
        <v/>
      </c>
      <c r="J37" s="33" t="s">
        <v>94</v>
      </c>
      <c r="K37" s="33" t="s">
        <v>127</v>
      </c>
      <c r="L37" s="33" t="s">
        <v>1532</v>
      </c>
      <c r="M37" s="30" t="str">
        <f aca="false">IFERROR(ROUND(AVERAGEIFS(01_評価入力!$K:$K,01_評価入力!$B:$B,$J37,01_評価入力!$C:$C,$K37),2),"")</f>
        <v/>
      </c>
      <c r="N37" s="27" t="str">
        <f aca="false">IF($M37="","",$M37+(500-ROW())/1000000)</f>
        <v/>
      </c>
    </row>
    <row r="38" customFormat="false" ht="15" hidden="false" customHeight="false" outlineLevel="0" collapsed="false">
      <c r="A38" s="27" t="n">
        <v>3</v>
      </c>
      <c r="B38" s="27" t="str">
        <f aca="false">IFERROR(INDEX($J$36:$J$72,MATCH(LARGE($N$36:$N$72,$A38),$N$36:$N$72,0)),"")</f>
        <v/>
      </c>
      <c r="C38" s="27" t="str">
        <f aca="false">IFERROR(INDEX($K$36:$K$72,MATCH(LARGE($N$36:$N$72,$A38),$N$36:$N$72,0)),"")</f>
        <v/>
      </c>
      <c r="D38" s="33" t="str">
        <f aca="false">IFERROR(INDEX($L$36:$L$72,MATCH(LARGE($N$36:$N$72,$A38),$N$36:$N$72,0)),"")</f>
        <v/>
      </c>
      <c r="E38" s="30" t="str">
        <f aca="false">IFERROR(LARGE($M$36:$M$72,$A38),"")</f>
        <v/>
      </c>
      <c r="F38" s="27" t="str">
        <f aca="false">IF($B38="","",COUNTIFS(06_重複排除後!$C:$C,$B38,06_重複排除後!$H:$H,"○",06_重複排除後!$A:$A,"AIMF-"&amp;$B38&amp;"-"&amp;$C38&amp;"-*"))</f>
        <v/>
      </c>
      <c r="J38" s="33" t="s">
        <v>94</v>
      </c>
      <c r="K38" s="33" t="s">
        <v>145</v>
      </c>
      <c r="L38" s="33" t="s">
        <v>1533</v>
      </c>
      <c r="M38" s="30" t="str">
        <f aca="false">IFERROR(ROUND(AVERAGEIFS(01_評価入力!$K:$K,01_評価入力!$B:$B,$J38,01_評価入力!$C:$C,$K38),2),"")</f>
        <v/>
      </c>
      <c r="N38" s="27" t="str">
        <f aca="false">IF($M38="","",$M38+(500-ROW())/1000000)</f>
        <v/>
      </c>
    </row>
    <row r="39" customFormat="false" ht="15" hidden="false" customHeight="false" outlineLevel="0" collapsed="false">
      <c r="A39" s="27" t="n">
        <v>4</v>
      </c>
      <c r="B39" s="27" t="str">
        <f aca="false">IFERROR(INDEX($J$36:$J$72,MATCH(LARGE($N$36:$N$72,$A39),$N$36:$N$72,0)),"")</f>
        <v/>
      </c>
      <c r="C39" s="27" t="str">
        <f aca="false">IFERROR(INDEX($K$36:$K$72,MATCH(LARGE($N$36:$N$72,$A39),$N$36:$N$72,0)),"")</f>
        <v/>
      </c>
      <c r="D39" s="33" t="str">
        <f aca="false">IFERROR(INDEX($L$36:$L$72,MATCH(LARGE($N$36:$N$72,$A39),$N$36:$N$72,0)),"")</f>
        <v/>
      </c>
      <c r="E39" s="30" t="str">
        <f aca="false">IFERROR(LARGE($M$36:$M$72,$A39),"")</f>
        <v/>
      </c>
      <c r="F39" s="27" t="str">
        <f aca="false">IF($B39="","",COUNTIFS(06_重複排除後!$C:$C,$B39,06_重複排除後!$H:$H,"○",06_重複排除後!$A:$A,"AIMF-"&amp;$B39&amp;"-"&amp;$C39&amp;"-*"))</f>
        <v/>
      </c>
      <c r="J39" s="33" t="s">
        <v>94</v>
      </c>
      <c r="K39" s="33" t="s">
        <v>171</v>
      </c>
      <c r="L39" s="34" t="s">
        <v>1534</v>
      </c>
      <c r="M39" s="30" t="str">
        <f aca="false">IFERROR(ROUND(AVERAGEIFS(01_評価入力!$K:$K,01_評価入力!$B:$B,$J39,01_評価入力!$C:$C,$K39),2),"")</f>
        <v/>
      </c>
      <c r="N39" s="27" t="str">
        <f aca="false">IF($M39="","",$M39+(500-ROW())/1000000)</f>
        <v/>
      </c>
    </row>
    <row r="40" customFormat="false" ht="15" hidden="false" customHeight="false" outlineLevel="0" collapsed="false">
      <c r="A40" s="27" t="n">
        <v>5</v>
      </c>
      <c r="B40" s="27" t="str">
        <f aca="false">IFERROR(INDEX($J$36:$J$72,MATCH(LARGE($N$36:$N$72,$A40),$N$36:$N$72,0)),"")</f>
        <v/>
      </c>
      <c r="C40" s="27" t="str">
        <f aca="false">IFERROR(INDEX($K$36:$K$72,MATCH(LARGE($N$36:$N$72,$A40),$N$36:$N$72,0)),"")</f>
        <v/>
      </c>
      <c r="D40" s="33" t="str">
        <f aca="false">IFERROR(INDEX($L$36:$L$72,MATCH(LARGE($N$36:$N$72,$A40),$N$36:$N$72,0)),"")</f>
        <v/>
      </c>
      <c r="E40" s="30" t="str">
        <f aca="false">IFERROR(LARGE($M$36:$M$72,$A40),"")</f>
        <v/>
      </c>
      <c r="F40" s="27" t="str">
        <f aca="false">IF($B40="","",COUNTIFS(06_重複排除後!$C:$C,$B40,06_重複排除後!$H:$H,"○",06_重複排除後!$A:$A,"AIMF-"&amp;$B40&amp;"-"&amp;$C40&amp;"-*"))</f>
        <v/>
      </c>
      <c r="J40" s="33" t="s">
        <v>94</v>
      </c>
      <c r="K40" s="33" t="s">
        <v>187</v>
      </c>
      <c r="L40" s="34" t="s">
        <v>1535</v>
      </c>
      <c r="M40" s="30" t="str">
        <f aca="false">IFERROR(ROUND(AVERAGEIFS(01_評価入力!$K:$K,01_評価入力!$B:$B,$J40,01_評価入力!$C:$C,$K40),2),"")</f>
        <v/>
      </c>
      <c r="N40" s="27" t="str">
        <f aca="false">IF($M40="","",$M40+(500-ROW())/1000000)</f>
        <v/>
      </c>
    </row>
    <row r="41" customFormat="false" ht="15" hidden="false" customHeight="false" outlineLevel="0" collapsed="false">
      <c r="A41" s="27" t="n">
        <v>6</v>
      </c>
      <c r="B41" s="27" t="str">
        <f aca="false">IFERROR(INDEX($J$36:$J$72,MATCH(LARGE($N$36:$N$72,$A41),$N$36:$N$72,0)),"")</f>
        <v/>
      </c>
      <c r="C41" s="27" t="str">
        <f aca="false">IFERROR(INDEX($K$36:$K$72,MATCH(LARGE($N$36:$N$72,$A41),$N$36:$N$72,0)),"")</f>
        <v/>
      </c>
      <c r="D41" s="33" t="str">
        <f aca="false">IFERROR(INDEX($L$36:$L$72,MATCH(LARGE($N$36:$N$72,$A41),$N$36:$N$72,0)),"")</f>
        <v/>
      </c>
      <c r="E41" s="30" t="str">
        <f aca="false">IFERROR(LARGE($M$36:$M$72,$A41),"")</f>
        <v/>
      </c>
      <c r="F41" s="27" t="str">
        <f aca="false">IF($B41="","",COUNTIFS(06_重複排除後!$C:$C,$B41,06_重複排除後!$H:$H,"○",06_重複排除後!$A:$A,"AIMF-"&amp;$B41&amp;"-"&amp;$C41&amp;"-*"))</f>
        <v/>
      </c>
      <c r="J41" s="33" t="s">
        <v>94</v>
      </c>
      <c r="K41" s="33" t="s">
        <v>200</v>
      </c>
      <c r="L41" s="34" t="s">
        <v>1536</v>
      </c>
      <c r="M41" s="30" t="str">
        <f aca="false">IFERROR(ROUND(AVERAGEIFS(01_評価入力!$K:$K,01_評価入力!$B:$B,$J41,01_評価入力!$C:$C,$K41),2),"")</f>
        <v/>
      </c>
      <c r="N41" s="27" t="str">
        <f aca="false">IF($M41="","",$M41+(500-ROW())/1000000)</f>
        <v/>
      </c>
    </row>
    <row r="42" customFormat="false" ht="29.85" hidden="false" customHeight="false" outlineLevel="0" collapsed="false">
      <c r="A42" s="27" t="n">
        <v>7</v>
      </c>
      <c r="B42" s="27" t="str">
        <f aca="false">IFERROR(INDEX($J$36:$J$72,MATCH(LARGE($N$36:$N$72,$A42),$N$36:$N$72,0)),"")</f>
        <v/>
      </c>
      <c r="C42" s="27" t="str">
        <f aca="false">IFERROR(INDEX($K$36:$K$72,MATCH(LARGE($N$36:$N$72,$A42),$N$36:$N$72,0)),"")</f>
        <v/>
      </c>
      <c r="D42" s="33" t="str">
        <f aca="false">IFERROR(INDEX($L$36:$L$72,MATCH(LARGE($N$36:$N$72,$A42),$N$36:$N$72,0)),"")</f>
        <v/>
      </c>
      <c r="E42" s="30" t="str">
        <f aca="false">IFERROR(LARGE($M$36:$M$72,$A42),"")</f>
        <v/>
      </c>
      <c r="F42" s="27" t="str">
        <f aca="false">IF($B42="","",COUNTIFS(06_重複排除後!$C:$C,$B42,06_重複排除後!$H:$H,"○",06_重複排除後!$A:$A,"AIMF-"&amp;$B42&amp;"-"&amp;$C42&amp;"-*"))</f>
        <v/>
      </c>
      <c r="J42" s="33" t="s">
        <v>217</v>
      </c>
      <c r="K42" s="33" t="s">
        <v>218</v>
      </c>
      <c r="L42" s="33" t="s">
        <v>1537</v>
      </c>
      <c r="M42" s="30" t="str">
        <f aca="false">IFERROR(ROUND(AVERAGEIFS(01_評価入力!$K:$K,01_評価入力!$B:$B,$J42,01_評価入力!$C:$C,$K42),2),"")</f>
        <v/>
      </c>
      <c r="N42" s="27" t="str">
        <f aca="false">IF($M42="","",$M42+(500-ROW())/1000000)</f>
        <v/>
      </c>
    </row>
    <row r="43" customFormat="false" ht="29.85" hidden="false" customHeight="false" outlineLevel="0" collapsed="false">
      <c r="A43" s="27" t="n">
        <v>8</v>
      </c>
      <c r="B43" s="27" t="str">
        <f aca="false">IFERROR(INDEX($J$36:$J$72,MATCH(LARGE($N$36:$N$72,$A43),$N$36:$N$72,0)),"")</f>
        <v/>
      </c>
      <c r="C43" s="27" t="str">
        <f aca="false">IFERROR(INDEX($K$36:$K$72,MATCH(LARGE($N$36:$N$72,$A43),$N$36:$N$72,0)),"")</f>
        <v/>
      </c>
      <c r="D43" s="33" t="str">
        <f aca="false">IFERROR(INDEX($L$36:$L$72,MATCH(LARGE($N$36:$N$72,$A43),$N$36:$N$72,0)),"")</f>
        <v/>
      </c>
      <c r="E43" s="30" t="str">
        <f aca="false">IFERROR(LARGE($M$36:$M$72,$A43),"")</f>
        <v/>
      </c>
      <c r="F43" s="27" t="str">
        <f aca="false">IF($B43="","",COUNTIFS(06_重複排除後!$C:$C,$B43,06_重複排除後!$H:$H,"○",06_重複排除後!$A:$A,"AIMF-"&amp;$B43&amp;"-"&amp;$C43&amp;"-*"))</f>
        <v/>
      </c>
      <c r="J43" s="33" t="s">
        <v>217</v>
      </c>
      <c r="K43" s="33" t="s">
        <v>244</v>
      </c>
      <c r="L43" s="34" t="s">
        <v>1538</v>
      </c>
      <c r="M43" s="30" t="str">
        <f aca="false">IFERROR(ROUND(AVERAGEIFS(01_評価入力!$K:$K,01_評価入力!$B:$B,$J43,01_評価入力!$C:$C,$K43),2),"")</f>
        <v/>
      </c>
      <c r="N43" s="27" t="str">
        <f aca="false">IF($M43="","",$M43+(500-ROW())/1000000)</f>
        <v/>
      </c>
    </row>
    <row r="44" customFormat="false" ht="15" hidden="false" customHeight="false" outlineLevel="0" collapsed="false">
      <c r="A44" s="27" t="n">
        <v>9</v>
      </c>
      <c r="B44" s="27" t="str">
        <f aca="false">IFERROR(INDEX($J$36:$J$72,MATCH(LARGE($N$36:$N$72,$A44),$N$36:$N$72,0)),"")</f>
        <v/>
      </c>
      <c r="C44" s="27" t="str">
        <f aca="false">IFERROR(INDEX($K$36:$K$72,MATCH(LARGE($N$36:$N$72,$A44),$N$36:$N$72,0)),"")</f>
        <v/>
      </c>
      <c r="D44" s="33" t="str">
        <f aca="false">IFERROR(INDEX($L$36:$L$72,MATCH(LARGE($N$36:$N$72,$A44),$N$36:$N$72,0)),"")</f>
        <v/>
      </c>
      <c r="E44" s="30" t="str">
        <f aca="false">IFERROR(LARGE($M$36:$M$72,$A44),"")</f>
        <v/>
      </c>
      <c r="F44" s="27" t="str">
        <f aca="false">IF($B44="","",COUNTIFS(06_重複排除後!$C:$C,$B44,06_重複排除後!$H:$H,"○",06_重複排除後!$A:$A,"AIMF-"&amp;$B44&amp;"-"&amp;$C44&amp;"-*"))</f>
        <v/>
      </c>
      <c r="J44" s="33" t="s">
        <v>217</v>
      </c>
      <c r="K44" s="33" t="s">
        <v>257</v>
      </c>
      <c r="L44" s="34" t="s">
        <v>1539</v>
      </c>
      <c r="M44" s="30" t="str">
        <f aca="false">IFERROR(ROUND(AVERAGEIFS(01_評価入力!$K:$K,01_評価入力!$B:$B,$J44,01_評価入力!$C:$C,$K44),2),"")</f>
        <v/>
      </c>
      <c r="N44" s="27" t="str">
        <f aca="false">IF($M44="","",$M44+(500-ROW())/1000000)</f>
        <v/>
      </c>
    </row>
    <row r="45" customFormat="false" ht="15" hidden="false" customHeight="false" outlineLevel="0" collapsed="false">
      <c r="A45" s="27" t="n">
        <v>10</v>
      </c>
      <c r="B45" s="27" t="str">
        <f aca="false">IFERROR(INDEX($J$36:$J$72,MATCH(LARGE($N$36:$N$72,$A45),$N$36:$N$72,0)),"")</f>
        <v/>
      </c>
      <c r="C45" s="27" t="str">
        <f aca="false">IFERROR(INDEX($K$36:$K$72,MATCH(LARGE($N$36:$N$72,$A45),$N$36:$N$72,0)),"")</f>
        <v/>
      </c>
      <c r="D45" s="33" t="str">
        <f aca="false">IFERROR(INDEX($L$36:$L$72,MATCH(LARGE($N$36:$N$72,$A45),$N$36:$N$72,0)),"")</f>
        <v/>
      </c>
      <c r="E45" s="30" t="str">
        <f aca="false">IFERROR(LARGE($M$36:$M$72,$A45),"")</f>
        <v/>
      </c>
      <c r="F45" s="27" t="str">
        <f aca="false">IF($B45="","",COUNTIFS(06_重複排除後!$C:$C,$B45,06_重複排除後!$H:$H,"○",06_重複排除後!$A:$A,"AIMF-"&amp;$B45&amp;"-"&amp;$C45&amp;"-*"))</f>
        <v/>
      </c>
      <c r="J45" s="33" t="s">
        <v>217</v>
      </c>
      <c r="K45" s="33" t="s">
        <v>282</v>
      </c>
      <c r="L45" s="34" t="s">
        <v>1540</v>
      </c>
      <c r="M45" s="30" t="str">
        <f aca="false">IFERROR(ROUND(AVERAGEIFS(01_評価入力!$K:$K,01_評価入力!$B:$B,$J45,01_評価入力!$C:$C,$K45),2),"")</f>
        <v/>
      </c>
      <c r="N45" s="27" t="str">
        <f aca="false">IF($M45="","",$M45+(500-ROW())/1000000)</f>
        <v/>
      </c>
    </row>
    <row r="46" customFormat="false" ht="15" hidden="false" customHeight="false" outlineLevel="0" collapsed="false">
      <c r="J46" s="33" t="s">
        <v>217</v>
      </c>
      <c r="K46" s="33" t="s">
        <v>299</v>
      </c>
      <c r="L46" s="33" t="s">
        <v>1541</v>
      </c>
      <c r="M46" s="30" t="str">
        <f aca="false">IFERROR(ROUND(AVERAGEIFS(01_評価入力!$K:$K,01_評価入力!$B:$B,$J46,01_評価入力!$C:$C,$K46),2),"")</f>
        <v/>
      </c>
      <c r="N46" s="27" t="str">
        <f aca="false">IF($M46="","",$M46+(500-ROW())/1000000)</f>
        <v/>
      </c>
    </row>
    <row r="47" customFormat="false" ht="29.85" hidden="false" customHeight="false" outlineLevel="0" collapsed="false">
      <c r="A47" s="26" t="s">
        <v>1542</v>
      </c>
      <c r="J47" s="33" t="s">
        <v>312</v>
      </c>
      <c r="K47" s="33" t="s">
        <v>313</v>
      </c>
      <c r="L47" s="34" t="s">
        <v>1543</v>
      </c>
      <c r="M47" s="30" t="str">
        <f aca="false">IFERROR(ROUND(AVERAGEIFS(01_評価入力!$K:$K,01_評価入力!$B:$B,$J47,01_評価入力!$C:$C,$K47),2),"")</f>
        <v/>
      </c>
      <c r="N47" s="27" t="str">
        <f aca="false">IF($M47="","",$M47+(500-ROW())/1000000)</f>
        <v/>
      </c>
    </row>
    <row r="48" customFormat="false" ht="29.85" hidden="false" customHeight="false" outlineLevel="0" collapsed="false">
      <c r="A48" s="8" t="s">
        <v>1476</v>
      </c>
      <c r="B48" s="8" t="s">
        <v>69</v>
      </c>
      <c r="C48" s="8" t="s">
        <v>70</v>
      </c>
      <c r="D48" s="9" t="s">
        <v>74</v>
      </c>
      <c r="E48" s="8" t="s">
        <v>73</v>
      </c>
      <c r="F48" s="8" t="s">
        <v>1544</v>
      </c>
      <c r="G48" s="8" t="s">
        <v>1545</v>
      </c>
      <c r="H48" s="8" t="s">
        <v>58</v>
      </c>
      <c r="J48" s="33" t="s">
        <v>312</v>
      </c>
      <c r="K48" s="33" t="s">
        <v>329</v>
      </c>
      <c r="L48" s="33" t="s">
        <v>1546</v>
      </c>
      <c r="M48" s="30" t="str">
        <f aca="false">IFERROR(ROUND(AVERAGEIFS(01_評価入力!$K:$K,01_評価入力!$B:$B,$J48,01_評価入力!$C:$C,$K48),2),"")</f>
        <v/>
      </c>
      <c r="N48" s="27" t="str">
        <f aca="false">IF($M48="","",$M48+(500-ROW())/1000000)</f>
        <v/>
      </c>
    </row>
    <row r="49" customFormat="false" ht="15" hidden="false" customHeight="false" outlineLevel="0" collapsed="false">
      <c r="A49" s="27" t="n">
        <v>1</v>
      </c>
      <c r="B49" s="27" t="str">
        <f aca="false">IFERROR(INDEX(01_評価入力!$A:$A,MATCH(LARGE(01_評価入力!$V$2:$V$208,$A49),01_評価入力!$V:$V,0)),"")</f>
        <v/>
      </c>
      <c r="C49" s="27" t="str">
        <f aca="false">IF($B49="","",VLOOKUP($B49,01_評価入力!$A:$B,2,0))</f>
        <v/>
      </c>
      <c r="D49" s="27" t="str">
        <f aca="false">IF($B49="","",VLOOKUP($B49,01_評価入力!$A:$F,6,0))</f>
        <v/>
      </c>
      <c r="E49" s="33" t="str">
        <f aca="false">IF($B49="","",VLOOKUP($B49,01_評価入力!$A:$E,5,0))</f>
        <v/>
      </c>
      <c r="F49" s="27" t="str">
        <f aca="false">IF($B49="","",VLOOKUP($B49,01_評価入力!$A:$I,9,0))</f>
        <v/>
      </c>
      <c r="G49" s="27" t="str">
        <f aca="false">IF($B49="","",VLOOKUP($B49,01_評価入力!$A:$J,10,0))</f>
        <v/>
      </c>
      <c r="H49" s="38" t="str">
        <f aca="false">IF($B49="","",ROUND(VLOOKUP($B49,01_評価入力!$A:$R,18,0),1))</f>
        <v/>
      </c>
      <c r="J49" s="33" t="s">
        <v>312</v>
      </c>
      <c r="K49" s="33" t="s">
        <v>351</v>
      </c>
      <c r="L49" s="34" t="s">
        <v>1547</v>
      </c>
      <c r="M49" s="30" t="str">
        <f aca="false">IFERROR(ROUND(AVERAGEIFS(01_評価入力!$K:$K,01_評価入力!$B:$B,$J49,01_評価入力!$C:$C,$K49),2),"")</f>
        <v/>
      </c>
      <c r="N49" s="27" t="str">
        <f aca="false">IF($M49="","",$M49+(500-ROW())/1000000)</f>
        <v/>
      </c>
    </row>
    <row r="50" customFormat="false" ht="15" hidden="false" customHeight="false" outlineLevel="0" collapsed="false">
      <c r="A50" s="27" t="n">
        <v>2</v>
      </c>
      <c r="B50" s="27" t="str">
        <f aca="false">IFERROR(INDEX(01_評価入力!$A:$A,MATCH(LARGE(01_評価入力!$V$2:$V$208,$A50),01_評価入力!$V:$V,0)),"")</f>
        <v/>
      </c>
      <c r="C50" s="27" t="str">
        <f aca="false">IF($B50="","",VLOOKUP($B50,01_評価入力!$A:$B,2,0))</f>
        <v/>
      </c>
      <c r="D50" s="27" t="str">
        <f aca="false">IF($B50="","",VLOOKUP($B50,01_評価入力!$A:$F,6,0))</f>
        <v/>
      </c>
      <c r="E50" s="33" t="str">
        <f aca="false">IF($B50="","",VLOOKUP($B50,01_評価入力!$A:$E,5,0))</f>
        <v/>
      </c>
      <c r="F50" s="27" t="str">
        <f aca="false">IF($B50="","",VLOOKUP($B50,01_評価入力!$A:$I,9,0))</f>
        <v/>
      </c>
      <c r="G50" s="27" t="str">
        <f aca="false">IF($B50="","",VLOOKUP($B50,01_評価入力!$A:$J,10,0))</f>
        <v/>
      </c>
      <c r="H50" s="38" t="str">
        <f aca="false">IF($B50="","",ROUND(VLOOKUP($B50,01_評価入力!$A:$R,18,0),1))</f>
        <v/>
      </c>
      <c r="J50" s="33" t="s">
        <v>312</v>
      </c>
      <c r="K50" s="33" t="s">
        <v>376</v>
      </c>
      <c r="L50" s="33" t="s">
        <v>1548</v>
      </c>
      <c r="M50" s="30" t="str">
        <f aca="false">IFERROR(ROUND(AVERAGEIFS(01_評価入力!$K:$K,01_評価入力!$B:$B,$J50,01_評価入力!$C:$C,$K50),2),"")</f>
        <v/>
      </c>
      <c r="N50" s="27" t="str">
        <f aca="false">IF($M50="","",$M50+(500-ROW())/1000000)</f>
        <v/>
      </c>
    </row>
    <row r="51" customFormat="false" ht="29.85" hidden="false" customHeight="false" outlineLevel="0" collapsed="false">
      <c r="A51" s="27" t="n">
        <v>3</v>
      </c>
      <c r="B51" s="27" t="str">
        <f aca="false">IFERROR(INDEX(01_評価入力!$A:$A,MATCH(LARGE(01_評価入力!$V$2:$V$208,$A51),01_評価入力!$V:$V,0)),"")</f>
        <v/>
      </c>
      <c r="C51" s="27" t="str">
        <f aca="false">IF($B51="","",VLOOKUP($B51,01_評価入力!$A:$B,2,0))</f>
        <v/>
      </c>
      <c r="D51" s="27" t="str">
        <f aca="false">IF($B51="","",VLOOKUP($B51,01_評価入力!$A:$F,6,0))</f>
        <v/>
      </c>
      <c r="E51" s="33" t="str">
        <f aca="false">IF($B51="","",VLOOKUP($B51,01_評価入力!$A:$E,5,0))</f>
        <v/>
      </c>
      <c r="F51" s="27" t="str">
        <f aca="false">IF($B51="","",VLOOKUP($B51,01_評価入力!$A:$I,9,0))</f>
        <v/>
      </c>
      <c r="G51" s="27" t="str">
        <f aca="false">IF($B51="","",VLOOKUP($B51,01_評価入力!$A:$J,10,0))</f>
        <v/>
      </c>
      <c r="H51" s="38" t="str">
        <f aca="false">IF($B51="","",ROUND(VLOOKUP($B51,01_評価入力!$A:$R,18,0),1))</f>
        <v/>
      </c>
      <c r="J51" s="33" t="s">
        <v>312</v>
      </c>
      <c r="K51" s="33" t="s">
        <v>392</v>
      </c>
      <c r="L51" s="34" t="s">
        <v>1549</v>
      </c>
      <c r="M51" s="30" t="str">
        <f aca="false">IFERROR(ROUND(AVERAGEIFS(01_評価入力!$K:$K,01_評価入力!$B:$B,$J51,01_評価入力!$C:$C,$K51),2),"")</f>
        <v/>
      </c>
      <c r="N51" s="27" t="str">
        <f aca="false">IF($M51="","",$M51+(500-ROW())/1000000)</f>
        <v/>
      </c>
    </row>
    <row r="52" customFormat="false" ht="29.85" hidden="false" customHeight="false" outlineLevel="0" collapsed="false">
      <c r="A52" s="27" t="n">
        <v>4</v>
      </c>
      <c r="B52" s="27" t="str">
        <f aca="false">IFERROR(INDEX(01_評価入力!$A:$A,MATCH(LARGE(01_評価入力!$V$2:$V$208,$A52),01_評価入力!$V:$V,0)),"")</f>
        <v/>
      </c>
      <c r="C52" s="27" t="str">
        <f aca="false">IF($B52="","",VLOOKUP($B52,01_評価入力!$A:$B,2,0))</f>
        <v/>
      </c>
      <c r="D52" s="27" t="str">
        <f aca="false">IF($B52="","",VLOOKUP($B52,01_評価入力!$A:$F,6,0))</f>
        <v/>
      </c>
      <c r="E52" s="33" t="str">
        <f aca="false">IF($B52="","",VLOOKUP($B52,01_評価入力!$A:$E,5,0))</f>
        <v/>
      </c>
      <c r="F52" s="27" t="str">
        <f aca="false">IF($B52="","",VLOOKUP($B52,01_評価入力!$A:$I,9,0))</f>
        <v/>
      </c>
      <c r="G52" s="27" t="str">
        <f aca="false">IF($B52="","",VLOOKUP($B52,01_評価入力!$A:$J,10,0))</f>
        <v/>
      </c>
      <c r="H52" s="38" t="str">
        <f aca="false">IF($B52="","",ROUND(VLOOKUP($B52,01_評価入力!$A:$R,18,0),1))</f>
        <v/>
      </c>
      <c r="J52" s="33" t="s">
        <v>312</v>
      </c>
      <c r="K52" s="33" t="s">
        <v>414</v>
      </c>
      <c r="L52" s="34" t="s">
        <v>1550</v>
      </c>
      <c r="M52" s="30" t="str">
        <f aca="false">IFERROR(ROUND(AVERAGEIFS(01_評価入力!$K:$K,01_評価入力!$B:$B,$J52,01_評価入力!$C:$C,$K52),2),"")</f>
        <v/>
      </c>
      <c r="N52" s="27" t="str">
        <f aca="false">IF($M52="","",$M52+(500-ROW())/1000000)</f>
        <v/>
      </c>
    </row>
    <row r="53" customFormat="false" ht="15" hidden="false" customHeight="false" outlineLevel="0" collapsed="false">
      <c r="A53" s="27" t="n">
        <v>5</v>
      </c>
      <c r="B53" s="27" t="str">
        <f aca="false">IFERROR(INDEX(01_評価入力!$A:$A,MATCH(LARGE(01_評価入力!$V$2:$V$208,$A53),01_評価入力!$V:$V,0)),"")</f>
        <v/>
      </c>
      <c r="C53" s="27" t="str">
        <f aca="false">IF($B53="","",VLOOKUP($B53,01_評価入力!$A:$B,2,0))</f>
        <v/>
      </c>
      <c r="D53" s="27" t="str">
        <f aca="false">IF($B53="","",VLOOKUP($B53,01_評価入力!$A:$F,6,0))</f>
        <v/>
      </c>
      <c r="E53" s="33" t="str">
        <f aca="false">IF($B53="","",VLOOKUP($B53,01_評価入力!$A:$E,5,0))</f>
        <v/>
      </c>
      <c r="F53" s="27" t="str">
        <f aca="false">IF($B53="","",VLOOKUP($B53,01_評価入力!$A:$I,9,0))</f>
        <v/>
      </c>
      <c r="G53" s="27" t="str">
        <f aca="false">IF($B53="","",VLOOKUP($B53,01_評価入力!$A:$J,10,0))</f>
        <v/>
      </c>
      <c r="H53" s="38" t="str">
        <f aca="false">IF($B53="","",ROUND(VLOOKUP($B53,01_評価入力!$A:$R,18,0),1))</f>
        <v/>
      </c>
      <c r="J53" s="33" t="s">
        <v>312</v>
      </c>
      <c r="K53" s="33" t="s">
        <v>433</v>
      </c>
      <c r="L53" s="34" t="s">
        <v>1551</v>
      </c>
      <c r="M53" s="30" t="str">
        <f aca="false">IFERROR(ROUND(AVERAGEIFS(01_評価入力!$K:$K,01_評価入力!$B:$B,$J53,01_評価入力!$C:$C,$K53),2),"")</f>
        <v/>
      </c>
      <c r="N53" s="27" t="str">
        <f aca="false">IF($M53="","",$M53+(500-ROW())/1000000)</f>
        <v/>
      </c>
    </row>
    <row r="54" customFormat="false" ht="29.85" hidden="false" customHeight="false" outlineLevel="0" collapsed="false">
      <c r="A54" s="27" t="n">
        <v>6</v>
      </c>
      <c r="B54" s="27" t="str">
        <f aca="false">IFERROR(INDEX(01_評価入力!$A:$A,MATCH(LARGE(01_評価入力!$V$2:$V$208,$A54),01_評価入力!$V:$V,0)),"")</f>
        <v/>
      </c>
      <c r="C54" s="27" t="str">
        <f aca="false">IF($B54="","",VLOOKUP($B54,01_評価入力!$A:$B,2,0))</f>
        <v/>
      </c>
      <c r="D54" s="27" t="str">
        <f aca="false">IF($B54="","",VLOOKUP($B54,01_評価入力!$A:$F,6,0))</f>
        <v/>
      </c>
      <c r="E54" s="33" t="str">
        <f aca="false">IF($B54="","",VLOOKUP($B54,01_評価入力!$A:$E,5,0))</f>
        <v/>
      </c>
      <c r="F54" s="27" t="str">
        <f aca="false">IF($B54="","",VLOOKUP($B54,01_評価入力!$A:$I,9,0))</f>
        <v/>
      </c>
      <c r="G54" s="27" t="str">
        <f aca="false">IF($B54="","",VLOOKUP($B54,01_評価入力!$A:$J,10,0))</f>
        <v/>
      </c>
      <c r="H54" s="38" t="str">
        <f aca="false">IF($B54="","",ROUND(VLOOKUP($B54,01_評価入力!$A:$R,18,0),1))</f>
        <v/>
      </c>
      <c r="J54" s="33" t="s">
        <v>312</v>
      </c>
      <c r="K54" s="33" t="s">
        <v>458</v>
      </c>
      <c r="L54" s="34" t="s">
        <v>1552</v>
      </c>
      <c r="M54" s="30" t="str">
        <f aca="false">IFERROR(ROUND(AVERAGEIFS(01_評価入力!$K:$K,01_評価入力!$B:$B,$J54,01_評価入力!$C:$C,$K54),2),"")</f>
        <v/>
      </c>
      <c r="N54" s="27" t="str">
        <f aca="false">IF($M54="","",$M54+(500-ROW())/1000000)</f>
        <v/>
      </c>
    </row>
    <row r="55" customFormat="false" ht="15" hidden="false" customHeight="false" outlineLevel="0" collapsed="false">
      <c r="A55" s="27" t="n">
        <v>7</v>
      </c>
      <c r="B55" s="27" t="str">
        <f aca="false">IFERROR(INDEX(01_評価入力!$A:$A,MATCH(LARGE(01_評価入力!$V$2:$V$208,$A55),01_評価入力!$V:$V,0)),"")</f>
        <v/>
      </c>
      <c r="C55" s="27" t="str">
        <f aca="false">IF($B55="","",VLOOKUP($B55,01_評価入力!$A:$B,2,0))</f>
        <v/>
      </c>
      <c r="D55" s="27" t="str">
        <f aca="false">IF($B55="","",VLOOKUP($B55,01_評価入力!$A:$F,6,0))</f>
        <v/>
      </c>
      <c r="E55" s="33" t="str">
        <f aca="false">IF($B55="","",VLOOKUP($B55,01_評価入力!$A:$E,5,0))</f>
        <v/>
      </c>
      <c r="F55" s="27" t="str">
        <f aca="false">IF($B55="","",VLOOKUP($B55,01_評価入力!$A:$I,9,0))</f>
        <v/>
      </c>
      <c r="G55" s="27" t="str">
        <f aca="false">IF($B55="","",VLOOKUP($B55,01_評価入力!$A:$J,10,0))</f>
        <v/>
      </c>
      <c r="H55" s="38" t="str">
        <f aca="false">IF($B55="","",ROUND(VLOOKUP($B55,01_評価入力!$A:$R,18,0),1))</f>
        <v/>
      </c>
      <c r="J55" s="33" t="s">
        <v>312</v>
      </c>
      <c r="K55" s="33" t="s">
        <v>490</v>
      </c>
      <c r="L55" s="34" t="s">
        <v>1553</v>
      </c>
      <c r="M55" s="30" t="str">
        <f aca="false">IFERROR(ROUND(AVERAGEIFS(01_評価入力!$K:$K,01_評価入力!$B:$B,$J55,01_評価入力!$C:$C,$K55),2),"")</f>
        <v/>
      </c>
      <c r="N55" s="27" t="str">
        <f aca="false">IF($M55="","",$M55+(500-ROW())/1000000)</f>
        <v/>
      </c>
    </row>
    <row r="56" customFormat="false" ht="15" hidden="false" customHeight="false" outlineLevel="0" collapsed="false">
      <c r="A56" s="27" t="n">
        <v>8</v>
      </c>
      <c r="B56" s="27" t="str">
        <f aca="false">IFERROR(INDEX(01_評価入力!$A:$A,MATCH(LARGE(01_評価入力!$V$2:$V$208,$A56),01_評価入力!$V:$V,0)),"")</f>
        <v/>
      </c>
      <c r="C56" s="27" t="str">
        <f aca="false">IF($B56="","",VLOOKUP($B56,01_評価入力!$A:$B,2,0))</f>
        <v/>
      </c>
      <c r="D56" s="27" t="str">
        <f aca="false">IF($B56="","",VLOOKUP($B56,01_評価入力!$A:$F,6,0))</f>
        <v/>
      </c>
      <c r="E56" s="33" t="str">
        <f aca="false">IF($B56="","",VLOOKUP($B56,01_評価入力!$A:$E,5,0))</f>
        <v/>
      </c>
      <c r="F56" s="27" t="str">
        <f aca="false">IF($B56="","",VLOOKUP($B56,01_評価入力!$A:$I,9,0))</f>
        <v/>
      </c>
      <c r="G56" s="27" t="str">
        <f aca="false">IF($B56="","",VLOOKUP($B56,01_評価入力!$A:$J,10,0))</f>
        <v/>
      </c>
      <c r="H56" s="38" t="str">
        <f aca="false">IF($B56="","",ROUND(VLOOKUP($B56,01_評価入力!$A:$R,18,0),1))</f>
        <v/>
      </c>
      <c r="J56" s="33" t="s">
        <v>312</v>
      </c>
      <c r="K56" s="33" t="s">
        <v>500</v>
      </c>
      <c r="L56" s="34" t="s">
        <v>1554</v>
      </c>
      <c r="M56" s="30" t="str">
        <f aca="false">IFERROR(ROUND(AVERAGEIFS(01_評価入力!$K:$K,01_評価入力!$B:$B,$J56,01_評価入力!$C:$C,$K56),2),"")</f>
        <v/>
      </c>
      <c r="N56" s="27" t="str">
        <f aca="false">IF($M56="","",$M56+(500-ROW())/1000000)</f>
        <v/>
      </c>
    </row>
    <row r="57" customFormat="false" ht="29.85" hidden="false" customHeight="false" outlineLevel="0" collapsed="false">
      <c r="A57" s="27" t="n">
        <v>9</v>
      </c>
      <c r="B57" s="27" t="str">
        <f aca="false">IFERROR(INDEX(01_評価入力!$A:$A,MATCH(LARGE(01_評価入力!$V$2:$V$208,$A57),01_評価入力!$V:$V,0)),"")</f>
        <v/>
      </c>
      <c r="C57" s="27" t="str">
        <f aca="false">IF($B57="","",VLOOKUP($B57,01_評価入力!$A:$B,2,0))</f>
        <v/>
      </c>
      <c r="D57" s="27" t="str">
        <f aca="false">IF($B57="","",VLOOKUP($B57,01_評価入力!$A:$F,6,0))</f>
        <v/>
      </c>
      <c r="E57" s="33" t="str">
        <f aca="false">IF($B57="","",VLOOKUP($B57,01_評価入力!$A:$E,5,0))</f>
        <v/>
      </c>
      <c r="F57" s="27" t="str">
        <f aca="false">IF($B57="","",VLOOKUP($B57,01_評価入力!$A:$I,9,0))</f>
        <v/>
      </c>
      <c r="G57" s="27" t="str">
        <f aca="false">IF($B57="","",VLOOKUP($B57,01_評価入力!$A:$J,10,0))</f>
        <v/>
      </c>
      <c r="H57" s="38" t="str">
        <f aca="false">IF($B57="","",ROUND(VLOOKUP($B57,01_評価入力!$A:$R,18,0),1))</f>
        <v/>
      </c>
      <c r="J57" s="33" t="s">
        <v>312</v>
      </c>
      <c r="K57" s="33" t="s">
        <v>514</v>
      </c>
      <c r="L57" s="33" t="s">
        <v>1555</v>
      </c>
      <c r="M57" s="30" t="str">
        <f aca="false">IFERROR(ROUND(AVERAGEIFS(01_評価入力!$K:$K,01_評価入力!$B:$B,$J57,01_評価入力!$C:$C,$K57),2),"")</f>
        <v/>
      </c>
      <c r="N57" s="27" t="str">
        <f aca="false">IF($M57="","",$M57+(500-ROW())/1000000)</f>
        <v/>
      </c>
    </row>
    <row r="58" customFormat="false" ht="15" hidden="false" customHeight="false" outlineLevel="0" collapsed="false">
      <c r="A58" s="27" t="n">
        <v>10</v>
      </c>
      <c r="B58" s="27" t="str">
        <f aca="false">IFERROR(INDEX(01_評価入力!$A:$A,MATCH(LARGE(01_評価入力!$V$2:$V$208,$A58),01_評価入力!$V:$V,0)),"")</f>
        <v/>
      </c>
      <c r="C58" s="27" t="str">
        <f aca="false">IF($B58="","",VLOOKUP($B58,01_評価入力!$A:$B,2,0))</f>
        <v/>
      </c>
      <c r="D58" s="27" t="str">
        <f aca="false">IF($B58="","",VLOOKUP($B58,01_評価入力!$A:$F,6,0))</f>
        <v/>
      </c>
      <c r="E58" s="33" t="str">
        <f aca="false">IF($B58="","",VLOOKUP($B58,01_評価入力!$A:$E,5,0))</f>
        <v/>
      </c>
      <c r="F58" s="27" t="str">
        <f aca="false">IF($B58="","",VLOOKUP($B58,01_評価入力!$A:$I,9,0))</f>
        <v/>
      </c>
      <c r="G58" s="27" t="str">
        <f aca="false">IF($B58="","",VLOOKUP($B58,01_評価入力!$A:$J,10,0))</f>
        <v/>
      </c>
      <c r="H58" s="38" t="str">
        <f aca="false">IF($B58="","",ROUND(VLOOKUP($B58,01_評価入力!$A:$R,18,0),1))</f>
        <v/>
      </c>
      <c r="J58" s="33" t="s">
        <v>312</v>
      </c>
      <c r="K58" s="33" t="s">
        <v>536</v>
      </c>
      <c r="L58" s="34" t="s">
        <v>1556</v>
      </c>
      <c r="M58" s="30" t="str">
        <f aca="false">IFERROR(ROUND(AVERAGEIFS(01_評価入力!$K:$K,01_評価入力!$B:$B,$J58,01_評価入力!$C:$C,$K58),2),"")</f>
        <v/>
      </c>
      <c r="N58" s="27" t="str">
        <f aca="false">IF($M58="","",$M58+(500-ROW())/1000000)</f>
        <v/>
      </c>
    </row>
    <row r="59" customFormat="false" ht="29.85" hidden="false" customHeight="false" outlineLevel="0" collapsed="false">
      <c r="J59" s="33" t="s">
        <v>549</v>
      </c>
      <c r="K59" s="33" t="s">
        <v>313</v>
      </c>
      <c r="L59" s="34" t="s">
        <v>1557</v>
      </c>
      <c r="M59" s="30" t="str">
        <f aca="false">IFERROR(ROUND(AVERAGEIFS(01_評価入力!$K:$K,01_評価入力!$B:$B,$J59,01_評価入力!$C:$C,$K59),2),"")</f>
        <v/>
      </c>
      <c r="N59" s="27" t="str">
        <f aca="false">IF($M59="","",$M59+(500-ROW())/1000000)</f>
        <v/>
      </c>
    </row>
    <row r="60" customFormat="false" ht="15" hidden="false" customHeight="false" outlineLevel="0" collapsed="false">
      <c r="J60" s="33" t="s">
        <v>549</v>
      </c>
      <c r="K60" s="33" t="s">
        <v>559</v>
      </c>
      <c r="L60" s="34" t="s">
        <v>1558</v>
      </c>
      <c r="M60" s="30" t="str">
        <f aca="false">IFERROR(ROUND(AVERAGEIFS(01_評価入力!$K:$K,01_評価入力!$B:$B,$J60,01_評価入力!$C:$C,$K60),2),"")</f>
        <v/>
      </c>
      <c r="N60" s="27" t="str">
        <f aca="false">IF($M60="","",$M60+(500-ROW())/1000000)</f>
        <v/>
      </c>
    </row>
    <row r="61" customFormat="false" ht="29.85" hidden="false" customHeight="false" outlineLevel="0" collapsed="false">
      <c r="J61" s="33" t="s">
        <v>549</v>
      </c>
      <c r="K61" s="33" t="s">
        <v>458</v>
      </c>
      <c r="L61" s="34" t="s">
        <v>1559</v>
      </c>
      <c r="M61" s="30" t="str">
        <f aca="false">IFERROR(ROUND(AVERAGEIFS(01_評価入力!$K:$K,01_評価入力!$B:$B,$J61,01_評価入力!$C:$C,$K61),2),"")</f>
        <v/>
      </c>
      <c r="N61" s="27" t="str">
        <f aca="false">IF($M61="","",$M61+(500-ROW())/1000000)</f>
        <v/>
      </c>
    </row>
    <row r="62" customFormat="false" ht="29.85" hidden="false" customHeight="false" outlineLevel="0" collapsed="false">
      <c r="J62" s="33" t="s">
        <v>549</v>
      </c>
      <c r="K62" s="33" t="s">
        <v>605</v>
      </c>
      <c r="L62" s="34" t="s">
        <v>1560</v>
      </c>
      <c r="M62" s="30" t="str">
        <f aca="false">IFERROR(ROUND(AVERAGEIFS(01_評価入力!$K:$K,01_評価入力!$B:$B,$J62,01_評価入力!$C:$C,$K62),2),"")</f>
        <v/>
      </c>
      <c r="N62" s="27" t="str">
        <f aca="false">IF($M62="","",$M62+(500-ROW())/1000000)</f>
        <v/>
      </c>
    </row>
    <row r="63" customFormat="false" ht="15" hidden="false" customHeight="false" outlineLevel="0" collapsed="false">
      <c r="J63" s="33" t="s">
        <v>549</v>
      </c>
      <c r="K63" s="33" t="s">
        <v>625</v>
      </c>
      <c r="L63" s="33" t="s">
        <v>1561</v>
      </c>
      <c r="M63" s="30" t="str">
        <f aca="false">IFERROR(ROUND(AVERAGEIFS(01_評価入力!$K:$K,01_評価入力!$B:$B,$J63,01_評価入力!$C:$C,$K63),2),"")</f>
        <v/>
      </c>
      <c r="N63" s="27" t="str">
        <f aca="false">IF($M63="","",$M63+(500-ROW())/1000000)</f>
        <v/>
      </c>
    </row>
    <row r="64" customFormat="false" ht="15" hidden="false" customHeight="false" outlineLevel="0" collapsed="false">
      <c r="J64" s="33" t="s">
        <v>549</v>
      </c>
      <c r="K64" s="33" t="s">
        <v>641</v>
      </c>
      <c r="L64" s="34" t="s">
        <v>1562</v>
      </c>
      <c r="M64" s="30" t="str">
        <f aca="false">IFERROR(ROUND(AVERAGEIFS(01_評価入力!$K:$K,01_評価入力!$B:$B,$J64,01_評価入力!$C:$C,$K64),2),"")</f>
        <v/>
      </c>
      <c r="N64" s="27" t="str">
        <f aca="false">IF($M64="","",$M64+(500-ROW())/1000000)</f>
        <v/>
      </c>
    </row>
    <row r="65" customFormat="false" ht="29.85" hidden="false" customHeight="false" outlineLevel="0" collapsed="false">
      <c r="J65" s="33" t="s">
        <v>651</v>
      </c>
      <c r="K65" s="33" t="s">
        <v>652</v>
      </c>
      <c r="L65" s="34" t="s">
        <v>1563</v>
      </c>
      <c r="M65" s="30" t="str">
        <f aca="false">IFERROR(ROUND(AVERAGEIFS(01_評価入力!$K:$K,01_評価入力!$B:$B,$J65,01_評価入力!$C:$C,$K65),2),"")</f>
        <v/>
      </c>
      <c r="N65" s="27" t="str">
        <f aca="false">IF($M65="","",$M65+(500-ROW())/1000000)</f>
        <v/>
      </c>
    </row>
    <row r="66" customFormat="false" ht="15" hidden="false" customHeight="false" outlineLevel="0" collapsed="false">
      <c r="J66" s="33" t="s">
        <v>651</v>
      </c>
      <c r="K66" s="33" t="s">
        <v>677</v>
      </c>
      <c r="L66" s="34" t="s">
        <v>1564</v>
      </c>
      <c r="M66" s="30" t="str">
        <f aca="false">IFERROR(ROUND(AVERAGEIFS(01_評価入力!$K:$K,01_評価入力!$B:$B,$J66,01_評価入力!$C:$C,$K66),2),"")</f>
        <v/>
      </c>
      <c r="N66" s="27" t="str">
        <f aca="false">IF($M66="","",$M66+(500-ROW())/1000000)</f>
        <v/>
      </c>
    </row>
    <row r="67" customFormat="false" ht="15" hidden="false" customHeight="false" outlineLevel="0" collapsed="false">
      <c r="J67" s="33" t="s">
        <v>651</v>
      </c>
      <c r="K67" s="33" t="s">
        <v>693</v>
      </c>
      <c r="L67" s="34" t="s">
        <v>1565</v>
      </c>
      <c r="M67" s="30" t="str">
        <f aca="false">IFERROR(ROUND(AVERAGEIFS(01_評価入力!$K:$K,01_評価入力!$B:$B,$J67,01_評価入力!$C:$C,$K67),2),"")</f>
        <v/>
      </c>
      <c r="N67" s="27" t="str">
        <f aca="false">IF($M67="","",$M67+(500-ROW())/1000000)</f>
        <v/>
      </c>
    </row>
    <row r="68" customFormat="false" ht="15" hidden="false" customHeight="false" outlineLevel="0" collapsed="false">
      <c r="J68" s="33" t="s">
        <v>651</v>
      </c>
      <c r="K68" s="33" t="s">
        <v>706</v>
      </c>
      <c r="L68" s="34" t="s">
        <v>1566</v>
      </c>
      <c r="M68" s="30" t="str">
        <f aca="false">IFERROR(ROUND(AVERAGEIFS(01_評価入力!$K:$K,01_評価入力!$B:$B,$J68,01_評価入力!$C:$C,$K68),2),"")</f>
        <v/>
      </c>
      <c r="N68" s="27" t="str">
        <f aca="false">IF($M68="","",$M68+(500-ROW())/1000000)</f>
        <v/>
      </c>
    </row>
    <row r="69" customFormat="false" ht="15" hidden="false" customHeight="false" outlineLevel="0" collapsed="false">
      <c r="J69" s="33" t="s">
        <v>716</v>
      </c>
      <c r="K69" s="33" t="s">
        <v>717</v>
      </c>
      <c r="L69" s="34" t="s">
        <v>1567</v>
      </c>
      <c r="M69" s="30" t="str">
        <f aca="false">IFERROR(ROUND(AVERAGEIFS(01_評価入力!$K:$K,01_評価入力!$B:$B,$J69,01_評価入力!$C:$C,$K69),2),"")</f>
        <v/>
      </c>
      <c r="N69" s="27" t="str">
        <f aca="false">IF($M69="","",$M69+(500-ROW())/1000000)</f>
        <v/>
      </c>
    </row>
    <row r="70" customFormat="false" ht="15" hidden="false" customHeight="false" outlineLevel="0" collapsed="false">
      <c r="J70" s="33" t="s">
        <v>716</v>
      </c>
      <c r="K70" s="33" t="s">
        <v>739</v>
      </c>
      <c r="L70" s="34" t="s">
        <v>1568</v>
      </c>
      <c r="M70" s="30" t="str">
        <f aca="false">IFERROR(ROUND(AVERAGEIFS(01_評価入力!$K:$K,01_評価入力!$B:$B,$J70,01_評価入力!$C:$C,$K70),2),"")</f>
        <v/>
      </c>
      <c r="N70" s="27" t="str">
        <f aca="false">IF($M70="","",$M70+(500-ROW())/1000000)</f>
        <v/>
      </c>
    </row>
    <row r="71" customFormat="false" ht="15" hidden="false" customHeight="false" outlineLevel="0" collapsed="false">
      <c r="J71" s="33" t="s">
        <v>716</v>
      </c>
      <c r="K71" s="33" t="s">
        <v>758</v>
      </c>
      <c r="L71" s="34" t="s">
        <v>1569</v>
      </c>
      <c r="M71" s="30" t="str">
        <f aca="false">IFERROR(ROUND(AVERAGEIFS(01_評価入力!$K:$K,01_評価入力!$B:$B,$J71,01_評価入力!$C:$C,$K71),2),"")</f>
        <v/>
      </c>
      <c r="N71" s="27" t="str">
        <f aca="false">IF($M71="","",$M71+(500-ROW())/1000000)</f>
        <v/>
      </c>
    </row>
    <row r="72" customFormat="false" ht="15" hidden="false" customHeight="false" outlineLevel="0" collapsed="false">
      <c r="J72" s="33" t="s">
        <v>716</v>
      </c>
      <c r="K72" s="33" t="s">
        <v>765</v>
      </c>
      <c r="L72" s="34" t="s">
        <v>1570</v>
      </c>
      <c r="M72" s="30" t="str">
        <f aca="false">IFERROR(ROUND(AVERAGEIFS(01_評価入力!$K:$K,01_評価入力!$B:$B,$J72,01_評価入力!$C:$C,$K72),2),"")</f>
        <v/>
      </c>
      <c r="N72" s="27" t="str">
        <f aca="false">IF($M72="","",$M72+(500-ROW())/1000000)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4"/>
    <col collapsed="false" customWidth="true" hidden="false" outlineLevel="0" max="3" min="3" style="0" width="26"/>
    <col collapsed="false" customWidth="true" hidden="false" outlineLevel="0" max="4" min="4" style="0" width="30"/>
  </cols>
  <sheetData>
    <row r="1" customFormat="false" ht="20.1" hidden="false" customHeight="false" outlineLevel="0" collapsed="false">
      <c r="A1" s="39" t="s">
        <v>1571</v>
      </c>
    </row>
    <row r="3" customFormat="false" ht="15" hidden="false" customHeight="false" outlineLevel="0" collapsed="false">
      <c r="A3" s="40" t="s">
        <v>1572</v>
      </c>
      <c r="B3" s="40" t="s">
        <v>6</v>
      </c>
      <c r="C3" s="40" t="s">
        <v>1573</v>
      </c>
      <c r="D3" s="40" t="s">
        <v>1574</v>
      </c>
    </row>
    <row r="4" customFormat="false" ht="15" hidden="false" customHeight="false" outlineLevel="0" collapsed="false">
      <c r="A4" s="41" t="s">
        <v>1575</v>
      </c>
      <c r="B4" s="42" t="s">
        <v>1576</v>
      </c>
      <c r="C4" s="41" t="s">
        <v>29</v>
      </c>
      <c r="D4" s="41" t="s">
        <v>1577</v>
      </c>
    </row>
    <row r="5" customFormat="false" ht="15" hidden="false" customHeight="false" outlineLevel="0" collapsed="false">
      <c r="A5" s="41" t="s">
        <v>1578</v>
      </c>
      <c r="B5" s="42" t="s">
        <v>1579</v>
      </c>
      <c r="C5" s="41" t="s">
        <v>29</v>
      </c>
      <c r="D5" s="42" t="s">
        <v>1580</v>
      </c>
    </row>
    <row r="6" customFormat="false" ht="15" hidden="false" customHeight="false" outlineLevel="0" collapsed="false">
      <c r="A6" s="41" t="s">
        <v>1581</v>
      </c>
      <c r="B6" s="41" t="s">
        <v>1582</v>
      </c>
      <c r="C6" s="41" t="s">
        <v>29</v>
      </c>
      <c r="D6" s="41" t="s">
        <v>1583</v>
      </c>
    </row>
    <row r="7" customFormat="false" ht="15" hidden="false" customHeight="false" outlineLevel="0" collapsed="false">
      <c r="A7" s="41" t="s">
        <v>1584</v>
      </c>
      <c r="B7" s="42" t="s">
        <v>1585</v>
      </c>
      <c r="C7" s="41" t="s">
        <v>29</v>
      </c>
      <c r="D7" s="41" t="s">
        <v>1586</v>
      </c>
    </row>
    <row r="8" customFormat="false" ht="15" hidden="false" customHeight="false" outlineLevel="0" collapsed="false">
      <c r="A8" s="41" t="s">
        <v>1587</v>
      </c>
      <c r="B8" s="42" t="s">
        <v>1588</v>
      </c>
      <c r="C8" s="41" t="s">
        <v>29</v>
      </c>
      <c r="D8" s="41" t="s">
        <v>1589</v>
      </c>
    </row>
    <row r="9" customFormat="false" ht="15" hidden="false" customHeight="false" outlineLevel="0" collapsed="false">
      <c r="A9" s="41" t="s">
        <v>1590</v>
      </c>
      <c r="B9" s="42" t="s">
        <v>1591</v>
      </c>
      <c r="C9" s="41" t="s">
        <v>29</v>
      </c>
      <c r="D9" s="41" t="s">
        <v>1592</v>
      </c>
    </row>
    <row r="10" customFormat="false" ht="15" hidden="false" customHeight="false" outlineLevel="0" collapsed="false">
      <c r="A10" s="41" t="s">
        <v>1593</v>
      </c>
      <c r="B10" s="42" t="s">
        <v>1594</v>
      </c>
      <c r="C10" s="41" t="s">
        <v>1595</v>
      </c>
      <c r="D10" s="42" t="s">
        <v>1596</v>
      </c>
    </row>
    <row r="11" customFormat="false" ht="15" hidden="false" customHeight="false" outlineLevel="0" collapsed="false">
      <c r="A11" s="41" t="s">
        <v>1597</v>
      </c>
      <c r="B11" s="41" t="s">
        <v>1598</v>
      </c>
      <c r="C11" s="41" t="s">
        <v>1599</v>
      </c>
      <c r="D11" s="42" t="s">
        <v>1600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2026-07-17T04:08:18Z</dcterms:created>
  <dc:creator>openpyxl</dc:creator>
  <dc:description/>
  <dc:language>en-US</dc:language>
  <cp:lastModifiedBy/>
  <dcterms:modified xsi:type="dcterms:W3CDTF">2026-07-17T04:08:29Z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